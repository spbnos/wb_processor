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2"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4">
    <fill>
      <patternFill patternType="none"/>
    </fill>
    <fill>
      <patternFill patternType="gray125"/>
    </fill>
    <fill>
      <patternFill patternType="solid">
        <fgColor rgb="FFEEFDEB"/>
      </patternFill>
    </fill>
    <fill>
      <patternFill patternType="solid">
        <fgColor rgb="FFFCFDEB"/>
      </patternFill>
    </fill>
  </fills>
  <borders count="2">
    <border>
      <left/>
      <right/>
      <top/>
      <bottom/>
      <diagonal/>
    </border>
    <border>
      <left style="thin">
        <color rgb="FFBBBBBB"/>
      </left>
      <right style="thin">
        <color rgb="FFBBBBBB"/>
      </right>
      <top style="thin">
        <color rgb="FFBBBBBB"/>
      </top>
      <bottom style="thin">
        <color rgb="FFBBBBBB"/>
      </bottom>
    </border>
  </borders>
  <cellStyleXfs count="1">
    <xf numFmtId="0" fontId="0" fillId="0" borderId="0"/>
  </cellStyleXfs>
  <cellXfs count="8">
    <xf numFmtId="0" fontId="0" fillId="0" borderId="0" xfId="0"/>
    <xf numFmtId="0" fontId="1" fillId="0" borderId="1" xfId="0" applyFont="true" applyBorder="true" applyAlignment="true">
      <alignment horizontal="left" vertical="top" wrapText="true"/>
    </xf>
    <xf numFmtId="0" fontId="0" fillId="0" borderId="1" xfId="0" applyBorder="true" applyAlignment="true">
      <alignment horizontal="left"/>
    </xf>
    <xf numFmtId="0" fontId="1" fillId="2" borderId="1" xfId="0" applyFont="true" applyFill="true" applyBorder="true" applyAlignment="true">
      <alignment horizontal="left" vertical="top"/>
    </xf>
    <xf numFmtId="0" fontId="0" fillId="2" borderId="1" xfId="0" applyFill="true" applyBorder="true" applyAlignment="true">
      <alignment horizontal="left"/>
    </xf>
    <xf numFmtId="0" fontId="1" fillId="3" borderId="1" xfId="0" applyFont="true" applyFill="true" applyBorder="true" applyAlignment="true">
      <alignment horizontal="left" vertical="top"/>
    </xf>
    <xf numFmtId="0" fontId="0" fillId="3" borderId="1" xfId="0" applyFill="true" applyBorder="true" applyAlignment="true">
      <alignment horizontal="left"/>
    </xf>
    <xf numFmtId="0" fontId="0" fillId="0" borderId="1" xfId="0" applyBorder="true" applyAlignment="true">
      <alignment vertical="top" wrapText="true"/>
    </xf>
  </cellXfs>
  <cellStyles count="1">
    <cellStyle name="Normal" xfId="0" builtinId="0"/>
  </cellStyles>
  <dxfs count="3">
    <dxf/>
    <dxf>
      <font>
        <family val="2"/>
        <color rgb="FFCD0003"/>
      </font>
      <fill>
        <patternFill patternType="solid">
          <bgColor rgb="FFF6C5C6"/>
        </patternFill>
      </fill>
    </dxf>
    <dxf>
      <font>
        <family val="2"/>
        <color rgb="FF000000"/>
      </font>
      <fill>
        <patternFill patternType="solid">
          <bgColor rgb="FFFDEE9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4" max="14" width="68.33333333333333" customWidth="1"/>
    <col min="13" max="13" width="20" customWidth="1"/>
    <col min="12" max="12" width="18.333333333333332" customWidth="1"/>
    <col min="11" max="11" width="18.333333333333332" customWidth="1"/>
    <col min="10" max="10" width="18.333333333333332" customWidth="1"/>
    <col min="9" max="9" width="18.333333333333332" customWidth="1"/>
    <col min="8" max="8" width="18.333333333333332" customWidth="1"/>
    <col min="7" max="7" width="20" customWidth="1"/>
    <col min="6" max="6" width="15.833333333333334" customWidth="1"/>
    <col min="5" max="5" width="20" customWidth="1"/>
    <col min="4" max="4" width="20" customWidth="1"/>
    <col min="3" max="3" width="15.833333333333334" customWidth="1"/>
    <col min="2" max="2" width="15.833333333333334" customWidth="1"/>
    <col min="1" max="1" width="15.833333333333334" customWidth="1"/>
  </cols>
  <sheetData>
    <row r="1">
      <c r="A1" s="1" t="inlineStr">
        <is>
          <t>Бренд</t>
        </is>
      </c>
      <c r="B1" s="1" t="inlineStr">
        <is>
          <t>Категория</t>
        </is>
      </c>
      <c r="C1" s="1" t="inlineStr">
        <is>
          <t>Артикул WB</t>
        </is>
      </c>
      <c r="D1" s="1" t="inlineStr">
        <is>
          <t>Артикул продавца</t>
        </is>
      </c>
      <c r="E1" s="1" t="inlineStr">
        <is>
          <t>Последний баркод</t>
        </is>
      </c>
      <c r="F1" s="1" t="inlineStr">
        <is>
          <t>Остатки WB</t>
        </is>
      </c>
      <c r="G1" s="1" t="inlineStr">
        <is>
          <t>Остатки продавца</t>
        </is>
      </c>
      <c r="H1" s="1" t="inlineStr">
        <is>
          <t>Оборачиваемость</t>
        </is>
      </c>
      <c r="I1" s="1" t="inlineStr">
        <is>
          <t>Текущая цена</t>
        </is>
      </c>
      <c r="J1" s="3" t="inlineStr">
        <is>
          <t>Новая цена, RUB</t>
        </is>
      </c>
      <c r="K1" s="1" t="inlineStr">
        <is>
          <t>Текущая скидка</t>
        </is>
      </c>
      <c r="L1" s="5" t="inlineStr">
        <is>
          <t>Новая скидка</t>
        </is>
      </c>
      <c r="M1" s="1" t="inlineStr">
        <is>
          <t>Цена со скидкой</t>
        </is>
      </c>
      <c r="N1" s="1" t="inlineStr">
        <is>
          <t>Наличие ошибки</t>
        </is>
      </c>
    </row>
    <row r="2">
      <c r="A2" s="2" t="inlineStr">
        <is>
          <t/>
        </is>
      </c>
      <c r="B2" s="2" t="inlineStr">
        <is>
          <t>Термосы</t>
        </is>
      </c>
      <c r="C2" s="2">
        <v>600647782</v>
      </c>
      <c r="D2" s="2" t="inlineStr">
        <is>
          <t>283471</t>
        </is>
      </c>
      <c r="E2" s="2" t="inlineStr">
        <is>
          <t>2047129194775</t>
        </is>
      </c>
      <c r="F2" s="2" t="inlineStr">
        <is>
          <t/>
        </is>
      </c>
      <c r="G2" s="2" t="inlineStr">
        <is>
          <t/>
        </is>
      </c>
      <c r="H2" s="2" t="inlineStr">
        <is>
          <t/>
        </is>
      </c>
      <c r="I2" s="2" t="inlineStr">
        <is>
          <t>10225</t>
        </is>
      </c>
      <c r="J2" s="4"/>
      <c r="K2" s="2">
        <v>65</v>
      </c>
      <c r="L2" s="6"/>
      <c r="M2" s="2" t="str">
        <f>IF(J2="",ROUND(I2*(1-IF(ISBLANK(L2),K2,L2)/100),2),ROUND(J2*(1-IF(ISBLANK(L2),K2,L2)/100),2))</f>
      </c>
      <c r="N2" s="7" t="str">
        <f>IF(NOT(AND(J2="",L2="")),IF(OR(AND(L2&lt;&gt;"",NOT(ISNUMBER(L2))),IFERROR(MOD(L2,1),1)&gt;0,AND(ISNUMBER(L2),OR(L2&lt;0,L2&gt;95))),"Введите целое число от 0 до 95",IF(OR(AND(J2&lt;&gt;"",NOT(ISNUMBER(J2))),IFERROR(MOD(J2,1),1)&gt;0,AND(ISNUMBER(J2),OR(J2&lt;50,J2&gt;20000000))),"Введите целое число от 50 до 20000000",IF(NOT(ABS(IFERROR(VALUE(LEFT(M2,FIND("-",M2)-1)),M2)*100-(2500+2000000000)/2)&lt;=ABS(2500-2000000000)/2),"Цена со скидкой должна быть от 25 до 20000000",IF(AND(IFERROR(VALUE(LEFT(M2,FIND("-",M2)-1)),M2)*150&lt;=357875,IFERROR(VALUE(LEFT(M2,FIND("-",M2)-1)),M2)*200&gt;357875),"Вы уменьшили цену в несколько раз, товар попадет в карантин цен",IF(IFERROR(VALUE(LEFT(M2,FIND("-",M2)-1)),M2)*200&lt;=357875,"Не сохранили изменения, чтобы защитить от ошибки — новые цены меньше текущих более чем в 2 раза. Снижайте их постепенно",IF(AND(IFERROR(VALUE(I2),0)=0,ISNUMBER(J2),OR(J2&lt;547,ABS(IFERROR(VALUE(LEFT(M2,FIND("-",M2)-1)),M2))*100&lt;54700)),"Проверьте цену товара. Большинство товаров в выбранной категории стоят дороже 547","")))))),"")</f>
      </c>
    </row>
    <row r="3">
      <c r="A3" s="2" t="inlineStr">
        <is>
          <t/>
        </is>
      </c>
      <c r="B3" s="2" t="inlineStr">
        <is>
          <t>Термосы</t>
        </is>
      </c>
      <c r="C3" s="2">
        <v>600647793</v>
      </c>
      <c r="D3" s="2" t="inlineStr">
        <is>
          <t>289969</t>
        </is>
      </c>
      <c r="E3" s="2" t="inlineStr">
        <is>
          <t>2047129194867</t>
        </is>
      </c>
      <c r="F3" s="2">
        <v>0</v>
      </c>
      <c r="G3" s="2">
        <v>5</v>
      </c>
      <c r="H3" s="2" t="inlineStr">
        <is>
          <t/>
        </is>
      </c>
      <c r="I3" s="2" t="inlineStr">
        <is>
          <t>8997</t>
        </is>
      </c>
      <c r="J3" s="4"/>
      <c r="K3" s="2">
        <v>78</v>
      </c>
      <c r="L3" s="6"/>
      <c r="M3" s="2" t="str">
        <f>IF(J3="",ROUND(I3*(1-IF(ISBLANK(L3),K3,L3)/100),2),ROUND(J3*(1-IF(ISBLANK(L3),K3,L3)/100),2))</f>
      </c>
      <c r="N3" s="7" t="str">
        <f>IF(NOT(AND(J3="",L3="")),IF(OR(AND(L3&lt;&gt;"",NOT(ISNUMBER(L3))),IFERROR(MOD(L3,1),1)&gt;0,AND(ISNUMBER(L3),OR(L3&lt;0,L3&gt;95))),"Введите целое число от 0 до 95",IF(OR(AND(J3&lt;&gt;"",NOT(ISNUMBER(J3))),IFERROR(MOD(J3,1),1)&gt;0,AND(ISNUMBER(J3),OR(J3&lt;50,J3&gt;20000000))),"Введите целое число от 50 до 20000000",IF(NOT(ABS(IFERROR(VALUE(LEFT(M3,FIND("-",M3)-1)),M3)*100-(2500+2000000000)/2)&lt;=ABS(2500-2000000000)/2),"Цена со скидкой должна быть от 25 до 20000000",IF(AND(IFERROR(VALUE(LEFT(M3,FIND("-",M3)-1)),M3)*150&lt;=197933,IFERROR(VALUE(LEFT(M3,FIND("-",M3)-1)),M3)*200&gt;197933),"Вы уменьшили цену в несколько раз, товар попадет в карантин цен",IF(IFERROR(VALUE(LEFT(M3,FIND("-",M3)-1)),M3)*200&lt;=197933,"Не сохранили изменения, чтобы защитить от ошибки — новые цены меньше текущих более чем в 2 раза. Снижайте их постепенно",IF(AND(IFERROR(VALUE(I3),0)=0,ISNUMBER(J3),OR(J3&lt;547,ABS(IFERROR(VALUE(LEFT(M3,FIND("-",M3)-1)),M3))*100&lt;54700)),"Проверьте цену товара. Большинство товаров в выбранной категории стоят дороже 547","")))))),"")</f>
      </c>
    </row>
    <row r="4">
      <c r="A4" s="2" t="inlineStr">
        <is>
          <t/>
        </is>
      </c>
      <c r="B4" s="2" t="inlineStr">
        <is>
          <t>Термосы</t>
        </is>
      </c>
      <c r="C4" s="2">
        <v>600647775</v>
      </c>
      <c r="D4" s="2" t="inlineStr">
        <is>
          <t>820467</t>
        </is>
      </c>
      <c r="E4" s="2" t="inlineStr">
        <is>
          <t>2047129194706</t>
        </is>
      </c>
      <c r="F4" s="2">
        <v>0</v>
      </c>
      <c r="G4" s="2">
        <v>15</v>
      </c>
      <c r="H4" s="2" t="inlineStr">
        <is>
          <t/>
        </is>
      </c>
      <c r="I4" s="2" t="inlineStr">
        <is>
          <t>7451</t>
        </is>
      </c>
      <c r="J4" s="4"/>
      <c r="K4" s="2">
        <v>78</v>
      </c>
      <c r="L4" s="6"/>
      <c r="M4" s="2" t="str">
        <f>IF(J4="",ROUND(I4*(1-IF(ISBLANK(L4),K4,L4)/100),2),ROUND(J4*(1-IF(ISBLANK(L4),K4,L4)/100),2))</f>
      </c>
      <c r="N4" s="7" t="str">
        <f>IF(NOT(AND(J4="",L4="")),IF(OR(AND(L4&lt;&gt;"",NOT(ISNUMBER(L4))),IFERROR(MOD(L4,1),1)&gt;0,AND(ISNUMBER(L4),OR(L4&lt;0,L4&gt;95))),"Введите целое число от 0 до 95",IF(OR(AND(J4&lt;&gt;"",NOT(ISNUMBER(J4))),IFERROR(MOD(J4,1),1)&gt;0,AND(ISNUMBER(J4),OR(J4&lt;50,J4&gt;20000000))),"Введите целое число от 50 до 20000000",IF(NOT(ABS(IFERROR(VALUE(LEFT(M4,FIND("-",M4)-1)),M4)*100-(2500+2000000000)/2)&lt;=ABS(2500-2000000000)/2),"Цена со скидкой должна быть от 25 до 20000000",IF(AND(IFERROR(VALUE(LEFT(M4,FIND("-",M4)-1)),M4)*150&lt;=163921,IFERROR(VALUE(LEFT(M4,FIND("-",M4)-1)),M4)*200&gt;163921),"Вы уменьшили цену в несколько раз, товар попадет в карантин цен",IF(IFERROR(VALUE(LEFT(M4,FIND("-",M4)-1)),M4)*200&lt;=163921,"Не сохранили изменения, чтобы защитить от ошибки — новые цены меньше текущих более чем в 2 раза. Снижайте их постепенно",IF(AND(IFERROR(VALUE(I4),0)=0,ISNUMBER(J4),OR(J4&lt;547,ABS(IFERROR(VALUE(LEFT(M4,FIND("-",M4)-1)),M4))*100&lt;54700)),"Проверьте цену товара. Большинство товаров в выбранной категории стоят дороже 547","")))))),"")</f>
      </c>
    </row>
    <row r="5">
      <c r="A5" s="2" t="inlineStr">
        <is>
          <t/>
        </is>
      </c>
      <c r="B5" s="2" t="inlineStr">
        <is>
          <t>Термосы</t>
        </is>
      </c>
      <c r="C5" s="2">
        <v>600647774</v>
      </c>
      <c r="D5" s="2" t="inlineStr">
        <is>
          <t>283520</t>
        </is>
      </c>
      <c r="E5" s="2" t="inlineStr">
        <is>
          <t>2047129194690</t>
        </is>
      </c>
      <c r="F5" s="2">
        <v>0</v>
      </c>
      <c r="G5" s="2">
        <v>21</v>
      </c>
      <c r="H5" s="2" t="inlineStr">
        <is>
          <t/>
        </is>
      </c>
      <c r="I5" s="2" t="inlineStr">
        <is>
          <t>6921</t>
        </is>
      </c>
      <c r="J5" s="4"/>
      <c r="K5" s="2">
        <v>78</v>
      </c>
      <c r="L5" s="6"/>
      <c r="M5" s="2" t="str">
        <f>IF(J5="",ROUND(I5*(1-IF(ISBLANK(L5),K5,L5)/100),2),ROUND(J5*(1-IF(ISBLANK(L5),K5,L5)/100),2))</f>
      </c>
      <c r="N5" s="7" t="str">
        <f>IF(NOT(AND(J5="",L5="")),IF(OR(AND(L5&lt;&gt;"",NOT(ISNUMBER(L5))),IFERROR(MOD(L5,1),1)&gt;0,AND(ISNUMBER(L5),OR(L5&lt;0,L5&gt;95))),"Введите целое число от 0 до 95",IF(OR(AND(J5&lt;&gt;"",NOT(ISNUMBER(J5))),IFERROR(MOD(J5,1),1)&gt;0,AND(ISNUMBER(J5),OR(J5&lt;50,J5&gt;20000000))),"Введите целое число от 50 до 20000000",IF(NOT(ABS(IFERROR(VALUE(LEFT(M5,FIND("-",M5)-1)),M5)*100-(2500+2000000000)/2)&lt;=ABS(2500-2000000000)/2),"Цена со скидкой должна быть от 25 до 20000000",IF(AND(IFERROR(VALUE(LEFT(M5,FIND("-",M5)-1)),M5)*150&lt;=152262,IFERROR(VALUE(LEFT(M5,FIND("-",M5)-1)),M5)*200&gt;152262),"Вы уменьшили цену в несколько раз, товар попадет в карантин цен",IF(IFERROR(VALUE(LEFT(M5,FIND("-",M5)-1)),M5)*200&lt;=152262,"Не сохранили изменения, чтобы защитить от ошибки — новые цены меньше текущих более чем в 2 раза. Снижайте их постепенно",IF(AND(IFERROR(VALUE(I5),0)=0,ISNUMBER(J5),OR(J5&lt;547,ABS(IFERROR(VALUE(LEFT(M5,FIND("-",M5)-1)),M5))*100&lt;54700)),"Проверьте цену товара. Большинство товаров в выбранной категории стоят дороже 547","")))))),"")</f>
      </c>
    </row>
    <row r="6">
      <c r="A6" s="2" t="inlineStr">
        <is>
          <t/>
        </is>
      </c>
      <c r="B6" s="2" t="inlineStr">
        <is>
          <t>Термосы</t>
        </is>
      </c>
      <c r="C6" s="2">
        <v>600647771</v>
      </c>
      <c r="D6" s="2" t="inlineStr">
        <is>
          <t>282745</t>
        </is>
      </c>
      <c r="E6" s="2" t="inlineStr">
        <is>
          <t>2047129194669</t>
        </is>
      </c>
      <c r="F6" s="2">
        <v>0</v>
      </c>
      <c r="G6" s="2">
        <v>23</v>
      </c>
      <c r="H6" s="2" t="inlineStr">
        <is>
          <t/>
        </is>
      </c>
      <c r="I6" s="2" t="inlineStr">
        <is>
          <t>8744</t>
        </is>
      </c>
      <c r="J6" s="4"/>
      <c r="K6" s="2">
        <v>78</v>
      </c>
      <c r="L6" s="6"/>
      <c r="M6" s="2" t="str">
        <f>IF(J6="",ROUND(I6*(1-IF(ISBLANK(L6),K6,L6)/100),2),ROUND(J6*(1-IF(ISBLANK(L6),K6,L6)/100),2))</f>
      </c>
      <c r="N6" s="7" t="str">
        <f>IF(NOT(AND(J6="",L6="")),IF(OR(AND(L6&lt;&gt;"",NOT(ISNUMBER(L6))),IFERROR(MOD(L6,1),1)&gt;0,AND(ISNUMBER(L6),OR(L6&lt;0,L6&gt;95))),"Введите целое число от 0 до 95",IF(OR(AND(J6&lt;&gt;"",NOT(ISNUMBER(J6))),IFERROR(MOD(J6,1),1)&gt;0,AND(ISNUMBER(J6),OR(J6&lt;50,J6&gt;20000000))),"Введите целое число от 50 до 20000000",IF(NOT(ABS(IFERROR(VALUE(LEFT(M6,FIND("-",M6)-1)),M6)*100-(2500+2000000000)/2)&lt;=ABS(2500-2000000000)/2),"Цена со скидкой должна быть от 25 до 20000000",IF(AND(IFERROR(VALUE(LEFT(M6,FIND("-",M6)-1)),M6)*150&lt;=192367,IFERROR(VALUE(LEFT(M6,FIND("-",M6)-1)),M6)*200&gt;192367),"Вы уменьшили цену в несколько раз, товар попадет в карантин цен",IF(IFERROR(VALUE(LEFT(M6,FIND("-",M6)-1)),M6)*200&lt;=192367,"Не сохранили изменения, чтобы защитить от ошибки — новые цены меньше текущих более чем в 2 раза. Снижайте их постепенно",IF(AND(IFERROR(VALUE(I6),0)=0,ISNUMBER(J6),OR(J6&lt;547,ABS(IFERROR(VALUE(LEFT(M6,FIND("-",M6)-1)),M6))*100&lt;54700)),"Проверьте цену товара. Большинство товаров в выбранной категории стоят дороже 547","")))))),"")</f>
      </c>
    </row>
    <row r="7">
      <c r="A7" s="2" t="inlineStr">
        <is>
          <t/>
        </is>
      </c>
      <c r="B7" s="2" t="inlineStr">
        <is>
          <t>Термосы</t>
        </is>
      </c>
      <c r="C7" s="2">
        <v>600647795</v>
      </c>
      <c r="D7" s="2" t="inlineStr">
        <is>
          <t>192586</t>
        </is>
      </c>
      <c r="E7" s="2" t="inlineStr">
        <is>
          <t>2047129194881</t>
        </is>
      </c>
      <c r="F7" s="2">
        <v>0</v>
      </c>
      <c r="G7" s="2">
        <v>0</v>
      </c>
      <c r="H7" s="2" t="inlineStr">
        <is>
          <t/>
        </is>
      </c>
      <c r="I7" s="2" t="inlineStr">
        <is>
          <t>10225</t>
        </is>
      </c>
      <c r="J7" s="4"/>
      <c r="K7" s="2">
        <v>65</v>
      </c>
      <c r="L7" s="6"/>
      <c r="M7" s="2" t="str">
        <f>IF(J7="",ROUND(I7*(1-IF(ISBLANK(L7),K7,L7)/100),2),ROUND(J7*(1-IF(ISBLANK(L7),K7,L7)/100),2))</f>
      </c>
      <c r="N7" s="7" t="str">
        <f>IF(NOT(AND(J7="",L7="")),IF(OR(AND(L7&lt;&gt;"",NOT(ISNUMBER(L7))),IFERROR(MOD(L7,1),1)&gt;0,AND(ISNUMBER(L7),OR(L7&lt;0,L7&gt;95))),"Введите целое число от 0 до 95",IF(OR(AND(J7&lt;&gt;"",NOT(ISNUMBER(J7))),IFERROR(MOD(J7,1),1)&gt;0,AND(ISNUMBER(J7),OR(J7&lt;50,J7&gt;20000000))),"Введите целое число от 50 до 20000000",IF(NOT(ABS(IFERROR(VALUE(LEFT(M7,FIND("-",M7)-1)),M7)*100-(2500+2000000000)/2)&lt;=ABS(2500-2000000000)/2),"Цена со скидкой должна быть от 25 до 20000000",IF(AND(IFERROR(VALUE(LEFT(M7,FIND("-",M7)-1)),M7)*150&lt;=357875,IFERROR(VALUE(LEFT(M7,FIND("-",M7)-1)),M7)*200&gt;357875),"Вы уменьшили цену в несколько раз, товар попадет в карантин цен",IF(IFERROR(VALUE(LEFT(M7,FIND("-",M7)-1)),M7)*200&lt;=357875,"Не сохранили изменения, чтобы защитить от ошибки — новые цены меньше текущих более чем в 2 раза. Снижайте их постепенно",IF(AND(IFERROR(VALUE(I7),0)=0,ISNUMBER(J7),OR(J7&lt;547,ABS(IFERROR(VALUE(LEFT(M7,FIND("-",M7)-1)),M7))*100&lt;54700)),"Проверьте цену товара. Большинство товаров в выбранной категории стоят дороже 547","")))))),"")</f>
      </c>
    </row>
    <row r="8">
      <c r="A8" s="2" t="inlineStr">
        <is>
          <t/>
        </is>
      </c>
      <c r="B8" s="2" t="inlineStr">
        <is>
          <t>Термосы</t>
        </is>
      </c>
      <c r="C8" s="2">
        <v>600647792</v>
      </c>
      <c r="D8" s="2" t="inlineStr">
        <is>
          <t>283467</t>
        </is>
      </c>
      <c r="E8" s="2" t="inlineStr">
        <is>
          <t>2047129194850</t>
        </is>
      </c>
      <c r="F8" s="2">
        <v>0</v>
      </c>
      <c r="G8" s="2">
        <v>0</v>
      </c>
      <c r="H8" s="2" t="inlineStr">
        <is>
          <t/>
        </is>
      </c>
      <c r="I8" s="2" t="inlineStr">
        <is>
          <t>9528</t>
        </is>
      </c>
      <c r="J8" s="4"/>
      <c r="K8" s="2">
        <v>69</v>
      </c>
      <c r="L8" s="6"/>
      <c r="M8" s="2" t="str">
        <f>IF(J8="",ROUND(I8*(1-IF(ISBLANK(L8),K8,L8)/100),2),ROUND(J8*(1-IF(ISBLANK(L8),K8,L8)/100),2))</f>
      </c>
      <c r="N8" s="7" t="str">
        <f>IF(NOT(AND(J8="",L8="")),IF(OR(AND(L8&lt;&gt;"",NOT(ISNUMBER(L8))),IFERROR(MOD(L8,1),1)&gt;0,AND(ISNUMBER(L8),OR(L8&lt;0,L8&gt;95))),"Введите целое число от 0 до 95",IF(OR(AND(J8&lt;&gt;"",NOT(ISNUMBER(J8))),IFERROR(MOD(J8,1),1)&gt;0,AND(ISNUMBER(J8),OR(J8&lt;50,J8&gt;20000000))),"Введите целое число от 50 до 20000000",IF(NOT(ABS(IFERROR(VALUE(LEFT(M8,FIND("-",M8)-1)),M8)*100-(2500+2000000000)/2)&lt;=ABS(2500-2000000000)/2),"Цена со скидкой должна быть от 25 до 20000000",IF(AND(IFERROR(VALUE(LEFT(M8,FIND("-",M8)-1)),M8)*150&lt;=295368,IFERROR(VALUE(LEFT(M8,FIND("-",M8)-1)),M8)*200&gt;295368),"Вы уменьшили цену в несколько раз, товар попадет в карантин цен",IF(IFERROR(VALUE(LEFT(M8,FIND("-",M8)-1)),M8)*200&lt;=295368,"Не сохранили изменения, чтобы защитить от ошибки — новые цены меньше текущих более чем в 2 раза. Снижайте их постепенно",IF(AND(IFERROR(VALUE(I8),0)=0,ISNUMBER(J8),OR(J8&lt;547,ABS(IFERROR(VALUE(LEFT(M8,FIND("-",M8)-1)),M8))*100&lt;54700)),"Проверьте цену товара. Большинство товаров в выбранной категории стоят дороже 547","")))))),"")</f>
      </c>
    </row>
    <row r="9">
      <c r="A9" s="2" t="inlineStr">
        <is>
          <t/>
        </is>
      </c>
      <c r="B9" s="2" t="inlineStr">
        <is>
          <t>Емкости из полимеров</t>
        </is>
      </c>
      <c r="C9" s="2">
        <v>691317674</v>
      </c>
      <c r="D9" s="2" t="inlineStr">
        <is>
          <t>122032</t>
        </is>
      </c>
      <c r="E9" s="2" t="inlineStr">
        <is>
          <t>2047129194409</t>
        </is>
      </c>
      <c r="F9" s="2">
        <v>0</v>
      </c>
      <c r="G9" s="2">
        <v>0</v>
      </c>
      <c r="H9" s="2" t="inlineStr">
        <is>
          <t/>
        </is>
      </c>
      <c r="I9" s="2" t="inlineStr">
        <is>
          <t>9370</t>
        </is>
      </c>
      <c r="J9" s="4"/>
      <c r="K9" s="2">
        <v>65</v>
      </c>
      <c r="L9" s="6"/>
      <c r="M9" s="2" t="str">
        <f>IF(J9="",ROUND(I9*(1-IF(ISBLANK(L9),K9,L9)/100),2),ROUND(J9*(1-IF(ISBLANK(L9),K9,L9)/100),2))</f>
      </c>
      <c r="N9" s="7" t="str">
        <f>IF(NOT(AND(J9="",L9="")),IF(OR(AND(L9&lt;&gt;"",NOT(ISNUMBER(L9))),IFERROR(MOD(L9,1),1)&gt;0,AND(ISNUMBER(L9),OR(L9&lt;0,L9&gt;95))),"Введите целое число от 0 до 95",IF(OR(AND(J9&lt;&gt;"",NOT(ISNUMBER(J9))),IFERROR(MOD(J9,1),1)&gt;0,AND(ISNUMBER(J9),OR(J9&lt;50,J9&gt;20000000))),"Введите целое число от 50 до 20000000",IF(NOT(ABS(IFERROR(VALUE(LEFT(M9,FIND("-",M9)-1)),M9)*100-(2500+2000000000)/2)&lt;=ABS(2500-2000000000)/2),"Цена со скидкой должна быть от 25 до 20000000",IF(AND(IFERROR(VALUE(LEFT(M9,FIND("-",M9)-1)),M9)*150&lt;=327950,IFERROR(VALUE(LEFT(M9,FIND("-",M9)-1)),M9)*200&gt;327950),"Вы уменьшили цену в несколько раз, товар попадет в карантин цен",IF(IFERROR(VALUE(LEFT(M9,FIND("-",M9)-1)),M9)*200&lt;=327950,"Не сохранили изменения, чтобы защитить от ошибки — новые цены меньше текущих более чем в 2 раза. Снижайте их постепенно",IF(AND(IFERROR(VALUE(I9),0)=0,ISNUMBER(J9),OR(J9&lt;300,ABS(IFERROR(VALUE(LEFT(M9,FIND("-",M9)-1)),M9))*100&lt;30000)),"Проверьте цену товара. Большинство товаров в выбранной категории стоят дороже 300","")))))),"")</f>
      </c>
    </row>
    <row r="10">
      <c r="A10" s="2" t="inlineStr">
        <is>
          <t>Luxaro</t>
        </is>
      </c>
      <c r="B10" s="2" t="inlineStr">
        <is>
          <t>Чайники заварочные</t>
        </is>
      </c>
      <c r="C10" s="2">
        <v>306130371</v>
      </c>
      <c r="D10" s="2" t="inlineStr">
        <is>
          <t>282974</t>
        </is>
      </c>
      <c r="E10" s="2" t="inlineStr">
        <is>
          <t>4670294453163</t>
        </is>
      </c>
      <c r="F10" s="2">
        <v>250</v>
      </c>
      <c r="G10" s="2">
        <v>21</v>
      </c>
      <c r="H10" s="2">
        <v>999</v>
      </c>
      <c r="I10" s="2" t="inlineStr">
        <is>
          <t>4008</t>
        </is>
      </c>
      <c r="J10" s="4"/>
      <c r="K10" s="2">
        <v>78</v>
      </c>
      <c r="L10" s="6"/>
      <c r="M10" s="2" t="str">
        <f>IF(J10="",ROUND(I10*(1-IF(ISBLANK(L10),K10,L10)/100),2),ROUND(J10*(1-IF(ISBLANK(L10),K10,L10)/100),2))</f>
      </c>
      <c r="N10" s="7" t="str">
        <f>IF(NOT(AND(J10="",L10="")),IF(OR(AND(L10&lt;&gt;"",NOT(ISNUMBER(L10))),IFERROR(MOD(L10,1),1)&gt;0,AND(ISNUMBER(L10),OR(L10&lt;0,L10&gt;95))),"Введите целое число от 0 до 95",IF(OR(AND(J10&lt;&gt;"",NOT(ISNUMBER(J10))),IFERROR(MOD(J10,1),1)&gt;0,AND(ISNUMBER(J10),OR(J10&lt;50,J10&gt;20000000))),"Введите целое число от 50 до 20000000",IF(NOT(ABS(IFERROR(VALUE(LEFT(M10,FIND("-",M10)-1)),M10)*100-(2500+2000000000)/2)&lt;=ABS(2500-2000000000)/2),"Цена со скидкой должна быть от 25 до 20000000",IF(AND(IFERROR(VALUE(LEFT(M10,FIND("-",M10)-1)),M10)*150&lt;=88175,IFERROR(VALUE(LEFT(M10,FIND("-",M10)-1)),M10)*200&gt;88175),"Вы уменьшили цену в несколько раз, товар попадет в карантин цен",IF(IFERROR(VALUE(LEFT(M10,FIND("-",M10)-1)),M10)*200&lt;=88175,"Не сохранили изменения, чтобы защитить от ошибки — новые цены меньше текущих более чем в 2 раза. Снижайте их постепенно",IF(AND(IFERROR(VALUE(I10),0)=0,ISNUMBER(J10),OR(J10&lt;681,ABS(IFERROR(VALUE(LEFT(M10,FIND("-",M10)-1)),M10))*100&lt;68100)),"Проверьте цену товара. Большинство товаров в выбранной категории стоят дороже 681","")))))),"")</f>
      </c>
    </row>
    <row r="11">
      <c r="A11" s="2" t="inlineStr">
        <is>
          <t/>
        </is>
      </c>
      <c r="B11" s="2" t="inlineStr">
        <is>
          <t>Тарелки</t>
        </is>
      </c>
      <c r="C11" s="2">
        <v>729438443</v>
      </c>
      <c r="D11" s="2" t="inlineStr">
        <is>
          <t>074902</t>
        </is>
      </c>
      <c r="E11" s="2" t="inlineStr">
        <is>
          <t>2048082120252</t>
        </is>
      </c>
      <c r="F11" s="2">
        <v>0</v>
      </c>
      <c r="G11" s="2">
        <v>10</v>
      </c>
      <c r="H11" s="2" t="inlineStr">
        <is>
          <t/>
        </is>
      </c>
      <c r="I11" s="2" t="inlineStr">
        <is>
          <t>0</t>
        </is>
      </c>
      <c r="J11" s="4"/>
      <c r="K11" s="2">
        <v>0</v>
      </c>
      <c r="L11" s="6"/>
      <c r="M11" s="2" t="str">
        <f>IF(J11="",ROUND(I11*(1-IF(ISBLANK(L11),K11,L11)/100),2),ROUND(J11*(1-IF(ISBLANK(L11),K11,L11)/100),2))</f>
      </c>
      <c r="N11" s="7" t="str">
        <f>IF(NOT(AND(J11="",L11="")),IF(OR(AND(L11&lt;&gt;"",NOT(ISNUMBER(L11))),IFERROR(MOD(L11,1),1)&gt;0,AND(ISNUMBER(L11),OR(L11&lt;0,L11&gt;95))),"Введите целое число от 0 до 95",IF(OR(AND(J11&lt;&gt;"",NOT(ISNUMBER(J11))),IFERROR(MOD(J11,1),1)&gt;0,AND(ISNUMBER(J11),OR(J11&lt;50,J11&gt;20000000))),"Введите целое число от 50 до 20000000",IF(NOT(ABS(IFERROR(VALUE(LEFT(M11,FIND("-",M11)-1)),M11)*100-(2500+2000000000)/2)&lt;=ABS(2500-2000000000)/2),"Цена со скидкой должна быть от 25 до 20000000",IF(AND(IFERROR(VALUE(LEFT(M11,FIND("-",M11)-1)),M11)*150&lt;=0,IFERROR(VALUE(LEFT(M11,FIND("-",M11)-1)),M11)*200&gt;0),"Вы уменьшили цену в несколько раз, товар попадет в карантин цен",IF(IFERROR(VALUE(LEFT(M11,FIND("-",M11)-1)),M11)*200&lt;=0,"Не сохранили изменения, чтобы защитить от ошибки — новые цены меньше текущих более чем в 2 раза. Снижайте их постепенно",IF(AND(IFERROR(VALUE(I11),0)=0,ISNUMBER(J11),OR(J11&lt;413,ABS(IFERROR(VALUE(LEFT(M11,FIND("-",M11)-1)),M11))*100&lt;41300)),"Проверьте цену товара. Большинство товаров в выбранной категории стоят дороже 413","")))))),"")</f>
      </c>
    </row>
    <row r="12">
      <c r="A12" s="2" t="inlineStr">
        <is>
          <t/>
        </is>
      </c>
      <c r="B12" s="2" t="inlineStr">
        <is>
          <t>Турки</t>
        </is>
      </c>
      <c r="C12" s="2">
        <v>729507968</v>
      </c>
      <c r="D12" s="2" t="inlineStr">
        <is>
          <t>282971</t>
        </is>
      </c>
      <c r="E12" s="2" t="inlineStr">
        <is>
          <t>2048082797942</t>
        </is>
      </c>
      <c r="F12" s="2">
        <v>5</v>
      </c>
      <c r="G12" s="2">
        <v>0</v>
      </c>
      <c r="H12" s="2">
        <v>171</v>
      </c>
      <c r="I12" s="2" t="inlineStr">
        <is>
          <t>5252</t>
        </is>
      </c>
      <c r="J12" s="4"/>
      <c r="K12" s="2">
        <v>79</v>
      </c>
      <c r="L12" s="6"/>
      <c r="M12" s="2" t="str">
        <f>IF(J12="",ROUND(I12*(1-IF(ISBLANK(L12),K12,L12)/100),2),ROUND(J12*(1-IF(ISBLANK(L12),K12,L12)/100),2))</f>
      </c>
      <c r="N12" s="7" t="str">
        <f>IF(NOT(AND(J12="",L12="")),IF(OR(AND(L12&lt;&gt;"",NOT(ISNUMBER(L12))),IFERROR(MOD(L12,1),1)&gt;0,AND(ISNUMBER(L12),OR(L12&lt;0,L12&gt;95))),"Введите целое число от 0 до 95",IF(OR(AND(J12&lt;&gt;"",NOT(ISNUMBER(J12))),IFERROR(MOD(J12,1),1)&gt;0,AND(ISNUMBER(J12),OR(J12&lt;50,J12&gt;20000000))),"Введите целое число от 50 до 20000000",IF(NOT(ABS(IFERROR(VALUE(LEFT(M12,FIND("-",M12)-1)),M12)*100-(2500+2000000000)/2)&lt;=ABS(2500-2000000000)/2),"Цена со скидкой должна быть от 25 до 20000000",IF(AND(IFERROR(VALUE(LEFT(M12,FIND("-",M12)-1)),M12)*150&lt;=110291,IFERROR(VALUE(LEFT(M12,FIND("-",M12)-1)),M12)*200&gt;110291),"Вы уменьшили цену в несколько раз, товар попадет в карантин цен",IF(IFERROR(VALUE(LEFT(M12,FIND("-",M12)-1)),M12)*200&lt;=110291,"Не сохранили изменения, чтобы защитить от ошибки — новые цены меньше текущих более чем в 2 раза. Снижайте их постепенно",IF(AND(IFERROR(VALUE(I12),0)=0,ISNUMBER(J12),OR(J12&lt;643,ABS(IFERROR(VALUE(LEFT(M12,FIND("-",M12)-1)),M12))*100&lt;64300)),"Проверьте цену товара. Большинство товаров в выбранной категории стоят дороже 643","")))))),"")</f>
      </c>
    </row>
    <row r="13">
      <c r="A13" s="2" t="inlineStr">
        <is>
          <t/>
        </is>
      </c>
      <c r="B13" s="2" t="inlineStr">
        <is>
          <t>Сковороды</t>
        </is>
      </c>
      <c r="C13" s="2">
        <v>729286683</v>
      </c>
      <c r="D13" s="2" t="inlineStr">
        <is>
          <t>32361</t>
        </is>
      </c>
      <c r="E13" s="2" t="inlineStr">
        <is>
          <t>2048080624943</t>
        </is>
      </c>
      <c r="F13" s="2">
        <v>0</v>
      </c>
      <c r="G13" s="2">
        <v>0</v>
      </c>
      <c r="H13" s="2" t="inlineStr">
        <is>
          <t/>
        </is>
      </c>
      <c r="I13" s="2" t="inlineStr">
        <is>
          <t>9268</t>
        </is>
      </c>
      <c r="J13" s="4"/>
      <c r="K13" s="2">
        <v>69</v>
      </c>
      <c r="L13" s="6"/>
      <c r="M13" s="2" t="str">
        <f>IF(J13="",ROUND(I13*(1-IF(ISBLANK(L13),K13,L13)/100),2),ROUND(J13*(1-IF(ISBLANK(L13),K13,L13)/100),2))</f>
      </c>
      <c r="N13" s="7" t="str">
        <f>IF(NOT(AND(J13="",L13="")),IF(OR(AND(L13&lt;&gt;"",NOT(ISNUMBER(L13))),IFERROR(MOD(L13,1),1)&gt;0,AND(ISNUMBER(L13),OR(L13&lt;0,L13&gt;95))),"Введите целое число от 0 до 95",IF(OR(AND(J13&lt;&gt;"",NOT(ISNUMBER(J13))),IFERROR(MOD(J13,1),1)&gt;0,AND(ISNUMBER(J13),OR(J13&lt;50,J13&gt;20000000))),"Введите целое число от 50 до 20000000",IF(NOT(ABS(IFERROR(VALUE(LEFT(M13,FIND("-",M13)-1)),M13)*100-(2500+2000000000)/2)&lt;=ABS(2500-2000000000)/2),"Цена со скидкой должна быть от 25 до 20000000",IF(AND(IFERROR(VALUE(LEFT(M13,FIND("-",M13)-1)),M13)*150&lt;=287308,IFERROR(VALUE(LEFT(M13,FIND("-",M13)-1)),M13)*200&gt;287308),"Вы уменьшили цену в несколько раз, товар попадет в карантин цен",IF(IFERROR(VALUE(LEFT(M13,FIND("-",M13)-1)),M13)*200&lt;=287308,"Не сохранили изменения, чтобы защитить от ошибки — новые цены меньше текущих более чем в 2 раза. Снижайте их постепенно",IF(AND(IFERROR(VALUE(I13),0)=0,ISNUMBER(J13),OR(J13&lt;756,ABS(IFERROR(VALUE(LEFT(M13,FIND("-",M13)-1)),M13))*100&lt;75600)),"Проверьте цену товара. Большинство товаров в выбранной категории стоят дороже 756","")))))),"")</f>
      </c>
    </row>
    <row r="14">
      <c r="A14" s="2" t="inlineStr">
        <is>
          <t/>
        </is>
      </c>
      <c r="B14" s="2" t="inlineStr">
        <is>
          <t>Турки</t>
        </is>
      </c>
      <c r="C14" s="2">
        <v>729507958</v>
      </c>
      <c r="D14" s="2" t="inlineStr">
        <is>
          <t>30048</t>
        </is>
      </c>
      <c r="E14" s="2" t="inlineStr">
        <is>
          <t>2048082797843</t>
        </is>
      </c>
      <c r="F14" s="2">
        <v>0</v>
      </c>
      <c r="G14" s="2">
        <v>24</v>
      </c>
      <c r="H14" s="2" t="inlineStr">
        <is>
          <t/>
        </is>
      </c>
      <c r="I14" s="2" t="inlineStr">
        <is>
          <t>9891</t>
        </is>
      </c>
      <c r="J14" s="4"/>
      <c r="K14" s="2">
        <v>75</v>
      </c>
      <c r="L14" s="6"/>
      <c r="M14" s="2" t="str">
        <f>IF(J14="",ROUND(I14*(1-IF(ISBLANK(L14),K14,L14)/100),2),ROUND(J14*(1-IF(ISBLANK(L14),K14,L14)/100),2))</f>
      </c>
      <c r="N14" s="7" t="str">
        <f>IF(NOT(AND(J14="",L14="")),IF(OR(AND(L14&lt;&gt;"",NOT(ISNUMBER(L14))),IFERROR(MOD(L14,1),1)&gt;0,AND(ISNUMBER(L14),OR(L14&lt;0,L14&gt;95))),"Введите целое число от 0 до 95",IF(OR(AND(J14&lt;&gt;"",NOT(ISNUMBER(J14))),IFERROR(MOD(J14,1),1)&gt;0,AND(ISNUMBER(J14),OR(J14&lt;50,J14&gt;20000000))),"Введите целое число от 50 до 20000000",IF(NOT(ABS(IFERROR(VALUE(LEFT(M14,FIND("-",M14)-1)),M14)*100-(2500+2000000000)/2)&lt;=ABS(2500-2000000000)/2),"Цена со скидкой должна быть от 25 до 20000000",IF(AND(IFERROR(VALUE(LEFT(M14,FIND("-",M14)-1)),M14)*150&lt;=247275,IFERROR(VALUE(LEFT(M14,FIND("-",M14)-1)),M14)*200&gt;247275),"Вы уменьшили цену в несколько раз, товар попадет в карантин цен",IF(IFERROR(VALUE(LEFT(M14,FIND("-",M14)-1)),M14)*200&lt;=247275,"Не сохранили изменения, чтобы защитить от ошибки — новые цены меньше текущих более чем в 2 раза. Снижайте их постепенно",IF(AND(IFERROR(VALUE(I14),0)=0,ISNUMBER(J14),OR(J14&lt;643,ABS(IFERROR(VALUE(LEFT(M14,FIND("-",M14)-1)),M14))*100&lt;64300)),"Проверьте цену товара. Большинство товаров в выбранной категории стоят дороже 643","")))))),"")</f>
      </c>
    </row>
    <row r="15">
      <c r="A15" s="2" t="inlineStr">
        <is>
          <t/>
        </is>
      </c>
      <c r="B15" s="2" t="inlineStr">
        <is>
          <t>Сковороды</t>
        </is>
      </c>
      <c r="C15" s="2">
        <v>729286957</v>
      </c>
      <c r="D15" s="2" t="inlineStr">
        <is>
          <t>20478</t>
        </is>
      </c>
      <c r="E15" s="2" t="inlineStr">
        <is>
          <t>2048080629733</t>
        </is>
      </c>
      <c r="F15" s="2">
        <v>0</v>
      </c>
      <c r="G15" s="2">
        <v>7</v>
      </c>
      <c r="H15" s="2" t="inlineStr">
        <is>
          <t/>
        </is>
      </c>
      <c r="I15" s="2" t="inlineStr">
        <is>
          <t>20771</t>
        </is>
      </c>
      <c r="J15" s="4"/>
      <c r="K15" s="2">
        <v>80</v>
      </c>
      <c r="L15" s="6"/>
      <c r="M15" s="2" t="str">
        <f>IF(J15="",ROUND(I15*(1-IF(ISBLANK(L15),K15,L15)/100),2),ROUND(J15*(1-IF(ISBLANK(L15),K15,L15)/100),2))</f>
      </c>
      <c r="N15" s="7" t="str">
        <f>IF(NOT(AND(J15="",L15="")),IF(OR(AND(L15&lt;&gt;"",NOT(ISNUMBER(L15))),IFERROR(MOD(L15,1),1)&gt;0,AND(ISNUMBER(L15),OR(L15&lt;0,L15&gt;95))),"Введите целое число от 0 до 95",IF(OR(AND(J15&lt;&gt;"",NOT(ISNUMBER(J15))),IFERROR(MOD(J15,1),1)&gt;0,AND(ISNUMBER(J15),OR(J15&lt;50,J15&gt;20000000))),"Введите целое число от 50 до 20000000",IF(NOT(ABS(IFERROR(VALUE(LEFT(M15,FIND("-",M15)-1)),M15)*100-(2500+2000000000)/2)&lt;=ABS(2500-2000000000)/2),"Цена со скидкой должна быть от 25 до 20000000",IF(AND(IFERROR(VALUE(LEFT(M15,FIND("-",M15)-1)),M15)*150&lt;=415419,IFERROR(VALUE(LEFT(M15,FIND("-",M15)-1)),M15)*200&gt;415419),"Вы уменьшили цену в несколько раз, товар попадет в карантин цен",IF(IFERROR(VALUE(LEFT(M15,FIND("-",M15)-1)),M15)*200&lt;=415419,"Не сохранили изменения, чтобы защитить от ошибки — новые цены меньше текущих более чем в 2 раза. Снижайте их постепенно",IF(AND(IFERROR(VALUE(I15),0)=0,ISNUMBER(J15),OR(J15&lt;756,ABS(IFERROR(VALUE(LEFT(M15,FIND("-",M15)-1)),M15))*100&lt;75600)),"Проверьте цену товара. Большинство товаров в выбранной категории стоят дороже 756","")))))),"")</f>
      </c>
    </row>
    <row r="16">
      <c r="A16" s="2" t="inlineStr">
        <is>
          <t/>
        </is>
      </c>
      <c r="B16" s="2" t="inlineStr">
        <is>
          <t>Сковороды</t>
        </is>
      </c>
      <c r="C16" s="2">
        <v>729286686</v>
      </c>
      <c r="D16" s="2" t="inlineStr">
        <is>
          <t>32538</t>
        </is>
      </c>
      <c r="E16" s="2" t="inlineStr">
        <is>
          <t>2048080625285</t>
        </is>
      </c>
      <c r="F16" s="2">
        <v>0</v>
      </c>
      <c r="G16" s="2">
        <v>0</v>
      </c>
      <c r="H16" s="2" t="inlineStr">
        <is>
          <t/>
        </is>
      </c>
      <c r="I16" s="2" t="inlineStr">
        <is>
          <t>12460</t>
        </is>
      </c>
      <c r="J16" s="4"/>
      <c r="K16" s="2">
        <v>78</v>
      </c>
      <c r="L16" s="6"/>
      <c r="M16" s="2" t="str">
        <f>IF(J16="",ROUND(I16*(1-IF(ISBLANK(L16),K16,L16)/100),2),ROUND(J16*(1-IF(ISBLANK(L16),K16,L16)/100),2))</f>
      </c>
      <c r="N16" s="7" t="str">
        <f>IF(NOT(AND(J16="",L16="")),IF(OR(AND(L16&lt;&gt;"",NOT(ISNUMBER(L16))),IFERROR(MOD(L16,1),1)&gt;0,AND(ISNUMBER(L16),OR(L16&lt;0,L16&gt;95))),"Введите целое число от 0 до 95",IF(OR(AND(J16&lt;&gt;"",NOT(ISNUMBER(J16))),IFERROR(MOD(J16,1),1)&gt;0,AND(ISNUMBER(J16),OR(J16&lt;50,J16&gt;20000000))),"Введите целое число от 50 до 20000000",IF(NOT(ABS(IFERROR(VALUE(LEFT(M16,FIND("-",M16)-1)),M16)*100-(2500+2000000000)/2)&lt;=ABS(2500-2000000000)/2),"Цена со скидкой должна быть от 25 до 20000000",IF(AND(IFERROR(VALUE(LEFT(M16,FIND("-",M16)-1)),M16)*150&lt;=274120,IFERROR(VALUE(LEFT(M16,FIND("-",M16)-1)),M16)*200&gt;274120),"Вы уменьшили цену в несколько раз, товар попадет в карантин цен",IF(IFERROR(VALUE(LEFT(M16,FIND("-",M16)-1)),M16)*200&lt;=274120,"Не сохранили изменения, чтобы защитить от ошибки — новые цены меньше текущих более чем в 2 раза. Снижайте их постепенно",IF(AND(IFERROR(VALUE(I16),0)=0,ISNUMBER(J16),OR(J16&lt;756,ABS(IFERROR(VALUE(LEFT(M16,FIND("-",M16)-1)),M16))*100&lt;75600)),"Проверьте цену товара. Большинство товаров в выбранной категории стоят дороже 756","")))))),"")</f>
      </c>
    </row>
    <row r="17">
      <c r="A17" s="2" t="inlineStr">
        <is>
          <t/>
        </is>
      </c>
      <c r="B17" s="2" t="inlineStr">
        <is>
          <t>Соковыжималки электрические</t>
        </is>
      </c>
      <c r="C17" s="2">
        <v>603737931</v>
      </c>
      <c r="D17" s="2" t="inlineStr">
        <is>
          <t>192499</t>
        </is>
      </c>
      <c r="E17" s="2" t="inlineStr">
        <is>
          <t>2047148005816</t>
        </is>
      </c>
      <c r="F17" s="2">
        <v>0</v>
      </c>
      <c r="G17" s="2">
        <v>8</v>
      </c>
      <c r="H17" s="2" t="inlineStr">
        <is>
          <t/>
        </is>
      </c>
      <c r="I17" s="2" t="inlineStr">
        <is>
          <t>9710</t>
        </is>
      </c>
      <c r="J17" s="4"/>
      <c r="K17" s="2">
        <v>78</v>
      </c>
      <c r="L17" s="6"/>
      <c r="M17" s="2" t="str">
        <f>IF(J17="",ROUND(I17*(1-IF(ISBLANK(L17),K17,L17)/100),2),ROUND(J17*(1-IF(ISBLANK(L17),K17,L17)/100),2))</f>
      </c>
      <c r="N17" s="7" t="str">
        <f>IF(NOT(AND(J17="",L17="")),IF(OR(AND(L17&lt;&gt;"",NOT(ISNUMBER(L17))),IFERROR(MOD(L17,1),1)&gt;0,AND(ISNUMBER(L17),OR(L17&lt;0,L17&gt;95))),"Введите целое число от 0 до 95",IF(OR(AND(J17&lt;&gt;"",NOT(ISNUMBER(J17))),IFERROR(MOD(J17,1),1)&gt;0,AND(ISNUMBER(J17),OR(J17&lt;50,J17&gt;20000000))),"Введите целое число от 50 до 20000000",IF(NOT(ABS(IFERROR(VALUE(LEFT(M17,FIND("-",M17)-1)),M17)*100-(2500+2000000000)/2)&lt;=ABS(2500-2000000000)/2),"Цена со скидкой должна быть от 25 до 20000000",IF(AND(IFERROR(VALUE(LEFT(M17,FIND("-",M17)-1)),M17)*150&lt;=213619,IFERROR(VALUE(LEFT(M17,FIND("-",M17)-1)),M17)*200&gt;213619),"Вы уменьшили цену в несколько раз, товар попадет в карантин цен",IF(IFERROR(VALUE(LEFT(M17,FIND("-",M17)-1)),M17)*200&lt;=213619,"Не сохранили изменения, чтобы защитить от ошибки — новые цены меньше текущих более чем в 2 раза. Снижайте их постепенно",IF(AND(IFERROR(VALUE(I17),0)=0,ISNUMBER(J17),OR(J17&lt;594,ABS(IFERROR(VALUE(LEFT(M17,FIND("-",M17)-1)),M17))*100&lt;59400)),"Проверьте цену товара. Большинство товаров в выбранной категории стоят дороже 594","")))))),"")</f>
      </c>
    </row>
    <row r="18">
      <c r="A18" s="2" t="inlineStr">
        <is>
          <t/>
        </is>
      </c>
      <c r="B18" s="2" t="inlineStr">
        <is>
          <t>Соковыжималки электрические</t>
        </is>
      </c>
      <c r="C18" s="2">
        <v>603737933</v>
      </c>
      <c r="D18" s="2" t="inlineStr">
        <is>
          <t>192633</t>
        </is>
      </c>
      <c r="E18" s="2" t="inlineStr">
        <is>
          <t>2047148005939</t>
        </is>
      </c>
      <c r="F18" s="2">
        <v>0</v>
      </c>
      <c r="G18" s="2">
        <v>0</v>
      </c>
      <c r="H18" s="2" t="inlineStr">
        <is>
          <t/>
        </is>
      </c>
      <c r="I18" s="2" t="inlineStr">
        <is>
          <t>29825</t>
        </is>
      </c>
      <c r="J18" s="4"/>
      <c r="K18" s="2">
        <v>65</v>
      </c>
      <c r="L18" s="6"/>
      <c r="M18" s="2" t="str">
        <f>IF(J18="",ROUND(I18*(1-IF(ISBLANK(L18),K18,L18)/100),2),ROUND(J18*(1-IF(ISBLANK(L18),K18,L18)/100),2))</f>
      </c>
      <c r="N18" s="7" t="str">
        <f>IF(NOT(AND(J18="",L18="")),IF(OR(AND(L18&lt;&gt;"",NOT(ISNUMBER(L18))),IFERROR(MOD(L18,1),1)&gt;0,AND(ISNUMBER(L18),OR(L18&lt;0,L18&gt;95))),"Введите целое число от 0 до 95",IF(OR(AND(J18&lt;&gt;"",NOT(ISNUMBER(J18))),IFERROR(MOD(J18,1),1)&gt;0,AND(ISNUMBER(J18),OR(J18&lt;50,J18&gt;20000000))),"Введите целое число от 50 до 20000000",IF(NOT(ABS(IFERROR(VALUE(LEFT(M18,FIND("-",M18)-1)),M18)*100-(2500+2000000000)/2)&lt;=ABS(2500-2000000000)/2),"Цена со скидкой должна быть от 25 до 20000000",IF(AND(IFERROR(VALUE(LEFT(M18,FIND("-",M18)-1)),M18)*150&lt;=1043875,IFERROR(VALUE(LEFT(M18,FIND("-",M18)-1)),M18)*200&gt;1043875),"Вы уменьшили цену в несколько раз, товар попадет в карантин цен",IF(IFERROR(VALUE(LEFT(M18,FIND("-",M18)-1)),M18)*200&lt;=1043875,"Не сохранили изменения, чтобы защитить от ошибки — новые цены меньше текущих более чем в 2 раза. Снижайте их постепенно",IF(AND(IFERROR(VALUE(I18),0)=0,ISNUMBER(J18),OR(J18&lt;594,ABS(IFERROR(VALUE(LEFT(M18,FIND("-",M18)-1)),M18))*100&lt;59400)),"Проверьте цену товара. Большинство товаров в выбранной категории стоят дороже 594","")))))),"")</f>
      </c>
    </row>
    <row r="19">
      <c r="A19" s="2" t="inlineStr">
        <is>
          <t/>
        </is>
      </c>
      <c r="B19" s="2" t="inlineStr">
        <is>
          <t>Сковороды</t>
        </is>
      </c>
      <c r="C19" s="2">
        <v>729286965</v>
      </c>
      <c r="D19" s="2" t="inlineStr">
        <is>
          <t>20082</t>
        </is>
      </c>
      <c r="E19" s="2" t="inlineStr">
        <is>
          <t>2048080629863</t>
        </is>
      </c>
      <c r="F19" s="2">
        <v>0</v>
      </c>
      <c r="G19" s="2">
        <v>2</v>
      </c>
      <c r="H19" s="2" t="inlineStr">
        <is>
          <t/>
        </is>
      </c>
      <c r="I19" s="2" t="inlineStr">
        <is>
          <t>17891</t>
        </is>
      </c>
      <c r="J19" s="4"/>
      <c r="K19" s="2">
        <v>80</v>
      </c>
      <c r="L19" s="6"/>
      <c r="M19" s="2" t="str">
        <f>IF(J19="",ROUND(I19*(1-IF(ISBLANK(L19),K19,L19)/100),2),ROUND(J19*(1-IF(ISBLANK(L19),K19,L19)/100),2))</f>
      </c>
      <c r="N19" s="7" t="str">
        <f>IF(NOT(AND(J19="",L19="")),IF(OR(AND(L19&lt;&gt;"",NOT(ISNUMBER(L19))),IFERROR(MOD(L19,1),1)&gt;0,AND(ISNUMBER(L19),OR(L19&lt;0,L19&gt;95))),"Введите целое число от 0 до 95",IF(OR(AND(J19&lt;&gt;"",NOT(ISNUMBER(J19))),IFERROR(MOD(J19,1),1)&gt;0,AND(ISNUMBER(J19),OR(J19&lt;50,J19&gt;20000000))),"Введите целое число от 50 до 20000000",IF(NOT(ABS(IFERROR(VALUE(LEFT(M19,FIND("-",M19)-1)),M19)*100-(2500+2000000000)/2)&lt;=ABS(2500-2000000000)/2),"Цена со скидкой должна быть от 25 до 20000000",IF(AND(IFERROR(VALUE(LEFT(M19,FIND("-",M19)-1)),M19)*150&lt;=357819,IFERROR(VALUE(LEFT(M19,FIND("-",M19)-1)),M19)*200&gt;357819),"Вы уменьшили цену в несколько раз, товар попадет в карантин цен",IF(IFERROR(VALUE(LEFT(M19,FIND("-",M19)-1)),M19)*200&lt;=357819,"Не сохранили изменения, чтобы защитить от ошибки — новые цены меньше текущих более чем в 2 раза. Снижайте их постепенно",IF(AND(IFERROR(VALUE(I19),0)=0,ISNUMBER(J19),OR(J19&lt;756,ABS(IFERROR(VALUE(LEFT(M19,FIND("-",M19)-1)),M19))*100&lt;75600)),"Проверьте цену товара. Большинство товаров в выбранной категории стоят дороже 756","")))))),"")</f>
      </c>
    </row>
    <row r="20">
      <c r="A20" s="2" t="inlineStr">
        <is>
          <t/>
        </is>
      </c>
      <c r="B20" s="2" t="inlineStr">
        <is>
          <t>Соковыжималки электрические</t>
        </is>
      </c>
      <c r="C20" s="2">
        <v>603737932</v>
      </c>
      <c r="D20" s="2" t="inlineStr">
        <is>
          <t>192632</t>
        </is>
      </c>
      <c r="E20" s="2" t="inlineStr">
        <is>
          <t>2047148005823</t>
        </is>
      </c>
      <c r="F20" s="2">
        <v>0</v>
      </c>
      <c r="G20" s="2">
        <v>3</v>
      </c>
      <c r="H20" s="2" t="inlineStr">
        <is>
          <t/>
        </is>
      </c>
      <c r="I20" s="2" t="inlineStr">
        <is>
          <t>33747</t>
        </is>
      </c>
      <c r="J20" s="4"/>
      <c r="K20" s="2">
        <v>80</v>
      </c>
      <c r="L20" s="6"/>
      <c r="M20" s="2" t="str">
        <f>IF(J20="",ROUND(I20*(1-IF(ISBLANK(L20),K20,L20)/100),2),ROUND(J20*(1-IF(ISBLANK(L20),K20,L20)/100),2))</f>
      </c>
      <c r="N20" s="7" t="str">
        <f>IF(NOT(AND(J20="",L20="")),IF(OR(AND(L20&lt;&gt;"",NOT(ISNUMBER(L20))),IFERROR(MOD(L20,1),1)&gt;0,AND(ISNUMBER(L20),OR(L20&lt;0,L20&gt;95))),"Введите целое число от 0 до 95",IF(OR(AND(J20&lt;&gt;"",NOT(ISNUMBER(J20))),IFERROR(MOD(J20,1),1)&gt;0,AND(ISNUMBER(J20),OR(J20&lt;50,J20&gt;20000000))),"Введите целое число от 50 до 20000000",IF(NOT(ABS(IFERROR(VALUE(LEFT(M20,FIND("-",M20)-1)),M20)*100-(2500+2000000000)/2)&lt;=ABS(2500-2000000000)/2),"Цена со скидкой должна быть от 25 до 20000000",IF(AND(IFERROR(VALUE(LEFT(M20,FIND("-",M20)-1)),M20)*150&lt;=674939,IFERROR(VALUE(LEFT(M20,FIND("-",M20)-1)),M20)*200&gt;674939),"Вы уменьшили цену в несколько раз, товар попадет в карантин цен",IF(IFERROR(VALUE(LEFT(M20,FIND("-",M20)-1)),M20)*200&lt;=674939,"Не сохранили изменения, чтобы защитить от ошибки — новые цены меньше текущих более чем в 2 раза. Снижайте их постепенно",IF(AND(IFERROR(VALUE(I20),0)=0,ISNUMBER(J20),OR(J20&lt;594,ABS(IFERROR(VALUE(LEFT(M20,FIND("-",M20)-1)),M20))*100&lt;59400)),"Проверьте цену товара. Большинство товаров в выбранной категории стоят дороже 594","")))))),"")</f>
      </c>
    </row>
    <row r="21">
      <c r="A21" s="2" t="inlineStr">
        <is>
          <t/>
        </is>
      </c>
      <c r="B21" s="2" t="inlineStr">
        <is>
          <t>Чайники электрические</t>
        </is>
      </c>
      <c r="C21" s="2">
        <v>603736277</v>
      </c>
      <c r="D21" s="2" t="inlineStr">
        <is>
          <t>192095</t>
        </is>
      </c>
      <c r="E21" s="2" t="inlineStr">
        <is>
          <t>2047147983733</t>
        </is>
      </c>
      <c r="F21" s="2">
        <v>0</v>
      </c>
      <c r="G21" s="2">
        <v>12</v>
      </c>
      <c r="H21" s="2" t="inlineStr">
        <is>
          <t/>
        </is>
      </c>
      <c r="I21" s="2" t="inlineStr">
        <is>
          <t>11469</t>
        </is>
      </c>
      <c r="J21" s="4"/>
      <c r="K21" s="2">
        <v>76</v>
      </c>
      <c r="L21" s="6"/>
      <c r="M21" s="2" t="str">
        <f>IF(J21="",ROUND(I21*(1-IF(ISBLANK(L21),K21,L21)/100),2),ROUND(J21*(1-IF(ISBLANK(L21),K21,L21)/100),2))</f>
      </c>
      <c r="N21" s="7" t="str">
        <f>IF(NOT(AND(J21="",L21="")),IF(OR(AND(L21&lt;&gt;"",NOT(ISNUMBER(L21))),IFERROR(MOD(L21,1),1)&gt;0,AND(ISNUMBER(L21),OR(L21&lt;0,L21&gt;95))),"Введите целое число от 0 до 95",IF(OR(AND(J21&lt;&gt;"",NOT(ISNUMBER(J21))),IFERROR(MOD(J21,1),1)&gt;0,AND(ISNUMBER(J21),OR(J21&lt;50,J21&gt;20000000))),"Введите целое число от 50 до 20000000",IF(NOT(ABS(IFERROR(VALUE(LEFT(M21,FIND("-",M21)-1)),M21)*100-(2500+2000000000)/2)&lt;=ABS(2500-2000000000)/2),"Цена со скидкой должна быть от 25 до 20000000",IF(AND(IFERROR(VALUE(LEFT(M21,FIND("-",M21)-1)),M21)*150&lt;=275256,IFERROR(VALUE(LEFT(M21,FIND("-",M21)-1)),M21)*200&gt;275256),"Вы уменьшили цену в несколько раз, товар попадет в карантин цен",IF(IFERROR(VALUE(LEFT(M21,FIND("-",M21)-1)),M21)*200&lt;=275256,"Не сохранили изменения, чтобы защитить от ошибки — новые цены меньше текущих более чем в 2 раза. Снижайте их постепенно",IF(AND(IFERROR(VALUE(I21),0)=0,ISNUMBER(J21),OR(J21&lt;496,ABS(IFERROR(VALUE(LEFT(M21,FIND("-",M21)-1)),M21))*100&lt;49600)),"Проверьте цену товара. Большинство товаров в выбранной категории стоят дороже 496","")))))),"")</f>
      </c>
    </row>
    <row r="22">
      <c r="A22" s="2" t="inlineStr">
        <is>
          <t/>
        </is>
      </c>
      <c r="B22" s="2" t="inlineStr">
        <is>
          <t>Чайники электрические</t>
        </is>
      </c>
      <c r="C22" s="2">
        <v>603732357</v>
      </c>
      <c r="D22" s="2" t="inlineStr">
        <is>
          <t>192553</t>
        </is>
      </c>
      <c r="E22" s="2" t="inlineStr">
        <is>
          <t>2047147941504</t>
        </is>
      </c>
      <c r="F22" s="2">
        <v>0</v>
      </c>
      <c r="G22" s="2">
        <v>0</v>
      </c>
      <c r="H22" s="2" t="inlineStr">
        <is>
          <t/>
        </is>
      </c>
      <c r="I22" s="2" t="inlineStr">
        <is>
          <t>7560</t>
        </is>
      </c>
      <c r="J22" s="4"/>
      <c r="K22" s="2">
        <v>76</v>
      </c>
      <c r="L22" s="6"/>
      <c r="M22" s="2" t="str">
        <f>IF(J22="",ROUND(I22*(1-IF(ISBLANK(L22),K22,L22)/100),2),ROUND(J22*(1-IF(ISBLANK(L22),K22,L22)/100),2))</f>
      </c>
      <c r="N22" s="7" t="str">
        <f>IF(NOT(AND(J22="",L22="")),IF(OR(AND(L22&lt;&gt;"",NOT(ISNUMBER(L22))),IFERROR(MOD(L22,1),1)&gt;0,AND(ISNUMBER(L22),OR(L22&lt;0,L22&gt;95))),"Введите целое число от 0 до 95",IF(OR(AND(J22&lt;&gt;"",NOT(ISNUMBER(J22))),IFERROR(MOD(J22,1),1)&gt;0,AND(ISNUMBER(J22),OR(J22&lt;50,J22&gt;20000000))),"Введите целое число от 50 до 20000000",IF(NOT(ABS(IFERROR(VALUE(LEFT(M22,FIND("-",M22)-1)),M22)*100-(2500+2000000000)/2)&lt;=ABS(2500-2000000000)/2),"Цена со скидкой должна быть от 25 до 20000000",IF(AND(IFERROR(VALUE(LEFT(M22,FIND("-",M22)-1)),M22)*150&lt;=181440,IFERROR(VALUE(LEFT(M22,FIND("-",M22)-1)),M22)*200&gt;181440),"Вы уменьшили цену в несколько раз, товар попадет в карантин цен",IF(IFERROR(VALUE(LEFT(M22,FIND("-",M22)-1)),M22)*200&lt;=181440,"Не сохранили изменения, чтобы защитить от ошибки — новые цены меньше текущих более чем в 2 раза. Снижайте их постепенно",IF(AND(IFERROR(VALUE(I22),0)=0,ISNUMBER(J22),OR(J22&lt;496,ABS(IFERROR(VALUE(LEFT(M22,FIND("-",M22)-1)),M22))*100&lt;49600)),"Проверьте цену товара. Большинство товаров в выбранной категории стоят дороже 496","")))))),"")</f>
      </c>
    </row>
    <row r="23">
      <c r="A23" s="2" t="inlineStr">
        <is>
          <t>SAKURA (бытовая техника)</t>
        </is>
      </c>
      <c r="B23" s="2" t="inlineStr">
        <is>
          <t>Чайники электрические</t>
        </is>
      </c>
      <c r="C23" s="2">
        <v>332498441</v>
      </c>
      <c r="D23" s="2" t="inlineStr">
        <is>
          <t>191889</t>
        </is>
      </c>
      <c r="E23" s="2" t="inlineStr">
        <is>
          <t>2042846455345</t>
        </is>
      </c>
      <c r="F23" s="2">
        <v>0</v>
      </c>
      <c r="G23" s="2">
        <v>0</v>
      </c>
      <c r="H23" s="2">
        <v>1</v>
      </c>
      <c r="I23" s="2" t="inlineStr">
        <is>
          <t>22723</t>
        </is>
      </c>
      <c r="J23" s="4"/>
      <c r="K23" s="2">
        <v>65</v>
      </c>
      <c r="L23" s="6"/>
      <c r="M23" s="2" t="str">
        <f>IF(J23="",ROUND(I23*(1-IF(ISBLANK(L23),K23,L23)/100),2),ROUND(J23*(1-IF(ISBLANK(L23),K23,L23)/100),2))</f>
      </c>
      <c r="N23" s="7" t="str">
        <f>IF(NOT(AND(J23="",L23="")),IF(OR(AND(L23&lt;&gt;"",NOT(ISNUMBER(L23))),IFERROR(MOD(L23,1),1)&gt;0,AND(ISNUMBER(L23),OR(L23&lt;0,L23&gt;95))),"Введите целое число от 0 до 95",IF(OR(AND(J23&lt;&gt;"",NOT(ISNUMBER(J23))),IFERROR(MOD(J23,1),1)&gt;0,AND(ISNUMBER(J23),OR(J23&lt;50,J23&gt;20000000))),"Введите целое число от 50 до 20000000",IF(NOT(ABS(IFERROR(VALUE(LEFT(M23,FIND("-",M23)-1)),M23)*100-(2500+2000000000)/2)&lt;=ABS(2500-2000000000)/2),"Цена со скидкой должна быть от 25 до 20000000",IF(AND(IFERROR(VALUE(LEFT(M23,FIND("-",M23)-1)),M23)*150&lt;=795304,IFERROR(VALUE(LEFT(M23,FIND("-",M23)-1)),M23)*200&gt;795304),"Вы уменьшили цену в несколько раз, товар попадет в карантин цен",IF(IFERROR(VALUE(LEFT(M23,FIND("-",M23)-1)),M23)*200&lt;=795304,"Не сохранили изменения, чтобы защитить от ошибки — новые цены меньше текущих более чем в 2 раза. Снижайте их постепенно",IF(AND(IFERROR(VALUE(I23),0)=0,ISNUMBER(J23),OR(J23&lt;496,ABS(IFERROR(VALUE(LEFT(M23,FIND("-",M23)-1)),M23))*100&lt;49600)),"Проверьте цену товара. Большинство товаров в выбранной категории стоят дороже 496","")))))),"")</f>
      </c>
    </row>
    <row r="24">
      <c r="A24" s="2" t="inlineStr">
        <is>
          <t>SAKURA (бытовая техника)</t>
        </is>
      </c>
      <c r="B24" s="2" t="inlineStr">
        <is>
          <t>Чайники электрические</t>
        </is>
      </c>
      <c r="C24" s="2">
        <v>332498440</v>
      </c>
      <c r="D24" s="2" t="inlineStr">
        <is>
          <t>192324</t>
        </is>
      </c>
      <c r="E24" s="2" t="inlineStr">
        <is>
          <t>2042846050922</t>
        </is>
      </c>
      <c r="F24" s="2">
        <v>6</v>
      </c>
      <c r="G24" s="2">
        <v>0</v>
      </c>
      <c r="H24" s="2">
        <v>999</v>
      </c>
      <c r="I24" s="2" t="inlineStr">
        <is>
          <t>11256</t>
        </is>
      </c>
      <c r="J24" s="4"/>
      <c r="K24" s="2">
        <v>78</v>
      </c>
      <c r="L24" s="6"/>
      <c r="M24" s="2" t="str">
        <f>IF(J24="",ROUND(I24*(1-IF(ISBLANK(L24),K24,L24)/100),2),ROUND(J24*(1-IF(ISBLANK(L24),K24,L24)/100),2))</f>
      </c>
      <c r="N24" s="7" t="str">
        <f>IF(NOT(AND(J24="",L24="")),IF(OR(AND(L24&lt;&gt;"",NOT(ISNUMBER(L24))),IFERROR(MOD(L24,1),1)&gt;0,AND(ISNUMBER(L24),OR(L24&lt;0,L24&gt;95))),"Введите целое число от 0 до 95",IF(OR(AND(J24&lt;&gt;"",NOT(ISNUMBER(J24))),IFERROR(MOD(J24,1),1)&gt;0,AND(ISNUMBER(J24),OR(J24&lt;50,J24&gt;20000000))),"Введите целое число от 50 до 20000000",IF(NOT(ABS(IFERROR(VALUE(LEFT(M24,FIND("-",M24)-1)),M24)*100-(2500+2000000000)/2)&lt;=ABS(2500-2000000000)/2),"Цена со скидкой должна быть от 25 до 20000000",IF(AND(IFERROR(VALUE(LEFT(M24,FIND("-",M24)-1)),M24)*150&lt;=247631,IFERROR(VALUE(LEFT(M24,FIND("-",M24)-1)),M24)*200&gt;247631),"Вы уменьшили цену в несколько раз, товар попадет в карантин цен",IF(IFERROR(VALUE(LEFT(M24,FIND("-",M24)-1)),M24)*200&lt;=247631,"Не сохранили изменения, чтобы защитить от ошибки — новые цены меньше текущих более чем в 2 раза. Снижайте их постепенно",IF(AND(IFERROR(VALUE(I24),0)=0,ISNUMBER(J24),OR(J24&lt;496,ABS(IFERROR(VALUE(LEFT(M24,FIND("-",M24)-1)),M24))*100&lt;49600)),"Проверьте цену товара. Большинство товаров в выбранной категории стоят дороже 496","")))))),"")</f>
      </c>
    </row>
    <row r="25">
      <c r="A25" s="2" t="inlineStr">
        <is>
          <t/>
        </is>
      </c>
      <c r="B25" s="2" t="inlineStr">
        <is>
          <t>Чайники электрические</t>
        </is>
      </c>
      <c r="C25" s="2">
        <v>603732352</v>
      </c>
      <c r="D25" s="2" t="inlineStr">
        <is>
          <t>19746</t>
        </is>
      </c>
      <c r="E25" s="2" t="inlineStr">
        <is>
          <t>2047147941429</t>
        </is>
      </c>
      <c r="F25" s="2">
        <v>0</v>
      </c>
      <c r="G25" s="2">
        <v>0</v>
      </c>
      <c r="H25" s="2" t="inlineStr">
        <is>
          <t/>
        </is>
      </c>
      <c r="I25" s="2" t="inlineStr">
        <is>
          <t>11174</t>
        </is>
      </c>
      <c r="J25" s="4"/>
      <c r="K25" s="2">
        <v>65</v>
      </c>
      <c r="L25" s="6"/>
      <c r="M25" s="2" t="str">
        <f>IF(J25="",ROUND(I25*(1-IF(ISBLANK(L25),K25,L25)/100),2),ROUND(J25*(1-IF(ISBLANK(L25),K25,L25)/100),2))</f>
      </c>
      <c r="N25" s="7" t="str">
        <f>IF(NOT(AND(J25="",L25="")),IF(OR(AND(L25&lt;&gt;"",NOT(ISNUMBER(L25))),IFERROR(MOD(L25,1),1)&gt;0,AND(ISNUMBER(L25),OR(L25&lt;0,L25&gt;95))),"Введите целое число от 0 до 95",IF(OR(AND(J25&lt;&gt;"",NOT(ISNUMBER(J25))),IFERROR(MOD(J25,1),1)&gt;0,AND(ISNUMBER(J25),OR(J25&lt;50,J25&gt;20000000))),"Введите целое число от 50 до 20000000",IF(NOT(ABS(IFERROR(VALUE(LEFT(M25,FIND("-",M25)-1)),M25)*100-(2500+2000000000)/2)&lt;=ABS(2500-2000000000)/2),"Цена со скидкой должна быть от 25 до 20000000",IF(AND(IFERROR(VALUE(LEFT(M25,FIND("-",M25)-1)),M25)*150&lt;=391089,IFERROR(VALUE(LEFT(M25,FIND("-",M25)-1)),M25)*200&gt;391089),"Вы уменьшили цену в несколько раз, товар попадет в карантин цен",IF(IFERROR(VALUE(LEFT(M25,FIND("-",M25)-1)),M25)*200&lt;=391089,"Не сохранили изменения, чтобы защитить от ошибки — новые цены меньше текущих более чем в 2 раза. Снижайте их постепенно",IF(AND(IFERROR(VALUE(I25),0)=0,ISNUMBER(J25),OR(J25&lt;496,ABS(IFERROR(VALUE(LEFT(M25,FIND("-",M25)-1)),M25))*100&lt;49600)),"Проверьте цену товара. Большинство товаров в выбранной категории стоят дороже 496","")))))),"")</f>
      </c>
    </row>
    <row r="26">
      <c r="A26" s="2" t="inlineStr">
        <is>
          <t/>
        </is>
      </c>
      <c r="B26" s="2" t="inlineStr">
        <is>
          <t>Чайники электрические</t>
        </is>
      </c>
      <c r="C26" s="2">
        <v>603736269</v>
      </c>
      <c r="D26" s="2" t="inlineStr">
        <is>
          <t>192540</t>
        </is>
      </c>
      <c r="E26" s="2" t="inlineStr">
        <is>
          <t>2047147983627</t>
        </is>
      </c>
      <c r="F26" s="2">
        <v>0</v>
      </c>
      <c r="G26" s="2">
        <v>5</v>
      </c>
      <c r="H26" s="2" t="inlineStr">
        <is>
          <t/>
        </is>
      </c>
      <c r="I26" s="2" t="inlineStr">
        <is>
          <t>13394</t>
        </is>
      </c>
      <c r="J26" s="4"/>
      <c r="K26" s="2">
        <v>69</v>
      </c>
      <c r="L26" s="6"/>
      <c r="M26" s="2" t="str">
        <f>IF(J26="",ROUND(I26*(1-IF(ISBLANK(L26),K26,L26)/100),2),ROUND(J26*(1-IF(ISBLANK(L26),K26,L26)/100),2))</f>
      </c>
      <c r="N26" s="7" t="str">
        <f>IF(NOT(AND(J26="",L26="")),IF(OR(AND(L26&lt;&gt;"",NOT(ISNUMBER(L26))),IFERROR(MOD(L26,1),1)&gt;0,AND(ISNUMBER(L26),OR(L26&lt;0,L26&gt;95))),"Введите целое число от 0 до 95",IF(OR(AND(J26&lt;&gt;"",NOT(ISNUMBER(J26))),IFERROR(MOD(J26,1),1)&gt;0,AND(ISNUMBER(J26),OR(J26&lt;50,J26&gt;20000000))),"Введите целое число от 50 до 20000000",IF(NOT(ABS(IFERROR(VALUE(LEFT(M26,FIND("-",M26)-1)),M26)*100-(2500+2000000000)/2)&lt;=ABS(2500-2000000000)/2),"Цена со скидкой должна быть от 25 до 20000000",IF(AND(IFERROR(VALUE(LEFT(M26,FIND("-",M26)-1)),M26)*150&lt;=415214,IFERROR(VALUE(LEFT(M26,FIND("-",M26)-1)),M26)*200&gt;415214),"Вы уменьшили цену в несколько раз, товар попадет в карантин цен",IF(IFERROR(VALUE(LEFT(M26,FIND("-",M26)-1)),M26)*200&lt;=415214,"Не сохранили изменения, чтобы защитить от ошибки — новые цены меньше текущих более чем в 2 раза. Снижайте их постепенно",IF(AND(IFERROR(VALUE(I26),0)=0,ISNUMBER(J26),OR(J26&lt;496,ABS(IFERROR(VALUE(LEFT(M26,FIND("-",M26)-1)),M26))*100&lt;49600)),"Проверьте цену товара. Большинство товаров в выбранной категории стоят дороже 496","")))))),"")</f>
      </c>
    </row>
    <row r="27">
      <c r="A27" s="2" t="inlineStr">
        <is>
          <t/>
        </is>
      </c>
      <c r="B27" s="2" t="inlineStr">
        <is>
          <t>Чайники электрические</t>
        </is>
      </c>
      <c r="C27" s="2">
        <v>603732359</v>
      </c>
      <c r="D27" s="2" t="inlineStr">
        <is>
          <t>192554</t>
        </is>
      </c>
      <c r="E27" s="2" t="inlineStr">
        <is>
          <t>2047147941511</t>
        </is>
      </c>
      <c r="F27" s="2">
        <v>0</v>
      </c>
      <c r="G27" s="2">
        <v>0</v>
      </c>
      <c r="H27" s="2" t="inlineStr">
        <is>
          <t/>
        </is>
      </c>
      <c r="I27" s="2" t="inlineStr">
        <is>
          <t>9763</t>
        </is>
      </c>
      <c r="J27" s="4"/>
      <c r="K27" s="2">
        <v>65</v>
      </c>
      <c r="L27" s="6"/>
      <c r="M27" s="2" t="str">
        <f>IF(J27="",ROUND(I27*(1-IF(ISBLANK(L27),K27,L27)/100),2),ROUND(J27*(1-IF(ISBLANK(L27),K27,L27)/100),2))</f>
      </c>
      <c r="N27" s="7" t="str">
        <f>IF(NOT(AND(J27="",L27="")),IF(OR(AND(L27&lt;&gt;"",NOT(ISNUMBER(L27))),IFERROR(MOD(L27,1),1)&gt;0,AND(ISNUMBER(L27),OR(L27&lt;0,L27&gt;95))),"Введите целое число от 0 до 95",IF(OR(AND(J27&lt;&gt;"",NOT(ISNUMBER(J27))),IFERROR(MOD(J27,1),1)&gt;0,AND(ISNUMBER(J27),OR(J27&lt;50,J27&gt;20000000))),"Введите целое число от 50 до 20000000",IF(NOT(ABS(IFERROR(VALUE(LEFT(M27,FIND("-",M27)-1)),M27)*100-(2500+2000000000)/2)&lt;=ABS(2500-2000000000)/2),"Цена со скидкой должна быть от 25 до 20000000",IF(AND(IFERROR(VALUE(LEFT(M27,FIND("-",M27)-1)),M27)*150&lt;=341705,IFERROR(VALUE(LEFT(M27,FIND("-",M27)-1)),M27)*200&gt;341705),"Вы уменьшили цену в несколько раз, товар попадет в карантин цен",IF(IFERROR(VALUE(LEFT(M27,FIND("-",M27)-1)),M27)*200&lt;=341705,"Не сохранили изменения, чтобы защитить от ошибки — новые цены меньше текущих более чем в 2 раза. Снижайте их постепенно",IF(AND(IFERROR(VALUE(I27),0)=0,ISNUMBER(J27),OR(J27&lt;496,ABS(IFERROR(VALUE(LEFT(M27,FIND("-",M27)-1)),M27))*100&lt;49600)),"Проверьте цену товара. Большинство товаров в выбранной категории стоят дороже 496","")))))),"")</f>
      </c>
    </row>
    <row r="28">
      <c r="A28" s="2" t="inlineStr">
        <is>
          <t/>
        </is>
      </c>
      <c r="B28" s="2" t="inlineStr">
        <is>
          <t>Чайники электрические</t>
        </is>
      </c>
      <c r="C28" s="2">
        <v>603732361</v>
      </c>
      <c r="D28" s="2" t="inlineStr">
        <is>
          <t>192596</t>
        </is>
      </c>
      <c r="E28" s="2" t="inlineStr">
        <is>
          <t>2047147941542</t>
        </is>
      </c>
      <c r="F28" s="2">
        <v>0</v>
      </c>
      <c r="G28" s="2">
        <v>0</v>
      </c>
      <c r="H28" s="2" t="inlineStr">
        <is>
          <t/>
        </is>
      </c>
      <c r="I28" s="2" t="inlineStr">
        <is>
          <t>11083</t>
        </is>
      </c>
      <c r="J28" s="4"/>
      <c r="K28" s="2">
        <v>65</v>
      </c>
      <c r="L28" s="6"/>
      <c r="M28" s="2" t="str">
        <f>IF(J28="",ROUND(I28*(1-IF(ISBLANK(L28),K28,L28)/100),2),ROUND(J28*(1-IF(ISBLANK(L28),K28,L28)/100),2))</f>
      </c>
      <c r="N28" s="7" t="str">
        <f>IF(NOT(AND(J28="",L28="")),IF(OR(AND(L28&lt;&gt;"",NOT(ISNUMBER(L28))),IFERROR(MOD(L28,1),1)&gt;0,AND(ISNUMBER(L28),OR(L28&lt;0,L28&gt;95))),"Введите целое число от 0 до 95",IF(OR(AND(J28&lt;&gt;"",NOT(ISNUMBER(J28))),IFERROR(MOD(J28,1),1)&gt;0,AND(ISNUMBER(J28),OR(J28&lt;50,J28&gt;20000000))),"Введите целое число от 50 до 20000000",IF(NOT(ABS(IFERROR(VALUE(LEFT(M28,FIND("-",M28)-1)),M28)*100-(2500+2000000000)/2)&lt;=ABS(2500-2000000000)/2),"Цена со скидкой должна быть от 25 до 20000000",IF(AND(IFERROR(VALUE(LEFT(M28,FIND("-",M28)-1)),M28)*150&lt;=387905,IFERROR(VALUE(LEFT(M28,FIND("-",M28)-1)),M28)*200&gt;387905),"Вы уменьшили цену в несколько раз, товар попадет в карантин цен",IF(IFERROR(VALUE(LEFT(M28,FIND("-",M28)-1)),M28)*200&lt;=387905,"Не сохранили изменения, чтобы защитить от ошибки — новые цены меньше текущих более чем в 2 раза. Снижайте их постепенно",IF(AND(IFERROR(VALUE(I28),0)=0,ISNUMBER(J28),OR(J28&lt;496,ABS(IFERROR(VALUE(LEFT(M28,FIND("-",M28)-1)),M28))*100&lt;49600)),"Проверьте цену товара. Большинство товаров в выбранной категории стоят дороже 496","")))))),"")</f>
      </c>
    </row>
    <row r="29">
      <c r="A29" s="2" t="inlineStr">
        <is>
          <t/>
        </is>
      </c>
      <c r="B29" s="2" t="inlineStr">
        <is>
          <t>Чайники электрические</t>
        </is>
      </c>
      <c r="C29" s="2">
        <v>603736259</v>
      </c>
      <c r="D29" s="2" t="inlineStr">
        <is>
          <t>192399</t>
        </is>
      </c>
      <c r="E29" s="2" t="inlineStr">
        <is>
          <t>2047147983511</t>
        </is>
      </c>
      <c r="F29" s="2">
        <v>7</v>
      </c>
      <c r="G29" s="2">
        <v>0</v>
      </c>
      <c r="H29" s="2">
        <v>107</v>
      </c>
      <c r="I29" s="2" t="inlineStr">
        <is>
          <t>14688</t>
        </is>
      </c>
      <c r="J29" s="4"/>
      <c r="K29" s="2">
        <v>79</v>
      </c>
      <c r="L29" s="6"/>
      <c r="M29" s="2" t="str">
        <f>IF(J29="",ROUND(I29*(1-IF(ISBLANK(L29),K29,L29)/100),2),ROUND(J29*(1-IF(ISBLANK(L29),K29,L29)/100),2))</f>
      </c>
      <c r="N29" s="7" t="str">
        <f>IF(NOT(AND(J29="",L29="")),IF(OR(AND(L29&lt;&gt;"",NOT(ISNUMBER(L29))),IFERROR(MOD(L29,1),1)&gt;0,AND(ISNUMBER(L29),OR(L29&lt;0,L29&gt;95))),"Введите целое число от 0 до 95",IF(OR(AND(J29&lt;&gt;"",NOT(ISNUMBER(J29))),IFERROR(MOD(J29,1),1)&gt;0,AND(ISNUMBER(J29),OR(J29&lt;50,J29&gt;20000000))),"Введите целое число от 50 до 20000000",IF(NOT(ABS(IFERROR(VALUE(LEFT(M29,FIND("-",M29)-1)),M29)*100-(2500+2000000000)/2)&lt;=ABS(2500-2000000000)/2),"Цена со скидкой должна быть от 25 до 20000000",IF(AND(IFERROR(VALUE(LEFT(M29,FIND("-",M29)-1)),M29)*150&lt;=308447,IFERROR(VALUE(LEFT(M29,FIND("-",M29)-1)),M29)*200&gt;308447),"Вы уменьшили цену в несколько раз, товар попадет в карантин цен",IF(IFERROR(VALUE(LEFT(M29,FIND("-",M29)-1)),M29)*200&lt;=308447,"Не сохранили изменения, чтобы защитить от ошибки — новые цены меньше текущих более чем в 2 раза. Снижайте их постепенно",IF(AND(IFERROR(VALUE(I29),0)=0,ISNUMBER(J29),OR(J29&lt;496,ABS(IFERROR(VALUE(LEFT(M29,FIND("-",M29)-1)),M29))*100&lt;49600)),"Проверьте цену товара. Большинство товаров в выбранной категории стоят дороже 496","")))))),"")</f>
      </c>
    </row>
    <row r="30">
      <c r="A30" s="2" t="inlineStr">
        <is>
          <t/>
        </is>
      </c>
      <c r="B30" s="2" t="inlineStr">
        <is>
          <t>Чайники электрические</t>
        </is>
      </c>
      <c r="C30" s="2">
        <v>603732370</v>
      </c>
      <c r="D30" s="2" t="inlineStr">
        <is>
          <t>192598</t>
        </is>
      </c>
      <c r="E30" s="2" t="inlineStr">
        <is>
          <t>2047147941634</t>
        </is>
      </c>
      <c r="F30" s="2">
        <v>0</v>
      </c>
      <c r="G30" s="2">
        <v>0</v>
      </c>
      <c r="H30" s="2" t="inlineStr">
        <is>
          <t/>
        </is>
      </c>
      <c r="I30" s="2" t="inlineStr">
        <is>
          <t>8541</t>
        </is>
      </c>
      <c r="J30" s="4"/>
      <c r="K30" s="2">
        <v>65</v>
      </c>
      <c r="L30" s="6"/>
      <c r="M30" s="2" t="str">
        <f>IF(J30="",ROUND(I30*(1-IF(ISBLANK(L30),K30,L30)/100),2),ROUND(J30*(1-IF(ISBLANK(L30),K30,L30)/100),2))</f>
      </c>
      <c r="N30" s="7" t="str">
        <f>IF(NOT(AND(J30="",L30="")),IF(OR(AND(L30&lt;&gt;"",NOT(ISNUMBER(L30))),IFERROR(MOD(L30,1),1)&gt;0,AND(ISNUMBER(L30),OR(L30&lt;0,L30&gt;95))),"Введите целое число от 0 до 95",IF(OR(AND(J30&lt;&gt;"",NOT(ISNUMBER(J30))),IFERROR(MOD(J30,1),1)&gt;0,AND(ISNUMBER(J30),OR(J30&lt;50,J30&gt;20000000))),"Введите целое число от 50 до 20000000",IF(NOT(ABS(IFERROR(VALUE(LEFT(M30,FIND("-",M30)-1)),M30)*100-(2500+2000000000)/2)&lt;=ABS(2500-2000000000)/2),"Цена со скидкой должна быть от 25 до 20000000",IF(AND(IFERROR(VALUE(LEFT(M30,FIND("-",M30)-1)),M30)*150&lt;=298935,IFERROR(VALUE(LEFT(M30,FIND("-",M30)-1)),M30)*200&gt;298935),"Вы уменьшили цену в несколько раз, товар попадет в карантин цен",IF(IFERROR(VALUE(LEFT(M30,FIND("-",M30)-1)),M30)*200&lt;=298935,"Не сохранили изменения, чтобы защитить от ошибки — новые цены меньше текущих более чем в 2 раза. Снижайте их постепенно",IF(AND(IFERROR(VALUE(I30),0)=0,ISNUMBER(J30),OR(J30&lt;496,ABS(IFERROR(VALUE(LEFT(M30,FIND("-",M30)-1)),M30))*100&lt;49600)),"Проверьте цену товара. Большинство товаров в выбранной категории стоят дороже 496","")))))),"")</f>
      </c>
    </row>
    <row r="31">
      <c r="A31" s="2" t="inlineStr">
        <is>
          <t/>
        </is>
      </c>
      <c r="B31" s="2" t="inlineStr">
        <is>
          <t>Чайники электрические</t>
        </is>
      </c>
      <c r="C31" s="2">
        <v>603732354</v>
      </c>
      <c r="D31" s="2" t="inlineStr">
        <is>
          <t>191032</t>
        </is>
      </c>
      <c r="E31" s="2" t="inlineStr">
        <is>
          <t>2047147941467</t>
        </is>
      </c>
      <c r="F31" s="2">
        <v>0</v>
      </c>
      <c r="G31" s="2">
        <v>0</v>
      </c>
      <c r="H31" s="2" t="inlineStr">
        <is>
          <t/>
        </is>
      </c>
      <c r="I31" s="2" t="inlineStr">
        <is>
          <t>9386</t>
        </is>
      </c>
      <c r="J31" s="4"/>
      <c r="K31" s="2">
        <v>65</v>
      </c>
      <c r="L31" s="6"/>
      <c r="M31" s="2" t="str">
        <f>IF(J31="",ROUND(I31*(1-IF(ISBLANK(L31),K31,L31)/100),2),ROUND(J31*(1-IF(ISBLANK(L31),K31,L31)/100),2))</f>
      </c>
      <c r="N31" s="7" t="str">
        <f>IF(NOT(AND(J31="",L31="")),IF(OR(AND(L31&lt;&gt;"",NOT(ISNUMBER(L31))),IFERROR(MOD(L31,1),1)&gt;0,AND(ISNUMBER(L31),OR(L31&lt;0,L31&gt;95))),"Введите целое число от 0 до 95",IF(OR(AND(J31&lt;&gt;"",NOT(ISNUMBER(J31))),IFERROR(MOD(J31,1),1)&gt;0,AND(ISNUMBER(J31),OR(J31&lt;50,J31&gt;20000000))),"Введите целое число от 50 до 20000000",IF(NOT(ABS(IFERROR(VALUE(LEFT(M31,FIND("-",M31)-1)),M31)*100-(2500+2000000000)/2)&lt;=ABS(2500-2000000000)/2),"Цена со скидкой должна быть от 25 до 20000000",IF(AND(IFERROR(VALUE(LEFT(M31,FIND("-",M31)-1)),M31)*150&lt;=328510,IFERROR(VALUE(LEFT(M31,FIND("-",M31)-1)),M31)*200&gt;328510),"Вы уменьшили цену в несколько раз, товар попадет в карантин цен",IF(IFERROR(VALUE(LEFT(M31,FIND("-",M31)-1)),M31)*200&lt;=328510,"Не сохранили изменения, чтобы защитить от ошибки — новые цены меньше текущих более чем в 2 раза. Снижайте их постепенно",IF(AND(IFERROR(VALUE(I31),0)=0,ISNUMBER(J31),OR(J31&lt;496,ABS(IFERROR(VALUE(LEFT(M31,FIND("-",M31)-1)),M31))*100&lt;49600)),"Проверьте цену товара. Большинство товаров в выбранной категории стоят дороже 496","")))))),"")</f>
      </c>
    </row>
    <row r="32">
      <c r="A32" s="2" t="inlineStr">
        <is>
          <t/>
        </is>
      </c>
      <c r="B32" s="2" t="inlineStr">
        <is>
          <t>Чайники электрические</t>
        </is>
      </c>
      <c r="C32" s="2">
        <v>725312318</v>
      </c>
      <c r="D32" s="2" t="inlineStr">
        <is>
          <t>19742</t>
        </is>
      </c>
      <c r="E32" s="2" t="inlineStr">
        <is>
          <t>2048047081734</t>
        </is>
      </c>
      <c r="F32" s="2">
        <v>0</v>
      </c>
      <c r="G32" s="2">
        <v>7</v>
      </c>
      <c r="H32" s="2" t="inlineStr">
        <is>
          <t/>
        </is>
      </c>
      <c r="I32" s="2" t="inlineStr">
        <is>
          <t>30432</t>
        </is>
      </c>
      <c r="J32" s="4"/>
      <c r="K32" s="2">
        <v>75</v>
      </c>
      <c r="L32" s="6"/>
      <c r="M32" s="2" t="str">
        <f>IF(J32="",ROUND(I32*(1-IF(ISBLANK(L32),K32,L32)/100),2),ROUND(J32*(1-IF(ISBLANK(L32),K32,L32)/100),2))</f>
      </c>
      <c r="N32" s="7" t="str">
        <f>IF(NOT(AND(J32="",L32="")),IF(OR(AND(L32&lt;&gt;"",NOT(ISNUMBER(L32))),IFERROR(MOD(L32,1),1)&gt;0,AND(ISNUMBER(L32),OR(L32&lt;0,L32&gt;95))),"Введите целое число от 0 до 95",IF(OR(AND(J32&lt;&gt;"",NOT(ISNUMBER(J32))),IFERROR(MOD(J32,1),1)&gt;0,AND(ISNUMBER(J32),OR(J32&lt;50,J32&gt;20000000))),"Введите целое число от 50 до 20000000",IF(NOT(ABS(IFERROR(VALUE(LEFT(M32,FIND("-",M32)-1)),M32)*100-(2500+2000000000)/2)&lt;=ABS(2500-2000000000)/2),"Цена со скидкой должна быть от 25 до 20000000",IF(AND(IFERROR(VALUE(LEFT(M32,FIND("-",M32)-1)),M32)*150&lt;=760800,IFERROR(VALUE(LEFT(M32,FIND("-",M32)-1)),M32)*200&gt;760800),"Вы уменьшили цену в несколько раз, товар попадет в карантин цен",IF(IFERROR(VALUE(LEFT(M32,FIND("-",M32)-1)),M32)*200&lt;=760800,"Не сохранили изменения, чтобы защитить от ошибки — новые цены меньше текущих более чем в 2 раза. Снижайте их постепенно",IF(AND(IFERROR(VALUE(I32),0)=0,ISNUMBER(J32),OR(J32&lt;496,ABS(IFERROR(VALUE(LEFT(M32,FIND("-",M32)-1)),M32))*100&lt;49600)),"Проверьте цену товара. Большинство товаров в выбранной категории стоят дороже 496","")))))),"")</f>
      </c>
    </row>
    <row r="33">
      <c r="A33" s="2" t="inlineStr">
        <is>
          <t/>
        </is>
      </c>
      <c r="B33" s="2" t="inlineStr">
        <is>
          <t>Чайники электрические</t>
        </is>
      </c>
      <c r="C33" s="2">
        <v>603736272</v>
      </c>
      <c r="D33" s="2" t="inlineStr">
        <is>
          <t>192176</t>
        </is>
      </c>
      <c r="E33" s="2" t="inlineStr">
        <is>
          <t>2047147983672</t>
        </is>
      </c>
      <c r="F33" s="2">
        <v>7</v>
      </c>
      <c r="G33" s="2">
        <v>0</v>
      </c>
      <c r="H33" s="2">
        <v>213</v>
      </c>
      <c r="I33" s="2" t="inlineStr">
        <is>
          <t>18500</t>
        </is>
      </c>
      <c r="J33" s="4"/>
      <c r="K33" s="2">
        <v>77</v>
      </c>
      <c r="L33" s="6"/>
      <c r="M33" s="2" t="str">
        <f>IF(J33="",ROUND(I33*(1-IF(ISBLANK(L33),K33,L33)/100),2),ROUND(J33*(1-IF(ISBLANK(L33),K33,L33)/100),2))</f>
      </c>
      <c r="N33" s="7" t="str">
        <f>IF(NOT(AND(J33="",L33="")),IF(OR(AND(L33&lt;&gt;"",NOT(ISNUMBER(L33))),IFERROR(MOD(L33,1),1)&gt;0,AND(ISNUMBER(L33),OR(L33&lt;0,L33&gt;95))),"Введите целое число от 0 до 95",IF(OR(AND(J33&lt;&gt;"",NOT(ISNUMBER(J33))),IFERROR(MOD(J33,1),1)&gt;0,AND(ISNUMBER(J33),OR(J33&lt;50,J33&gt;20000000))),"Введите целое число от 50 до 20000000",IF(NOT(ABS(IFERROR(VALUE(LEFT(M33,FIND("-",M33)-1)),M33)*100-(2500+2000000000)/2)&lt;=ABS(2500-2000000000)/2),"Цена со скидкой должна быть от 25 до 20000000",IF(AND(IFERROR(VALUE(LEFT(M33,FIND("-",M33)-1)),M33)*150&lt;=425500,IFERROR(VALUE(LEFT(M33,FIND("-",M33)-1)),M33)*200&gt;425500),"Вы уменьшили цену в несколько раз, товар попадет в карантин цен",IF(IFERROR(VALUE(LEFT(M33,FIND("-",M33)-1)),M33)*200&lt;=425500,"Не сохранили изменения, чтобы защитить от ошибки — новые цены меньше текущих более чем в 2 раза. Снижайте их постепенно",IF(AND(IFERROR(VALUE(I33),0)=0,ISNUMBER(J33),OR(J33&lt;496,ABS(IFERROR(VALUE(LEFT(M33,FIND("-",M33)-1)),M33))*100&lt;49600)),"Проверьте цену товара. Большинство товаров в выбранной категории стоят дороже 496","")))))),"")</f>
      </c>
    </row>
    <row r="34">
      <c r="A34" s="2" t="inlineStr">
        <is>
          <t/>
        </is>
      </c>
      <c r="B34" s="2" t="inlineStr">
        <is>
          <t>Чайники электрические</t>
        </is>
      </c>
      <c r="C34" s="2">
        <v>765820376</v>
      </c>
      <c r="D34" s="2" t="inlineStr">
        <is>
          <t>192704</t>
        </is>
      </c>
      <c r="E34" s="2" t="inlineStr">
        <is>
          <t>2048427567988</t>
        </is>
      </c>
      <c r="F34" s="2">
        <v>4</v>
      </c>
      <c r="G34" s="2">
        <v>0</v>
      </c>
      <c r="H34" s="2">
        <v>999</v>
      </c>
      <c r="I34" s="2" t="inlineStr">
        <is>
          <t>11934</t>
        </is>
      </c>
      <c r="J34" s="4"/>
      <c r="K34" s="2">
        <v>80</v>
      </c>
      <c r="L34" s="6"/>
      <c r="M34" s="2" t="str">
        <f>IF(J34="",ROUND(I34*(1-IF(ISBLANK(L34),K34,L34)/100),2),ROUND(J34*(1-IF(ISBLANK(L34),K34,L34)/100),2))</f>
      </c>
      <c r="N34" s="7" t="str">
        <f>IF(NOT(AND(J34="",L34="")),IF(OR(AND(L34&lt;&gt;"",NOT(ISNUMBER(L34))),IFERROR(MOD(L34,1),1)&gt;0,AND(ISNUMBER(L34),OR(L34&lt;0,L34&gt;95))),"Введите целое число от 0 до 95",IF(OR(AND(J34&lt;&gt;"",NOT(ISNUMBER(J34))),IFERROR(MOD(J34,1),1)&gt;0,AND(ISNUMBER(J34),OR(J34&lt;50,J34&gt;20000000))),"Введите целое число от 50 до 20000000",IF(NOT(ABS(IFERROR(VALUE(LEFT(M34,FIND("-",M34)-1)),M34)*100-(2500+2000000000)/2)&lt;=ABS(2500-2000000000)/2),"Цена со скидкой должна быть от 25 до 20000000",IF(AND(IFERROR(VALUE(LEFT(M34,FIND("-",M34)-1)),M34)*150&lt;=238679,IFERROR(VALUE(LEFT(M34,FIND("-",M34)-1)),M34)*200&gt;238679),"Вы уменьшили цену в несколько раз, товар попадет в карантин цен",IF(IFERROR(VALUE(LEFT(M34,FIND("-",M34)-1)),M34)*200&lt;=238679,"Не сохранили изменения, чтобы защитить от ошибки — новые цены меньше текущих более чем в 2 раза. Снижайте их постепенно",IF(AND(IFERROR(VALUE(I34),0)=0,ISNUMBER(J34),OR(J34&lt;496,ABS(IFERROR(VALUE(LEFT(M34,FIND("-",M34)-1)),M34))*100&lt;49600)),"Проверьте цену товара. Большинство товаров в выбранной категории стоят дороже 496","")))))),"")</f>
      </c>
    </row>
    <row r="35">
      <c r="A35" s="2" t="inlineStr">
        <is>
          <t/>
        </is>
      </c>
      <c r="B35" s="2" t="inlineStr">
        <is>
          <t>Чайники электрические</t>
        </is>
      </c>
      <c r="C35" s="2">
        <v>725312319</v>
      </c>
      <c r="D35" s="2" t="inlineStr">
        <is>
          <t>192200</t>
        </is>
      </c>
      <c r="E35" s="2" t="inlineStr">
        <is>
          <t>2048047081741</t>
        </is>
      </c>
      <c r="F35" s="2">
        <v>0</v>
      </c>
      <c r="G35" s="2">
        <v>5</v>
      </c>
      <c r="H35" s="2" t="inlineStr">
        <is>
          <t/>
        </is>
      </c>
      <c r="I35" s="2" t="inlineStr">
        <is>
          <t>11964</t>
        </is>
      </c>
      <c r="J35" s="4"/>
      <c r="K35" s="2">
        <v>78</v>
      </c>
      <c r="L35" s="6"/>
      <c r="M35" s="2" t="str">
        <f>IF(J35="",ROUND(I35*(1-IF(ISBLANK(L35),K35,L35)/100),2),ROUND(J35*(1-IF(ISBLANK(L35),K35,L35)/100),2))</f>
      </c>
      <c r="N35" s="7" t="str">
        <f>IF(NOT(AND(J35="",L35="")),IF(OR(AND(L35&lt;&gt;"",NOT(ISNUMBER(L35))),IFERROR(MOD(L35,1),1)&gt;0,AND(ISNUMBER(L35),OR(L35&lt;0,L35&gt;95))),"Введите целое число от 0 до 95",IF(OR(AND(J35&lt;&gt;"",NOT(ISNUMBER(J35))),IFERROR(MOD(J35,1),1)&gt;0,AND(ISNUMBER(J35),OR(J35&lt;50,J35&gt;20000000))),"Введите целое число от 50 до 20000000",IF(NOT(ABS(IFERROR(VALUE(LEFT(M35,FIND("-",M35)-1)),M35)*100-(2500+2000000000)/2)&lt;=ABS(2500-2000000000)/2),"Цена со скидкой должна быть от 25 до 20000000",IF(AND(IFERROR(VALUE(LEFT(M35,FIND("-",M35)-1)),M35)*150&lt;=263207,IFERROR(VALUE(LEFT(M35,FIND("-",M35)-1)),M35)*200&gt;263207),"Вы уменьшили цену в несколько раз, товар попадет в карантин цен",IF(IFERROR(VALUE(LEFT(M35,FIND("-",M35)-1)),M35)*200&lt;=263207,"Не сохранили изменения, чтобы защитить от ошибки — новые цены меньше текущих более чем в 2 раза. Снижайте их постепенно",IF(AND(IFERROR(VALUE(I35),0)=0,ISNUMBER(J35),OR(J35&lt;496,ABS(IFERROR(VALUE(LEFT(M35,FIND("-",M35)-1)),M35))*100&lt;49600)),"Проверьте цену товара. Большинство товаров в выбранной категории стоят дороже 496","")))))),"")</f>
      </c>
    </row>
    <row r="36">
      <c r="A36" s="2" t="inlineStr">
        <is>
          <t/>
        </is>
      </c>
      <c r="B36" s="2" t="inlineStr">
        <is>
          <t>Чайники электрические</t>
        </is>
      </c>
      <c r="C36" s="2">
        <v>765820367</v>
      </c>
      <c r="D36" s="2" t="inlineStr">
        <is>
          <t>192440</t>
        </is>
      </c>
      <c r="E36" s="2" t="inlineStr">
        <is>
          <t>2048427567889</t>
        </is>
      </c>
      <c r="F36" s="2">
        <v>4</v>
      </c>
      <c r="G36" s="2">
        <v>0</v>
      </c>
      <c r="H36" s="2">
        <v>999</v>
      </c>
      <c r="I36" s="2" t="inlineStr">
        <is>
          <t>12477</t>
        </is>
      </c>
      <c r="J36" s="4"/>
      <c r="K36" s="2">
        <v>80</v>
      </c>
      <c r="L36" s="6"/>
      <c r="M36" s="2" t="str">
        <f>IF(J36="",ROUND(I36*(1-IF(ISBLANK(L36),K36,L36)/100),2),ROUND(J36*(1-IF(ISBLANK(L36),K36,L36)/100),2))</f>
      </c>
      <c r="N36" s="7" t="str">
        <f>IF(NOT(AND(J36="",L36="")),IF(OR(AND(L36&lt;&gt;"",NOT(ISNUMBER(L36))),IFERROR(MOD(L36,1),1)&gt;0,AND(ISNUMBER(L36),OR(L36&lt;0,L36&gt;95))),"Введите целое число от 0 до 95",IF(OR(AND(J36&lt;&gt;"",NOT(ISNUMBER(J36))),IFERROR(MOD(J36,1),1)&gt;0,AND(ISNUMBER(J36),OR(J36&lt;50,J36&gt;20000000))),"Введите целое число от 50 до 20000000",IF(NOT(ABS(IFERROR(VALUE(LEFT(M36,FIND("-",M36)-1)),M36)*100-(2500+2000000000)/2)&lt;=ABS(2500-2000000000)/2),"Цена со скидкой должна быть от 25 до 20000000",IF(AND(IFERROR(VALUE(LEFT(M36,FIND("-",M36)-1)),M36)*150&lt;=249539,IFERROR(VALUE(LEFT(M36,FIND("-",M36)-1)),M36)*200&gt;249539),"Вы уменьшили цену в несколько раз, товар попадет в карантин цен",IF(IFERROR(VALUE(LEFT(M36,FIND("-",M36)-1)),M36)*200&lt;=249539,"Не сохранили изменения, чтобы защитить от ошибки — новые цены меньше текущих более чем в 2 раза. Снижайте их постепенно",IF(AND(IFERROR(VALUE(I36),0)=0,ISNUMBER(J36),OR(J36&lt;496,ABS(IFERROR(VALUE(LEFT(M36,FIND("-",M36)-1)),M36))*100&lt;49600)),"Проверьте цену товара. Большинство товаров в выбранной категории стоят дороже 496","")))))),"")</f>
      </c>
    </row>
    <row r="37">
      <c r="A37" s="2" t="inlineStr">
        <is>
          <t/>
        </is>
      </c>
      <c r="B37" s="2" t="inlineStr">
        <is>
          <t>Чайники электрические</t>
        </is>
      </c>
      <c r="C37" s="2">
        <v>765820379</v>
      </c>
      <c r="D37" s="2" t="inlineStr">
        <is>
          <t>191229</t>
        </is>
      </c>
      <c r="E37" s="2" t="inlineStr">
        <is>
          <t>2048427568046</t>
        </is>
      </c>
      <c r="F37" s="2">
        <v>1</v>
      </c>
      <c r="G37" s="2">
        <v>9</v>
      </c>
      <c r="H37" s="2">
        <v>999</v>
      </c>
      <c r="I37" s="2" t="inlineStr">
        <is>
          <t>11292</t>
        </is>
      </c>
      <c r="J37" s="4"/>
      <c r="K37" s="2">
        <v>79</v>
      </c>
      <c r="L37" s="6"/>
      <c r="M37" s="2" t="str">
        <f>IF(J37="",ROUND(I37*(1-IF(ISBLANK(L37),K37,L37)/100),2),ROUND(J37*(1-IF(ISBLANK(L37),K37,L37)/100),2))</f>
      </c>
      <c r="N37" s="7" t="str">
        <f>IF(NOT(AND(J37="",L37="")),IF(OR(AND(L37&lt;&gt;"",NOT(ISNUMBER(L37))),IFERROR(MOD(L37,1),1)&gt;0,AND(ISNUMBER(L37),OR(L37&lt;0,L37&gt;95))),"Введите целое число от 0 до 95",IF(OR(AND(J37&lt;&gt;"",NOT(ISNUMBER(J37))),IFERROR(MOD(J37,1),1)&gt;0,AND(ISNUMBER(J37),OR(J37&lt;50,J37&gt;20000000))),"Введите целое число от 50 до 20000000",IF(NOT(ABS(IFERROR(VALUE(LEFT(M37,FIND("-",M37)-1)),M37)*100-(2500+2000000000)/2)&lt;=ABS(2500-2000000000)/2),"Цена со скидкой должна быть от 25 до 20000000",IF(AND(IFERROR(VALUE(LEFT(M37,FIND("-",M37)-1)),M37)*150&lt;=237131,IFERROR(VALUE(LEFT(M37,FIND("-",M37)-1)),M37)*200&gt;237131),"Вы уменьшили цену в несколько раз, товар попадет в карантин цен",IF(IFERROR(VALUE(LEFT(M37,FIND("-",M37)-1)),M37)*200&lt;=237131,"Не сохранили изменения, чтобы защитить от ошибки — новые цены меньше текущих более чем в 2 раза. Снижайте их постепенно",IF(AND(IFERROR(VALUE(I37),0)=0,ISNUMBER(J37),OR(J37&lt;496,ABS(IFERROR(VALUE(LEFT(M37,FIND("-",M37)-1)),M37))*100&lt;49600)),"Проверьте цену товара. Большинство товаров в выбранной категории стоят дороже 496","")))))),"")</f>
      </c>
    </row>
    <row r="38">
      <c r="A38" s="2" t="inlineStr">
        <is>
          <t/>
        </is>
      </c>
      <c r="B38" s="2" t="inlineStr">
        <is>
          <t>Чайники электрические</t>
        </is>
      </c>
      <c r="C38" s="2">
        <v>765820374</v>
      </c>
      <c r="D38" s="2" t="inlineStr">
        <is>
          <t>191655</t>
        </is>
      </c>
      <c r="E38" s="2" t="inlineStr">
        <is>
          <t>2048427567964</t>
        </is>
      </c>
      <c r="F38" s="2">
        <v>0</v>
      </c>
      <c r="G38" s="2">
        <v>0</v>
      </c>
      <c r="H38" s="2" t="inlineStr">
        <is>
          <t/>
        </is>
      </c>
      <c r="I38" s="2" t="inlineStr">
        <is>
          <t>14882</t>
        </is>
      </c>
      <c r="J38" s="4"/>
      <c r="K38" s="2">
        <v>65</v>
      </c>
      <c r="L38" s="6"/>
      <c r="M38" s="2" t="str">
        <f>IF(J38="",ROUND(I38*(1-IF(ISBLANK(L38),K38,L38)/100),2),ROUND(J38*(1-IF(ISBLANK(L38),K38,L38)/100),2))</f>
      </c>
      <c r="N38" s="7" t="str">
        <f>IF(NOT(AND(J38="",L38="")),IF(OR(AND(L38&lt;&gt;"",NOT(ISNUMBER(L38))),IFERROR(MOD(L38,1),1)&gt;0,AND(ISNUMBER(L38),OR(L38&lt;0,L38&gt;95))),"Введите целое число от 0 до 95",IF(OR(AND(J38&lt;&gt;"",NOT(ISNUMBER(J38))),IFERROR(MOD(J38,1),1)&gt;0,AND(ISNUMBER(J38),OR(J38&lt;50,J38&gt;20000000))),"Введите целое число от 50 до 20000000",IF(NOT(ABS(IFERROR(VALUE(LEFT(M38,FIND("-",M38)-1)),M38)*100-(2500+2000000000)/2)&lt;=ABS(2500-2000000000)/2),"Цена со скидкой должна быть от 25 до 20000000",IF(AND(IFERROR(VALUE(LEFT(M38,FIND("-",M38)-1)),M38)*150&lt;=520870,IFERROR(VALUE(LEFT(M38,FIND("-",M38)-1)),M38)*200&gt;520870),"Вы уменьшили цену в несколько раз, товар попадет в карантин цен",IF(IFERROR(VALUE(LEFT(M38,FIND("-",M38)-1)),M38)*200&lt;=520870,"Не сохранили изменения, чтобы защитить от ошибки — новые цены меньше текущих более чем в 2 раза. Снижайте их постепенно",IF(AND(IFERROR(VALUE(I38),0)=0,ISNUMBER(J38),OR(J38&lt;496,ABS(IFERROR(VALUE(LEFT(M38,FIND("-",M38)-1)),M38))*100&lt;49600)),"Проверьте цену товара. Большинство товаров в выбранной категории стоят дороже 496","")))))),"")</f>
      </c>
    </row>
    <row r="39">
      <c r="A39" s="2" t="inlineStr">
        <is>
          <t/>
        </is>
      </c>
      <c r="B39" s="2" t="inlineStr">
        <is>
          <t>Чайники электрические</t>
        </is>
      </c>
      <c r="C39" s="2">
        <v>765820364</v>
      </c>
      <c r="D39" s="2" t="inlineStr">
        <is>
          <t>191222</t>
        </is>
      </c>
      <c r="E39" s="2" t="inlineStr">
        <is>
          <t>2048427567858</t>
        </is>
      </c>
      <c r="F39" s="2">
        <v>0</v>
      </c>
      <c r="G39" s="2">
        <v>3</v>
      </c>
      <c r="H39" s="2" t="inlineStr">
        <is>
          <t/>
        </is>
      </c>
      <c r="I39" s="2" t="inlineStr">
        <is>
          <t>28293</t>
        </is>
      </c>
      <c r="J39" s="4"/>
      <c r="K39" s="2">
        <v>85</v>
      </c>
      <c r="L39" s="6"/>
      <c r="M39" s="2" t="str">
        <f>IF(J39="",ROUND(I39*(1-IF(ISBLANK(L39),K39,L39)/100),2),ROUND(J39*(1-IF(ISBLANK(L39),K39,L39)/100),2))</f>
      </c>
      <c r="N39" s="7" t="str">
        <f>IF(NOT(AND(J39="",L39="")),IF(OR(AND(L39&lt;&gt;"",NOT(ISNUMBER(L39))),IFERROR(MOD(L39,1),1)&gt;0,AND(ISNUMBER(L39),OR(L39&lt;0,L39&gt;95))),"Введите целое число от 0 до 95",IF(OR(AND(J39&lt;&gt;"",NOT(ISNUMBER(J39))),IFERROR(MOD(J39,1),1)&gt;0,AND(ISNUMBER(J39),OR(J39&lt;50,J39&gt;20000000))),"Введите целое число от 50 до 20000000",IF(NOT(ABS(IFERROR(VALUE(LEFT(M39,FIND("-",M39)-1)),M39)*100-(2500+2000000000)/2)&lt;=ABS(2500-2000000000)/2),"Цена со скидкой должна быть от 25 до 20000000",IF(AND(IFERROR(VALUE(LEFT(M39,FIND("-",M39)-1)),M39)*150&lt;=424395,IFERROR(VALUE(LEFT(M39,FIND("-",M39)-1)),M39)*200&gt;424395),"Вы уменьшили цену в несколько раз, товар попадет в карантин цен",IF(IFERROR(VALUE(LEFT(M39,FIND("-",M39)-1)),M39)*200&lt;=424395,"Не сохранили изменения, чтобы защитить от ошибки — новые цены меньше текущих более чем в 2 раза. Снижайте их постепенно",IF(AND(IFERROR(VALUE(I39),0)=0,ISNUMBER(J39),OR(J39&lt;496,ABS(IFERROR(VALUE(LEFT(M39,FIND("-",M39)-1)),M39))*100&lt;49600)),"Проверьте цену товара. Большинство товаров в выбранной категории стоят дороже 496","")))))),"")</f>
      </c>
    </row>
    <row r="40">
      <c r="A40" s="2" t="inlineStr">
        <is>
          <t/>
        </is>
      </c>
      <c r="B40" s="2" t="inlineStr">
        <is>
          <t>Чайники электрические</t>
        </is>
      </c>
      <c r="C40" s="2">
        <v>765820373</v>
      </c>
      <c r="D40" s="2" t="inlineStr">
        <is>
          <t>191985</t>
        </is>
      </c>
      <c r="E40" s="2" t="inlineStr">
        <is>
          <t>2048427567940</t>
        </is>
      </c>
      <c r="F40" s="2">
        <v>4</v>
      </c>
      <c r="G40" s="2">
        <v>5</v>
      </c>
      <c r="H40" s="2">
        <v>999</v>
      </c>
      <c r="I40" s="2" t="inlineStr">
        <is>
          <t>12062</t>
        </is>
      </c>
      <c r="J40" s="4"/>
      <c r="K40" s="2">
        <v>80</v>
      </c>
      <c r="L40" s="6"/>
      <c r="M40" s="2" t="str">
        <f>IF(J40="",ROUND(I40*(1-IF(ISBLANK(L40),K40,L40)/100),2),ROUND(J40*(1-IF(ISBLANK(L40),K40,L40)/100),2))</f>
      </c>
      <c r="N40" s="7" t="str">
        <f>IF(NOT(AND(J40="",L40="")),IF(OR(AND(L40&lt;&gt;"",NOT(ISNUMBER(L40))),IFERROR(MOD(L40,1),1)&gt;0,AND(ISNUMBER(L40),OR(L40&lt;0,L40&gt;95))),"Введите целое число от 0 до 95",IF(OR(AND(J40&lt;&gt;"",NOT(ISNUMBER(J40))),IFERROR(MOD(J40,1),1)&gt;0,AND(ISNUMBER(J40),OR(J40&lt;50,J40&gt;20000000))),"Введите целое число от 50 до 20000000",IF(NOT(ABS(IFERROR(VALUE(LEFT(M40,FIND("-",M40)-1)),M40)*100-(2500+2000000000)/2)&lt;=ABS(2500-2000000000)/2),"Цена со скидкой должна быть от 25 до 20000000",IF(AND(IFERROR(VALUE(LEFT(M40,FIND("-",M40)-1)),M40)*150&lt;=241239,IFERROR(VALUE(LEFT(M40,FIND("-",M40)-1)),M40)*200&gt;241239),"Вы уменьшили цену в несколько раз, товар попадет в карантин цен",IF(IFERROR(VALUE(LEFT(M40,FIND("-",M40)-1)),M40)*200&lt;=241239,"Не сохранили изменения, чтобы защитить от ошибки — новые цены меньше текущих более чем в 2 раза. Снижайте их постепенно",IF(AND(IFERROR(VALUE(I40),0)=0,ISNUMBER(J40),OR(J40&lt;496,ABS(IFERROR(VALUE(LEFT(M40,FIND("-",M40)-1)),M40))*100&lt;49600)),"Проверьте цену товара. Большинство товаров в выбранной категории стоят дороже 496","")))))),"")</f>
      </c>
    </row>
    <row r="41">
      <c r="A41" s="2" t="inlineStr">
        <is>
          <t/>
        </is>
      </c>
      <c r="B41" s="2" t="inlineStr">
        <is>
          <t>Чайники электрические</t>
        </is>
      </c>
      <c r="C41" s="2">
        <v>725312314</v>
      </c>
      <c r="D41" s="2" t="inlineStr">
        <is>
          <t>191581</t>
        </is>
      </c>
      <c r="E41" s="2" t="inlineStr">
        <is>
          <t>2048047081697</t>
        </is>
      </c>
      <c r="F41" s="2">
        <v>0</v>
      </c>
      <c r="G41" s="2">
        <v>0</v>
      </c>
      <c r="H41" s="2" t="inlineStr">
        <is>
          <t/>
        </is>
      </c>
      <c r="I41" s="2" t="inlineStr">
        <is>
          <t>11750</t>
        </is>
      </c>
      <c r="J41" s="4"/>
      <c r="K41" s="2">
        <v>78</v>
      </c>
      <c r="L41" s="6"/>
      <c r="M41" s="2" t="str">
        <f>IF(J41="",ROUND(I41*(1-IF(ISBLANK(L41),K41,L41)/100),2),ROUND(J41*(1-IF(ISBLANK(L41),K41,L41)/100),2))</f>
      </c>
      <c r="N41" s="7" t="str">
        <f>IF(NOT(AND(J41="",L41="")),IF(OR(AND(L41&lt;&gt;"",NOT(ISNUMBER(L41))),IFERROR(MOD(L41,1),1)&gt;0,AND(ISNUMBER(L41),OR(L41&lt;0,L41&gt;95))),"Введите целое число от 0 до 95",IF(OR(AND(J41&lt;&gt;"",NOT(ISNUMBER(J41))),IFERROR(MOD(J41,1),1)&gt;0,AND(ISNUMBER(J41),OR(J41&lt;50,J41&gt;20000000))),"Введите целое число от 50 до 20000000",IF(NOT(ABS(IFERROR(VALUE(LEFT(M41,FIND("-",M41)-1)),M41)*100-(2500+2000000000)/2)&lt;=ABS(2500-2000000000)/2),"Цена со скидкой должна быть от 25 до 20000000",IF(AND(IFERROR(VALUE(LEFT(M41,FIND("-",M41)-1)),M41)*150&lt;=258499,IFERROR(VALUE(LEFT(M41,FIND("-",M41)-1)),M41)*200&gt;258499),"Вы уменьшили цену в несколько раз, товар попадет в карантин цен",IF(IFERROR(VALUE(LEFT(M41,FIND("-",M41)-1)),M41)*200&lt;=258499,"Не сохранили изменения, чтобы защитить от ошибки — новые цены меньше текущих более чем в 2 раза. Снижайте их постепенно",IF(AND(IFERROR(VALUE(I41),0)=0,ISNUMBER(J41),OR(J41&lt;496,ABS(IFERROR(VALUE(LEFT(M41,FIND("-",M41)-1)),M41))*100&lt;49600)),"Проверьте цену товара. Большинство товаров в выбранной категории стоят дороже 496","")))))),"")</f>
      </c>
    </row>
    <row r="42">
      <c r="A42" s="2" t="inlineStr">
        <is>
          <t/>
        </is>
      </c>
      <c r="B42" s="2" t="inlineStr">
        <is>
          <t>Разделочные доски</t>
        </is>
      </c>
      <c r="C42" s="2">
        <v>765854683</v>
      </c>
      <c r="D42" s="2" t="inlineStr">
        <is>
          <t>93821</t>
        </is>
      </c>
      <c r="E42" s="2" t="inlineStr">
        <is>
          <t>2048427915192</t>
        </is>
      </c>
      <c r="F42" s="2">
        <v>12</v>
      </c>
      <c r="G42" s="2">
        <v>0</v>
      </c>
      <c r="H42" s="2">
        <v>999</v>
      </c>
      <c r="I42" s="2" t="inlineStr">
        <is>
          <t>5338</t>
        </is>
      </c>
      <c r="J42" s="4"/>
      <c r="K42" s="2">
        <v>81</v>
      </c>
      <c r="L42" s="6"/>
      <c r="M42" s="2" t="str">
        <f>IF(J42="",ROUND(I42*(1-IF(ISBLANK(L42),K42,L42)/100),2),ROUND(J42*(1-IF(ISBLANK(L42),K42,L42)/100),2))</f>
      </c>
      <c r="N42" s="7" t="str">
        <f>IF(NOT(AND(J42="",L42="")),IF(OR(AND(L42&lt;&gt;"",NOT(ISNUMBER(L42))),IFERROR(MOD(L42,1),1)&gt;0,AND(ISNUMBER(L42),OR(L42&lt;0,L42&gt;95))),"Введите целое число от 0 до 95",IF(OR(AND(J42&lt;&gt;"",NOT(ISNUMBER(J42))),IFERROR(MOD(J42,1),1)&gt;0,AND(ISNUMBER(J42),OR(J42&lt;50,J42&gt;20000000))),"Введите целое число от 50 до 20000000",IF(NOT(ABS(IFERROR(VALUE(LEFT(M42,FIND("-",M42)-1)),M42)*100-(2500+2000000000)/2)&lt;=ABS(2500-2000000000)/2),"Цена со скидкой должна быть от 25 до 20000000",IF(AND(IFERROR(VALUE(LEFT(M42,FIND("-",M42)-1)),M42)*150&lt;=101421,IFERROR(VALUE(LEFT(M42,FIND("-",M42)-1)),M42)*200&gt;101421),"Вы уменьшили цену в несколько раз, товар попадет в карантин цен",IF(IFERROR(VALUE(LEFT(M42,FIND("-",M42)-1)),M42)*200&lt;=101421,"Не сохранили изменения, чтобы защитить от ошибки — новые цены меньше текущих более чем в 2 раза. Снижайте их постепенно",IF(AND(IFERROR(VALUE(I42),0)=0,ISNUMBER(J42),OR(J42&lt;341,ABS(IFERROR(VALUE(LEFT(M42,FIND("-",M42)-1)),M42))*100&lt;34100)),"Проверьте цену товара. Большинство товаров в выбранной категории стоят дороже 341","")))))),"")</f>
      </c>
    </row>
    <row r="43">
      <c r="A43" s="2" t="inlineStr">
        <is>
          <t/>
        </is>
      </c>
      <c r="B43" s="2" t="inlineStr">
        <is>
          <t>Чайники электрические</t>
        </is>
      </c>
      <c r="C43" s="2">
        <v>765820383</v>
      </c>
      <c r="D43" s="2" t="inlineStr">
        <is>
          <t>192727</t>
        </is>
      </c>
      <c r="E43" s="2" t="inlineStr">
        <is>
          <t>2048427568084</t>
        </is>
      </c>
      <c r="F43" s="2">
        <v>4</v>
      </c>
      <c r="G43" s="2">
        <v>0</v>
      </c>
      <c r="H43" s="2">
        <v>999</v>
      </c>
      <c r="I43" s="2" t="inlineStr">
        <is>
          <t>11092</t>
        </is>
      </c>
      <c r="J43" s="4"/>
      <c r="K43" s="2">
        <v>80</v>
      </c>
      <c r="L43" s="6"/>
      <c r="M43" s="2" t="str">
        <f>IF(J43="",ROUND(I43*(1-IF(ISBLANK(L43),K43,L43)/100),2),ROUND(J43*(1-IF(ISBLANK(L43),K43,L43)/100),2))</f>
      </c>
      <c r="N43" s="7" t="str">
        <f>IF(NOT(AND(J43="",L43="")),IF(OR(AND(L43&lt;&gt;"",NOT(ISNUMBER(L43))),IFERROR(MOD(L43,1),1)&gt;0,AND(ISNUMBER(L43),OR(L43&lt;0,L43&gt;95))),"Введите целое число от 0 до 95",IF(OR(AND(J43&lt;&gt;"",NOT(ISNUMBER(J43))),IFERROR(MOD(J43,1),1)&gt;0,AND(ISNUMBER(J43),OR(J43&lt;50,J43&gt;20000000))),"Введите целое число от 50 до 20000000",IF(NOT(ABS(IFERROR(VALUE(LEFT(M43,FIND("-",M43)-1)),M43)*100-(2500+2000000000)/2)&lt;=ABS(2500-2000000000)/2),"Цена со скидкой должна быть от 25 до 20000000",IF(AND(IFERROR(VALUE(LEFT(M43,FIND("-",M43)-1)),M43)*150&lt;=221839,IFERROR(VALUE(LEFT(M43,FIND("-",M43)-1)),M43)*200&gt;221839),"Вы уменьшили цену в несколько раз, товар попадет в карантин цен",IF(IFERROR(VALUE(LEFT(M43,FIND("-",M43)-1)),M43)*200&lt;=221839,"Не сохранили изменения, чтобы защитить от ошибки — новые цены меньше текущих более чем в 2 раза. Снижайте их постепенно",IF(AND(IFERROR(VALUE(I43),0)=0,ISNUMBER(J43),OR(J43&lt;496,ABS(IFERROR(VALUE(LEFT(M43,FIND("-",M43)-1)),M43))*100&lt;49600)),"Проверьте цену товара. Большинство товаров в выбранной категории стоят дороже 496","")))))),"")</f>
      </c>
    </row>
    <row r="44">
      <c r="A44" s="2" t="inlineStr">
        <is>
          <t/>
        </is>
      </c>
      <c r="B44" s="2" t="inlineStr">
        <is>
          <t>Чайники электрические</t>
        </is>
      </c>
      <c r="C44" s="2">
        <v>765820380</v>
      </c>
      <c r="D44" s="2" t="inlineStr">
        <is>
          <t>191277</t>
        </is>
      </c>
      <c r="E44" s="2" t="inlineStr">
        <is>
          <t>2048427568053</t>
        </is>
      </c>
      <c r="F44" s="2">
        <v>2</v>
      </c>
      <c r="G44" s="2">
        <v>10</v>
      </c>
      <c r="H44" s="2">
        <v>999</v>
      </c>
      <c r="I44" s="2" t="inlineStr">
        <is>
          <t>16868</t>
        </is>
      </c>
      <c r="J44" s="4"/>
      <c r="K44" s="2">
        <v>81</v>
      </c>
      <c r="L44" s="6"/>
      <c r="M44" s="2" t="str">
        <f>IF(J44="",ROUND(I44*(1-IF(ISBLANK(L44),K44,L44)/100),2),ROUND(J44*(1-IF(ISBLANK(L44),K44,L44)/100),2))</f>
      </c>
      <c r="N44" s="7" t="str">
        <f>IF(NOT(AND(J44="",L44="")),IF(OR(AND(L44&lt;&gt;"",NOT(ISNUMBER(L44))),IFERROR(MOD(L44,1),1)&gt;0,AND(ISNUMBER(L44),OR(L44&lt;0,L44&gt;95))),"Введите целое число от 0 до 95",IF(OR(AND(J44&lt;&gt;"",NOT(ISNUMBER(J44))),IFERROR(MOD(J44,1),1)&gt;0,AND(ISNUMBER(J44),OR(J44&lt;50,J44&gt;20000000))),"Введите целое число от 50 до 20000000",IF(NOT(ABS(IFERROR(VALUE(LEFT(M44,FIND("-",M44)-1)),M44)*100-(2500+2000000000)/2)&lt;=ABS(2500-2000000000)/2),"Цена со скидкой должна быть от 25 до 20000000",IF(AND(IFERROR(VALUE(LEFT(M44,FIND("-",M44)-1)),M44)*150&lt;=320491,IFERROR(VALUE(LEFT(M44,FIND("-",M44)-1)),M44)*200&gt;320491),"Вы уменьшили цену в несколько раз, товар попадет в карантин цен",IF(IFERROR(VALUE(LEFT(M44,FIND("-",M44)-1)),M44)*200&lt;=320491,"Не сохранили изменения, чтобы защитить от ошибки — новые цены меньше текущих более чем в 2 раза. Снижайте их постепенно",IF(AND(IFERROR(VALUE(I44),0)=0,ISNUMBER(J44),OR(J44&lt;496,ABS(IFERROR(VALUE(LEFT(M44,FIND("-",M44)-1)),M44))*100&lt;49600)),"Проверьте цену товара. Большинство товаров в выбранной категории стоят дороже 496","")))))),"")</f>
      </c>
    </row>
    <row r="45">
      <c r="A45" s="2" t="inlineStr">
        <is>
          <t/>
        </is>
      </c>
      <c r="B45" s="2" t="inlineStr">
        <is>
          <t>Разделочные доски</t>
        </is>
      </c>
      <c r="C45" s="2">
        <v>765854678</v>
      </c>
      <c r="D45" s="2" t="inlineStr">
        <is>
          <t>93154</t>
        </is>
      </c>
      <c r="E45" s="2" t="inlineStr">
        <is>
          <t>2048427915079</t>
        </is>
      </c>
      <c r="F45" s="2">
        <v>7</v>
      </c>
      <c r="G45" s="2">
        <v>0</v>
      </c>
      <c r="H45" s="2">
        <v>999</v>
      </c>
      <c r="I45" s="2" t="inlineStr">
        <is>
          <t>7126</t>
        </is>
      </c>
      <c r="J45" s="4"/>
      <c r="K45" s="2">
        <v>80</v>
      </c>
      <c r="L45" s="6"/>
      <c r="M45" s="2" t="str">
        <f>IF(J45="",ROUND(I45*(1-IF(ISBLANK(L45),K45,L45)/100),2),ROUND(J45*(1-IF(ISBLANK(L45),K45,L45)/100),2))</f>
      </c>
      <c r="N45" s="7" t="str">
        <f>IF(NOT(AND(J45="",L45="")),IF(OR(AND(L45&lt;&gt;"",NOT(ISNUMBER(L45))),IFERROR(MOD(L45,1),1)&gt;0,AND(ISNUMBER(L45),OR(L45&lt;0,L45&gt;95))),"Введите целое число от 0 до 95",IF(OR(AND(J45&lt;&gt;"",NOT(ISNUMBER(J45))),IFERROR(MOD(J45,1),1)&gt;0,AND(ISNUMBER(J45),OR(J45&lt;50,J45&gt;20000000))),"Введите целое число от 50 до 20000000",IF(NOT(ABS(IFERROR(VALUE(LEFT(M45,FIND("-",M45)-1)),M45)*100-(2500+2000000000)/2)&lt;=ABS(2500-2000000000)/2),"Цена со скидкой должна быть от 25 до 20000000",IF(AND(IFERROR(VALUE(LEFT(M45,FIND("-",M45)-1)),M45)*150&lt;=142519,IFERROR(VALUE(LEFT(M45,FIND("-",M45)-1)),M45)*200&gt;142519),"Вы уменьшили цену в несколько раз, товар попадет в карантин цен",IF(IFERROR(VALUE(LEFT(M45,FIND("-",M45)-1)),M45)*200&lt;=142519,"Не сохранили изменения, чтобы защитить от ошибки — новые цены меньше текущих более чем в 2 раза. Снижайте их постепенно",IF(AND(IFERROR(VALUE(I45),0)=0,ISNUMBER(J45),OR(J45&lt;341,ABS(IFERROR(VALUE(LEFT(M45,FIND("-",M45)-1)),M45))*100&lt;34100)),"Проверьте цену товара. Большинство товаров в выбранной категории стоят дороже 341","")))))),"")</f>
      </c>
    </row>
    <row r="46">
      <c r="A46" s="2" t="inlineStr">
        <is>
          <t/>
        </is>
      </c>
      <c r="B46" s="2" t="inlineStr">
        <is>
          <t>Разделочные доски</t>
        </is>
      </c>
      <c r="C46" s="2">
        <v>765854686</v>
      </c>
      <c r="D46" s="2" t="inlineStr">
        <is>
          <t>93825</t>
        </is>
      </c>
      <c r="E46" s="2" t="inlineStr">
        <is>
          <t>2048427915253</t>
        </is>
      </c>
      <c r="F46" s="2">
        <v>11</v>
      </c>
      <c r="G46" s="2">
        <v>13</v>
      </c>
      <c r="H46" s="2">
        <v>999</v>
      </c>
      <c r="I46" s="2" t="inlineStr">
        <is>
          <t>4403</t>
        </is>
      </c>
      <c r="J46" s="4"/>
      <c r="K46" s="2">
        <v>79</v>
      </c>
      <c r="L46" s="6"/>
      <c r="M46" s="2" t="str">
        <f>IF(J46="",ROUND(I46*(1-IF(ISBLANK(L46),K46,L46)/100),2),ROUND(J46*(1-IF(ISBLANK(L46),K46,L46)/100),2))</f>
      </c>
      <c r="N46" s="7" t="str">
        <f>IF(NOT(AND(J46="",L46="")),IF(OR(AND(L46&lt;&gt;"",NOT(ISNUMBER(L46))),IFERROR(MOD(L46,1),1)&gt;0,AND(ISNUMBER(L46),OR(L46&lt;0,L46&gt;95))),"Введите целое число от 0 до 95",IF(OR(AND(J46&lt;&gt;"",NOT(ISNUMBER(J46))),IFERROR(MOD(J46,1),1)&gt;0,AND(ISNUMBER(J46),OR(J46&lt;50,J46&gt;20000000))),"Введите целое число от 50 до 20000000",IF(NOT(ABS(IFERROR(VALUE(LEFT(M46,FIND("-",M46)-1)),M46)*100-(2500+2000000000)/2)&lt;=ABS(2500-2000000000)/2),"Цена со скидкой должна быть от 25 до 20000000",IF(AND(IFERROR(VALUE(LEFT(M46,FIND("-",M46)-1)),M46)*150&lt;=92462,IFERROR(VALUE(LEFT(M46,FIND("-",M46)-1)),M46)*200&gt;92462),"Вы уменьшили цену в несколько раз, товар попадет в карантин цен",IF(IFERROR(VALUE(LEFT(M46,FIND("-",M46)-1)),M46)*200&lt;=92462,"Не сохранили изменения, чтобы защитить от ошибки — новые цены меньше текущих более чем в 2 раза. Снижайте их постепенно",IF(AND(IFERROR(VALUE(I46),0)=0,ISNUMBER(J46),OR(J46&lt;341,ABS(IFERROR(VALUE(LEFT(M46,FIND("-",M46)-1)),M46))*100&lt;34100)),"Проверьте цену товара. Большинство товаров в выбранной категории стоят дороже 341","")))))),"")</f>
      </c>
    </row>
    <row r="47">
      <c r="A47" s="2" t="inlineStr">
        <is>
          <t/>
        </is>
      </c>
      <c r="B47" s="2" t="inlineStr">
        <is>
          <t>Разделочные доски</t>
        </is>
      </c>
      <c r="C47" s="2">
        <v>765854684</v>
      </c>
      <c r="D47" s="2" t="inlineStr">
        <is>
          <t>93822</t>
        </is>
      </c>
      <c r="E47" s="2" t="inlineStr">
        <is>
          <t>2048427915208</t>
        </is>
      </c>
      <c r="F47" s="2">
        <v>7</v>
      </c>
      <c r="G47" s="2">
        <v>8</v>
      </c>
      <c r="H47" s="2">
        <v>999</v>
      </c>
      <c r="I47" s="2" t="inlineStr">
        <is>
          <t>6099</t>
        </is>
      </c>
      <c r="J47" s="4"/>
      <c r="K47" s="2">
        <v>80</v>
      </c>
      <c r="L47" s="6"/>
      <c r="M47" s="2" t="str">
        <f>IF(J47="",ROUND(I47*(1-IF(ISBLANK(L47),K47,L47)/100),2),ROUND(J47*(1-IF(ISBLANK(L47),K47,L47)/100),2))</f>
      </c>
      <c r="N47" s="7" t="str">
        <f>IF(NOT(AND(J47="",L47="")),IF(OR(AND(L47&lt;&gt;"",NOT(ISNUMBER(L47))),IFERROR(MOD(L47,1),1)&gt;0,AND(ISNUMBER(L47),OR(L47&lt;0,L47&gt;95))),"Введите целое число от 0 до 95",IF(OR(AND(J47&lt;&gt;"",NOT(ISNUMBER(J47))),IFERROR(MOD(J47,1),1)&gt;0,AND(ISNUMBER(J47),OR(J47&lt;50,J47&gt;20000000))),"Введите целое число от 50 до 20000000",IF(NOT(ABS(IFERROR(VALUE(LEFT(M47,FIND("-",M47)-1)),M47)*100-(2500+2000000000)/2)&lt;=ABS(2500-2000000000)/2),"Цена со скидкой должна быть от 25 до 20000000",IF(AND(IFERROR(VALUE(LEFT(M47,FIND("-",M47)-1)),M47)*150&lt;=121979,IFERROR(VALUE(LEFT(M47,FIND("-",M47)-1)),M47)*200&gt;121979),"Вы уменьшили цену в несколько раз, товар попадет в карантин цен",IF(IFERROR(VALUE(LEFT(M47,FIND("-",M47)-1)),M47)*200&lt;=121979,"Не сохранили изменения, чтобы защитить от ошибки — новые цены меньше текущих более чем в 2 раза. Снижайте их постепенно",IF(AND(IFERROR(VALUE(I47),0)=0,ISNUMBER(J47),OR(J47&lt;341,ABS(IFERROR(VALUE(LEFT(M47,FIND("-",M47)-1)),M47))*100&lt;34100)),"Проверьте цену товара. Большинство товаров в выбранной категории стоят дороже 341","")))))),"")</f>
      </c>
    </row>
    <row r="48">
      <c r="A48" s="2" t="inlineStr">
        <is>
          <t>Veloria</t>
        </is>
      </c>
      <c r="B48" s="2" t="inlineStr">
        <is>
          <t>Рулонные шторы</t>
        </is>
      </c>
      <c r="C48" s="2">
        <v>306126594</v>
      </c>
      <c r="D48" s="2" t="inlineStr">
        <is>
          <t>420371</t>
        </is>
      </c>
      <c r="E48" s="2" t="inlineStr">
        <is>
          <t>4680093968393</t>
        </is>
      </c>
      <c r="F48" s="2">
        <v>0</v>
      </c>
      <c r="G48" s="2">
        <v>0</v>
      </c>
      <c r="H48" s="2">
        <v>20</v>
      </c>
      <c r="I48" s="2" t="inlineStr">
        <is>
          <t>3569</t>
        </is>
      </c>
      <c r="J48" s="4"/>
      <c r="K48" s="2">
        <v>82</v>
      </c>
      <c r="L48" s="6"/>
      <c r="M48" s="2" t="str">
        <f>IF(J48="",ROUND(I48*(1-IF(ISBLANK(L48),K48,L48)/100),2),ROUND(J48*(1-IF(ISBLANK(L48),K48,L48)/100),2))</f>
      </c>
      <c r="N48" s="7" t="str">
        <f>IF(NOT(AND(J48="",L48="")),IF(OR(AND(L48&lt;&gt;"",NOT(ISNUMBER(L48))),IFERROR(MOD(L48,1),1)&gt;0,AND(ISNUMBER(L48),OR(L48&lt;0,L48&gt;95))),"Введите целое число от 0 до 95",IF(OR(AND(J48&lt;&gt;"",NOT(ISNUMBER(J48))),IFERROR(MOD(J48,1),1)&gt;0,AND(ISNUMBER(J48),OR(J48&lt;50,J48&gt;20000000))),"Введите целое число от 50 до 20000000",IF(NOT(ABS(IFERROR(VALUE(LEFT(M48,FIND("-",M48)-1)),M48)*100-(2500+2000000000)/2)&lt;=ABS(2500-2000000000)/2),"Цена со скидкой должна быть от 25 до 20000000",IF(AND(IFERROR(VALUE(LEFT(M48,FIND("-",M48)-1)),M48)*150&lt;=64242,IFERROR(VALUE(LEFT(M48,FIND("-",M48)-1)),M48)*200&gt;64242),"Вы уменьшили цену в несколько раз, товар попадет в карантин цен",IF(IFERROR(VALUE(LEFT(M48,FIND("-",M48)-1)),M48)*200&lt;=64242,"Не сохранили изменения, чтобы защитить от ошибки — новые цены меньше текущих более чем в 2 раза. Снижайте их постепенно",IF(AND(IFERROR(VALUE(I48),0)=0,ISNUMBER(J48),OR(J48&lt;611,ABS(IFERROR(VALUE(LEFT(M48,FIND("-",M48)-1)),M48))*100&lt;61100)),"Проверьте цену товара. Большинство товаров в выбранной категории стоят дороже 611","")))))),"")</f>
      </c>
    </row>
    <row r="49">
      <c r="A49" s="2" t="inlineStr">
        <is>
          <t>Veloria</t>
        </is>
      </c>
      <c r="B49" s="2" t="inlineStr">
        <is>
          <t>Рулонные шторы</t>
        </is>
      </c>
      <c r="C49" s="2">
        <v>366877703</v>
      </c>
      <c r="D49" s="2" t="inlineStr">
        <is>
          <t>420548</t>
        </is>
      </c>
      <c r="E49" s="2" t="inlineStr">
        <is>
          <t>2043305734971</t>
        </is>
      </c>
      <c r="F49" s="2">
        <v>0</v>
      </c>
      <c r="G49" s="2">
        <v>0</v>
      </c>
      <c r="H49" s="2" t="inlineStr">
        <is>
          <t/>
        </is>
      </c>
      <c r="I49" s="2" t="inlineStr">
        <is>
          <t>7090</t>
        </is>
      </c>
      <c r="J49" s="4"/>
      <c r="K49" s="2">
        <v>65</v>
      </c>
      <c r="L49" s="6"/>
      <c r="M49" s="2" t="str">
        <f>IF(J49="",ROUND(I49*(1-IF(ISBLANK(L49),K49,L49)/100),2),ROUND(J49*(1-IF(ISBLANK(L49),K49,L49)/100),2))</f>
      </c>
      <c r="N49" s="7" t="str">
        <f>IF(NOT(AND(J49="",L49="")),IF(OR(AND(L49&lt;&gt;"",NOT(ISNUMBER(L49))),IFERROR(MOD(L49,1),1)&gt;0,AND(ISNUMBER(L49),OR(L49&lt;0,L49&gt;95))),"Введите целое число от 0 до 95",IF(OR(AND(J49&lt;&gt;"",NOT(ISNUMBER(J49))),IFERROR(MOD(J49,1),1)&gt;0,AND(ISNUMBER(J49),OR(J49&lt;50,J49&gt;20000000))),"Введите целое число от 50 до 20000000",IF(NOT(ABS(IFERROR(VALUE(LEFT(M49,FIND("-",M49)-1)),M49)*100-(2500+2000000000)/2)&lt;=ABS(2500-2000000000)/2),"Цена со скидкой должна быть от 25 до 20000000",IF(AND(IFERROR(VALUE(LEFT(M49,FIND("-",M49)-1)),M49)*150&lt;=248150,IFERROR(VALUE(LEFT(M49,FIND("-",M49)-1)),M49)*200&gt;248150),"Вы уменьшили цену в несколько раз, товар попадет в карантин цен",IF(IFERROR(VALUE(LEFT(M49,FIND("-",M49)-1)),M49)*200&lt;=248150,"Не сохранили изменения, чтобы защитить от ошибки — новые цены меньше текущих более чем в 2 раза. Снижайте их постепенно",IF(AND(IFERROR(VALUE(I49),0)=0,ISNUMBER(J49),OR(J49&lt;611,ABS(IFERROR(VALUE(LEFT(M49,FIND("-",M49)-1)),M49))*100&lt;61100)),"Проверьте цену товара. Большинство товаров в выбранной категории стоят дороже 611","")))))),"")</f>
      </c>
    </row>
    <row r="50">
      <c r="A50" s="2" t="inlineStr">
        <is>
          <t>Veloria</t>
        </is>
      </c>
      <c r="B50" s="2" t="inlineStr">
        <is>
          <t>Рулонные шторы</t>
        </is>
      </c>
      <c r="C50" s="2">
        <v>366880452</v>
      </c>
      <c r="D50" s="2" t="inlineStr">
        <is>
          <t>420549</t>
        </is>
      </c>
      <c r="E50" s="2" t="inlineStr">
        <is>
          <t>2043305827833</t>
        </is>
      </c>
      <c r="F50" s="2">
        <v>1</v>
      </c>
      <c r="G50" s="2">
        <v>0</v>
      </c>
      <c r="H50" s="2">
        <v>999</v>
      </c>
      <c r="I50" s="2" t="inlineStr">
        <is>
          <t>9424</t>
        </is>
      </c>
      <c r="J50" s="4"/>
      <c r="K50" s="2">
        <v>81</v>
      </c>
      <c r="L50" s="6"/>
      <c r="M50" s="2" t="str">
        <f>IF(J50="",ROUND(I50*(1-IF(ISBLANK(L50),K50,L50)/100),2),ROUND(J50*(1-IF(ISBLANK(L50),K50,L50)/100),2))</f>
      </c>
      <c r="N50" s="7" t="str">
        <f>IF(NOT(AND(J50="",L50="")),IF(OR(AND(L50&lt;&gt;"",NOT(ISNUMBER(L50))),IFERROR(MOD(L50,1),1)&gt;0,AND(ISNUMBER(L50),OR(L50&lt;0,L50&gt;95))),"Введите целое число от 0 до 95",IF(OR(AND(J50&lt;&gt;"",NOT(ISNUMBER(J50))),IFERROR(MOD(J50,1),1)&gt;0,AND(ISNUMBER(J50),OR(J50&lt;50,J50&gt;20000000))),"Введите целое число от 50 до 20000000",IF(NOT(ABS(IFERROR(VALUE(LEFT(M50,FIND("-",M50)-1)),M50)*100-(2500+2000000000)/2)&lt;=ABS(2500-2000000000)/2),"Цена со скидкой должна быть от 25 до 20000000",IF(AND(IFERROR(VALUE(LEFT(M50,FIND("-",M50)-1)),M50)*150&lt;=179055,IFERROR(VALUE(LEFT(M50,FIND("-",M50)-1)),M50)*200&gt;179055),"Вы уменьшили цену в несколько раз, товар попадет в карантин цен",IF(IFERROR(VALUE(LEFT(M50,FIND("-",M50)-1)),M50)*200&lt;=179055,"Не сохранили изменения, чтобы защитить от ошибки — новые цены меньше текущих более чем в 2 раза. Снижайте их постепенно",IF(AND(IFERROR(VALUE(I50),0)=0,ISNUMBER(J50),OR(J50&lt;611,ABS(IFERROR(VALUE(LEFT(M50,FIND("-",M50)-1)),M50))*100&lt;61100)),"Проверьте цену товара. Большинство товаров в выбранной категории стоят дороже 611","")))))),"")</f>
      </c>
    </row>
    <row r="51">
      <c r="A51" s="2" t="inlineStr">
        <is>
          <t>Veloria</t>
        </is>
      </c>
      <c r="B51" s="2" t="inlineStr">
        <is>
          <t>Рулонные шторы</t>
        </is>
      </c>
      <c r="C51" s="2">
        <v>306126597</v>
      </c>
      <c r="D51" s="2" t="inlineStr">
        <is>
          <t>420378</t>
        </is>
      </c>
      <c r="E51" s="2" t="inlineStr">
        <is>
          <t>4680093968461</t>
        </is>
      </c>
      <c r="F51" s="2">
        <v>0</v>
      </c>
      <c r="G51" s="2">
        <v>0</v>
      </c>
      <c r="H51" s="2">
        <v>999</v>
      </c>
      <c r="I51" s="2" t="inlineStr">
        <is>
          <t>3408</t>
        </is>
      </c>
      <c r="J51" s="4"/>
      <c r="K51" s="2">
        <v>78</v>
      </c>
      <c r="L51" s="6"/>
      <c r="M51" s="2" t="str">
        <f>IF(J51="",ROUND(I51*(1-IF(ISBLANK(L51),K51,L51)/100),2),ROUND(J51*(1-IF(ISBLANK(L51),K51,L51)/100),2))</f>
      </c>
      <c r="N51" s="7" t="str">
        <f>IF(NOT(AND(J51="",L51="")),IF(OR(AND(L51&lt;&gt;"",NOT(ISNUMBER(L51))),IFERROR(MOD(L51,1),1)&gt;0,AND(ISNUMBER(L51),OR(L51&lt;0,L51&gt;95))),"Введите целое число от 0 до 95",IF(OR(AND(J51&lt;&gt;"",NOT(ISNUMBER(J51))),IFERROR(MOD(J51,1),1)&gt;0,AND(ISNUMBER(J51),OR(J51&lt;50,J51&gt;20000000))),"Введите целое число от 50 до 20000000",IF(NOT(ABS(IFERROR(VALUE(LEFT(M51,FIND("-",M51)-1)),M51)*100-(2500+2000000000)/2)&lt;=ABS(2500-2000000000)/2),"Цена со скидкой должна быть от 25 до 20000000",IF(AND(IFERROR(VALUE(LEFT(M51,FIND("-",M51)-1)),M51)*150&lt;=74975,IFERROR(VALUE(LEFT(M51,FIND("-",M51)-1)),M51)*200&gt;74975),"Вы уменьшили цену в несколько раз, товар попадет в карантин цен",IF(IFERROR(VALUE(LEFT(M51,FIND("-",M51)-1)),M51)*200&lt;=74975,"Не сохранили изменения, чтобы защитить от ошибки — новые цены меньше текущих более чем в 2 раза. Снижайте их постепенно",IF(AND(IFERROR(VALUE(I51),0)=0,ISNUMBER(J51),OR(J51&lt;611,ABS(IFERROR(VALUE(LEFT(M51,FIND("-",M51)-1)),M51))*100&lt;61100)),"Проверьте цену товара. Большинство товаров в выбранной категории стоят дороже 611","")))))),"")</f>
      </c>
    </row>
    <row r="52">
      <c r="A52" s="2" t="inlineStr">
        <is>
          <t>Veloria</t>
        </is>
      </c>
      <c r="B52" s="2" t="inlineStr">
        <is>
          <t>Рулонные шторы</t>
        </is>
      </c>
      <c r="C52" s="2">
        <v>423133655</v>
      </c>
      <c r="D52" s="2" t="inlineStr">
        <is>
          <t>420540</t>
        </is>
      </c>
      <c r="E52" s="2" t="inlineStr">
        <is>
          <t>2044121242497</t>
        </is>
      </c>
      <c r="F52" s="2">
        <v>0</v>
      </c>
      <c r="G52" s="2">
        <v>9</v>
      </c>
      <c r="H52" s="2" t="inlineStr">
        <is>
          <t/>
        </is>
      </c>
      <c r="I52" s="2" t="inlineStr">
        <is>
          <t>10940</t>
        </is>
      </c>
      <c r="J52" s="4"/>
      <c r="K52" s="2">
        <v>78</v>
      </c>
      <c r="L52" s="6"/>
      <c r="M52" s="2" t="str">
        <f>IF(J52="",ROUND(I52*(1-IF(ISBLANK(L52),K52,L52)/100),2),ROUND(J52*(1-IF(ISBLANK(L52),K52,L52)/100),2))</f>
      </c>
      <c r="N52" s="7" t="str">
        <f>IF(NOT(AND(J52="",L52="")),IF(OR(AND(L52&lt;&gt;"",NOT(ISNUMBER(L52))),IFERROR(MOD(L52,1),1)&gt;0,AND(ISNUMBER(L52),OR(L52&lt;0,L52&gt;95))),"Введите целое число от 0 до 95",IF(OR(AND(J52&lt;&gt;"",NOT(ISNUMBER(J52))),IFERROR(MOD(J52,1),1)&gt;0,AND(ISNUMBER(J52),OR(J52&lt;50,J52&gt;20000000))),"Введите целое число от 50 до 20000000",IF(NOT(ABS(IFERROR(VALUE(LEFT(M52,FIND("-",M52)-1)),M52)*100-(2500+2000000000)/2)&lt;=ABS(2500-2000000000)/2),"Цена со скидкой должна быть от 25 до 20000000",IF(AND(IFERROR(VALUE(LEFT(M52,FIND("-",M52)-1)),M52)*150&lt;=240679,IFERROR(VALUE(LEFT(M52,FIND("-",M52)-1)),M52)*200&gt;240679),"Вы уменьшили цену в несколько раз, товар попадет в карантин цен",IF(IFERROR(VALUE(LEFT(M52,FIND("-",M52)-1)),M52)*200&lt;=240679,"Не сохранили изменения, чтобы защитить от ошибки — новые цены меньше текущих более чем в 2 раза. Снижайте их постепенно",IF(AND(IFERROR(VALUE(I52),0)=0,ISNUMBER(J52),OR(J52&lt;611,ABS(IFERROR(VALUE(LEFT(M52,FIND("-",M52)-1)),M52))*100&lt;61100)),"Проверьте цену товара. Большинство товаров в выбранной категории стоят дороже 611","")))))),"")</f>
      </c>
    </row>
    <row r="53">
      <c r="A53" s="2" t="inlineStr">
        <is>
          <t>Luxaro</t>
        </is>
      </c>
      <c r="B53" s="2" t="inlineStr">
        <is>
          <t>Половники</t>
        </is>
      </c>
      <c r="C53" s="2">
        <v>260445263</v>
      </c>
      <c r="D53" s="2" t="inlineStr">
        <is>
          <t>513422</t>
        </is>
      </c>
      <c r="E53" s="2" t="inlineStr">
        <is>
          <t>4680093962834</t>
        </is>
      </c>
      <c r="F53" s="2">
        <v>0</v>
      </c>
      <c r="G53" s="2">
        <v>0</v>
      </c>
      <c r="H53" s="2">
        <v>999</v>
      </c>
      <c r="I53" s="2" t="inlineStr">
        <is>
          <t>2099</t>
        </is>
      </c>
      <c r="J53" s="4"/>
      <c r="K53" s="2">
        <v>65</v>
      </c>
      <c r="L53" s="6"/>
      <c r="M53" s="2" t="str">
        <f>IF(J53="",ROUND(I53*(1-IF(ISBLANK(L53),K53,L53)/100),2),ROUND(J53*(1-IF(ISBLANK(L53),K53,L53)/100),2))</f>
      </c>
      <c r="N53" s="7" t="str">
        <f>IF(NOT(AND(J53="",L53="")),IF(OR(AND(L53&lt;&gt;"",NOT(ISNUMBER(L53))),IFERROR(MOD(L53,1),1)&gt;0,AND(ISNUMBER(L53),OR(L53&lt;0,L53&gt;95))),"Введите целое число от 0 до 95",IF(OR(AND(J53&lt;&gt;"",NOT(ISNUMBER(J53))),IFERROR(MOD(J53,1),1)&gt;0,AND(ISNUMBER(J53),OR(J53&lt;50,J53&gt;20000000))),"Введите целое число от 50 до 20000000",IF(NOT(ABS(IFERROR(VALUE(LEFT(M53,FIND("-",M53)-1)),M53)*100-(2500+2000000000)/2)&lt;=ABS(2500-2000000000)/2),"Цена со скидкой должна быть от 25 до 20000000",IF(AND(IFERROR(VALUE(LEFT(M53,FIND("-",M53)-1)),M53)*150&lt;=73465,IFERROR(VALUE(LEFT(M53,FIND("-",M53)-1)),M53)*200&gt;73465),"Вы уменьшили цену в несколько раз, товар попадет в карантин цен",IF(IFERROR(VALUE(LEFT(M53,FIND("-",M53)-1)),M53)*200&lt;=73465,"Не сохранили изменения, чтобы защитить от ошибки — новые цены меньше текущих более чем в 2 раза. Снижайте их постепенно",IF(AND(IFERROR(VALUE(I53),0)=0,ISNUMBER(J53),OR(J53&lt;346,ABS(IFERROR(VALUE(LEFT(M53,FIND("-",M53)-1)),M53))*100&lt;34600)),"Проверьте цену товара. Большинство товаров в выбранной категории стоят дороже 346","")))))),"")</f>
      </c>
    </row>
    <row r="54">
      <c r="A54" s="2" t="inlineStr">
        <is>
          <t>Veloria</t>
        </is>
      </c>
      <c r="B54" s="2" t="inlineStr">
        <is>
          <t>Рулонные шторы</t>
        </is>
      </c>
      <c r="C54" s="2">
        <v>423114219</v>
      </c>
      <c r="D54" s="2" t="inlineStr">
        <is>
          <t>420547</t>
        </is>
      </c>
      <c r="E54" s="2" t="inlineStr">
        <is>
          <t>2044120992768</t>
        </is>
      </c>
      <c r="F54" s="2">
        <v>0</v>
      </c>
      <c r="G54" s="2">
        <v>29</v>
      </c>
      <c r="H54" s="2" t="inlineStr">
        <is>
          <t/>
        </is>
      </c>
      <c r="I54" s="2" t="inlineStr">
        <is>
          <t>14297</t>
        </is>
      </c>
      <c r="J54" s="4"/>
      <c r="K54" s="2">
        <v>78</v>
      </c>
      <c r="L54" s="6"/>
      <c r="M54" s="2" t="str">
        <f>IF(J54="",ROUND(I54*(1-IF(ISBLANK(L54),K54,L54)/100),2),ROUND(J54*(1-IF(ISBLANK(L54),K54,L54)/100),2))</f>
      </c>
      <c r="N54" s="7" t="str">
        <f>IF(NOT(AND(J54="",L54="")),IF(OR(AND(L54&lt;&gt;"",NOT(ISNUMBER(L54))),IFERROR(MOD(L54,1),1)&gt;0,AND(ISNUMBER(L54),OR(L54&lt;0,L54&gt;95))),"Введите целое число от 0 до 95",IF(OR(AND(J54&lt;&gt;"",NOT(ISNUMBER(J54))),IFERROR(MOD(J54,1),1)&gt;0,AND(ISNUMBER(J54),OR(J54&lt;50,J54&gt;20000000))),"Введите целое число от 50 до 20000000",IF(NOT(ABS(IFERROR(VALUE(LEFT(M54,FIND("-",M54)-1)),M54)*100-(2500+2000000000)/2)&lt;=ABS(2500-2000000000)/2),"Цена со скидкой должна быть от 25 до 20000000",IF(AND(IFERROR(VALUE(LEFT(M54,FIND("-",M54)-1)),M54)*150&lt;=314533,IFERROR(VALUE(LEFT(M54,FIND("-",M54)-1)),M54)*200&gt;314533),"Вы уменьшили цену в несколько раз, товар попадет в карантин цен",IF(IFERROR(VALUE(LEFT(M54,FIND("-",M54)-1)),M54)*200&lt;=314533,"Не сохранили изменения, чтобы защитить от ошибки — новые цены меньше текущих более чем в 2 раза. Снижайте их постепенно",IF(AND(IFERROR(VALUE(I54),0)=0,ISNUMBER(J54),OR(J54&lt;611,ABS(IFERROR(VALUE(LEFT(M54,FIND("-",M54)-1)),M54))*100&lt;61100)),"Проверьте цену товара. Большинство товаров в выбранной категории стоят дороже 611","")))))),"")</f>
      </c>
    </row>
    <row r="55">
      <c r="A55" s="2" t="inlineStr">
        <is>
          <t/>
        </is>
      </c>
      <c r="B55" s="2" t="inlineStr">
        <is>
          <t>Шторы для ванной</t>
        </is>
      </c>
      <c r="C55" s="2">
        <v>619534027</v>
      </c>
      <c r="D55" s="2" t="inlineStr">
        <is>
          <t>420155</t>
        </is>
      </c>
      <c r="E55" s="2" t="inlineStr">
        <is>
          <t>2047325544282</t>
        </is>
      </c>
      <c r="F55" s="2">
        <v>0</v>
      </c>
      <c r="G55" s="2">
        <v>0</v>
      </c>
      <c r="H55" s="2" t="inlineStr">
        <is>
          <t/>
        </is>
      </c>
      <c r="I55" s="2" t="inlineStr">
        <is>
          <t>5717</t>
        </is>
      </c>
      <c r="J55" s="4"/>
      <c r="K55" s="2">
        <v>65</v>
      </c>
      <c r="L55" s="6"/>
      <c r="M55" s="2" t="str">
        <f>IF(J55="",ROUND(I55*(1-IF(ISBLANK(L55),K55,L55)/100),2),ROUND(J55*(1-IF(ISBLANK(L55),K55,L55)/100),2))</f>
      </c>
      <c r="N55" s="7" t="str">
        <f>IF(NOT(AND(J55="",L55="")),IF(OR(AND(L55&lt;&gt;"",NOT(ISNUMBER(L55))),IFERROR(MOD(L55,1),1)&gt;0,AND(ISNUMBER(L55),OR(L55&lt;0,L55&gt;95))),"Введите целое число от 0 до 95",IF(OR(AND(J55&lt;&gt;"",NOT(ISNUMBER(J55))),IFERROR(MOD(J55,1),1)&gt;0,AND(ISNUMBER(J55),OR(J55&lt;50,J55&gt;20000000))),"Введите целое число от 50 до 20000000",IF(NOT(ABS(IFERROR(VALUE(LEFT(M55,FIND("-",M55)-1)),M55)*100-(2500+2000000000)/2)&lt;=ABS(2500-2000000000)/2),"Цена со скидкой должна быть от 25 до 20000000",IF(AND(IFERROR(VALUE(LEFT(M55,FIND("-",M55)-1)),M55)*150&lt;=200094,IFERROR(VALUE(LEFT(M55,FIND("-",M55)-1)),M55)*200&gt;200094),"Вы уменьшили цену в несколько раз, товар попадет в карантин цен",IF(IFERROR(VALUE(LEFT(M55,FIND("-",M55)-1)),M55)*200&lt;=200094,"Не сохранили изменения, чтобы защитить от ошибки — новые цены меньше текущих более чем в 2 раза. Снижайте их постепенно",IF(AND(IFERROR(VALUE(I55),0)=0,ISNUMBER(J55),OR(J55&lt;491,ABS(IFERROR(VALUE(LEFT(M55,FIND("-",M55)-1)),M55))*100&lt;49100)),"Проверьте цену товара. Большинство товаров в выбранной категории стоят дороже 491","")))))),"")</f>
      </c>
    </row>
    <row r="56">
      <c r="A56" s="2" t="inlineStr">
        <is>
          <t/>
        </is>
      </c>
      <c r="B56" s="2" t="inlineStr">
        <is>
          <t>Чайники электрические</t>
        </is>
      </c>
      <c r="C56" s="2">
        <v>603732355</v>
      </c>
      <c r="D56" s="2" t="inlineStr">
        <is>
          <t>192451</t>
        </is>
      </c>
      <c r="E56" s="2" t="inlineStr">
        <is>
          <t>2047147941474</t>
        </is>
      </c>
      <c r="F56" s="2">
        <v>0</v>
      </c>
      <c r="G56" s="2">
        <v>0</v>
      </c>
      <c r="H56" s="2" t="inlineStr">
        <is>
          <t/>
        </is>
      </c>
      <c r="I56" s="2" t="inlineStr">
        <is>
          <t>8642</t>
        </is>
      </c>
      <c r="J56" s="4"/>
      <c r="K56" s="2">
        <v>65</v>
      </c>
      <c r="L56" s="6"/>
      <c r="M56" s="2" t="str">
        <f>IF(J56="",ROUND(I56*(1-IF(ISBLANK(L56),K56,L56)/100),2),ROUND(J56*(1-IF(ISBLANK(L56),K56,L56)/100),2))</f>
      </c>
      <c r="N56" s="7" t="str">
        <f>IF(NOT(AND(J56="",L56="")),IF(OR(AND(L56&lt;&gt;"",NOT(ISNUMBER(L56))),IFERROR(MOD(L56,1),1)&gt;0,AND(ISNUMBER(L56),OR(L56&lt;0,L56&gt;95))),"Введите целое число от 0 до 95",IF(OR(AND(J56&lt;&gt;"",NOT(ISNUMBER(J56))),IFERROR(MOD(J56,1),1)&gt;0,AND(ISNUMBER(J56),OR(J56&lt;50,J56&gt;20000000))),"Введите целое число от 50 до 20000000",IF(NOT(ABS(IFERROR(VALUE(LEFT(M56,FIND("-",M56)-1)),M56)*100-(2500+2000000000)/2)&lt;=ABS(2500-2000000000)/2),"Цена со скидкой должна быть от 25 до 20000000",IF(AND(IFERROR(VALUE(LEFT(M56,FIND("-",M56)-1)),M56)*150&lt;=302470,IFERROR(VALUE(LEFT(M56,FIND("-",M56)-1)),M56)*200&gt;302470),"Вы уменьшили цену в несколько раз, товар попадет в карантин цен",IF(IFERROR(VALUE(LEFT(M56,FIND("-",M56)-1)),M56)*200&lt;=302470,"Не сохранили изменения, чтобы защитить от ошибки — новые цены меньше текущих более чем в 2 раза. Снижайте их постепенно",IF(AND(IFERROR(VALUE(I56),0)=0,ISNUMBER(J56),OR(J56&lt;496,ABS(IFERROR(VALUE(LEFT(M56,FIND("-",M56)-1)),M56))*100&lt;49600)),"Проверьте цену товара. Большинство товаров в выбранной категории стоят дороже 496","")))))),"")</f>
      </c>
    </row>
    <row r="57">
      <c r="A57" s="2" t="inlineStr">
        <is>
          <t/>
        </is>
      </c>
      <c r="B57" s="2" t="inlineStr">
        <is>
          <t>Ролики для одежды</t>
        </is>
      </c>
      <c r="C57" s="2">
        <v>523274528</v>
      </c>
      <c r="D57" s="2" t="inlineStr">
        <is>
          <t>72815</t>
        </is>
      </c>
      <c r="E57" s="2" t="inlineStr">
        <is>
          <t>2045808880360</t>
        </is>
      </c>
      <c r="F57" s="2">
        <v>24</v>
      </c>
      <c r="G57" s="2">
        <v>0</v>
      </c>
      <c r="H57" s="2">
        <v>999</v>
      </c>
      <c r="I57" s="2" t="inlineStr">
        <is>
          <t>4228</t>
        </is>
      </c>
      <c r="J57" s="4"/>
      <c r="K57" s="2">
        <v>83</v>
      </c>
      <c r="L57" s="6"/>
      <c r="M57" s="2" t="str">
        <f>IF(J57="",ROUND(I57*(1-IF(ISBLANK(L57),K57,L57)/100),2),ROUND(J57*(1-IF(ISBLANK(L57),K57,L57)/100),2))</f>
      </c>
      <c r="N57" s="7" t="str">
        <f>IF(NOT(AND(J57="",L57="")),IF(OR(AND(L57&lt;&gt;"",NOT(ISNUMBER(L57))),IFERROR(MOD(L57,1),1)&gt;0,AND(ISNUMBER(L57),OR(L57&lt;0,L57&gt;95))),"Введите целое число от 0 до 95",IF(OR(AND(J57&lt;&gt;"",NOT(ISNUMBER(J57))),IFERROR(MOD(J57,1),1)&gt;0,AND(ISNUMBER(J57),OR(J57&lt;50,J57&gt;20000000))),"Введите целое число от 50 до 20000000",IF(NOT(ABS(IFERROR(VALUE(LEFT(M57,FIND("-",M57)-1)),M57)*100-(2500+2000000000)/2)&lt;=ABS(2500-2000000000)/2),"Цена со скидкой должна быть от 25 до 20000000",IF(AND(IFERROR(VALUE(LEFT(M57,FIND("-",M57)-1)),M57)*150&lt;=71876,IFERROR(VALUE(LEFT(M57,FIND("-",M57)-1)),M57)*200&gt;71876),"Вы уменьшили цену в несколько раз, товар попадет в карантин цен",IF(IFERROR(VALUE(LEFT(M57,FIND("-",M57)-1)),M57)*200&lt;=71876,"Не сохранили изменения, чтобы защитить от ошибки — новые цены меньше текущих более чем в 2 раза. Снижайте их постепенно",IF(AND(IFERROR(VALUE(I57),0)=0,ISNUMBER(J57),OR(J57&lt;214,ABS(IFERROR(VALUE(LEFT(M57,FIND("-",M57)-1)),M57))*100&lt;21400)),"Проверьте цену товара. Большинство товаров в выбранной категории стоят дороже 214","")))))),"")</f>
      </c>
    </row>
    <row r="58">
      <c r="A58" s="2" t="inlineStr">
        <is>
          <t/>
        </is>
      </c>
      <c r="B58" s="2" t="inlineStr">
        <is>
          <t>Шторы для ванной</t>
        </is>
      </c>
      <c r="C58" s="2">
        <v>619534024</v>
      </c>
      <c r="D58" s="2" t="inlineStr">
        <is>
          <t>43143</t>
        </is>
      </c>
      <c r="E58" s="2" t="inlineStr">
        <is>
          <t>2047325544121</t>
        </is>
      </c>
      <c r="F58" s="2">
        <v>13</v>
      </c>
      <c r="G58" s="2">
        <v>0</v>
      </c>
      <c r="H58" s="2">
        <v>416</v>
      </c>
      <c r="I58" s="2" t="inlineStr">
        <is>
          <t>6046</t>
        </is>
      </c>
      <c r="J58" s="4"/>
      <c r="K58" s="2">
        <v>84</v>
      </c>
      <c r="L58" s="6"/>
      <c r="M58" s="2" t="str">
        <f>IF(J58="",ROUND(I58*(1-IF(ISBLANK(L58),K58,L58)/100),2),ROUND(J58*(1-IF(ISBLANK(L58),K58,L58)/100),2))</f>
      </c>
      <c r="N58" s="7" t="str">
        <f>IF(NOT(AND(J58="",L58="")),IF(OR(AND(L58&lt;&gt;"",NOT(ISNUMBER(L58))),IFERROR(MOD(L58,1),1)&gt;0,AND(ISNUMBER(L58),OR(L58&lt;0,L58&gt;95))),"Введите целое число от 0 до 95",IF(OR(AND(J58&lt;&gt;"",NOT(ISNUMBER(J58))),IFERROR(MOD(J58,1),1)&gt;0,AND(ISNUMBER(J58),OR(J58&lt;50,J58&gt;20000000))),"Введите целое число от 50 до 20000000",IF(NOT(ABS(IFERROR(VALUE(LEFT(M58,FIND("-",M58)-1)),M58)*100-(2500+2000000000)/2)&lt;=ABS(2500-2000000000)/2),"Цена со скидкой должна быть от 25 до 20000000",IF(AND(IFERROR(VALUE(LEFT(M58,FIND("-",M58)-1)),M58)*150&lt;=96736,IFERROR(VALUE(LEFT(M58,FIND("-",M58)-1)),M58)*200&gt;96736),"Вы уменьшили цену в несколько раз, товар попадет в карантин цен",IF(IFERROR(VALUE(LEFT(M58,FIND("-",M58)-1)),M58)*200&lt;=96736,"Не сохранили изменения, чтобы защитить от ошибки — новые цены меньше текущих более чем в 2 раза. Снижайте их постепенно",IF(AND(IFERROR(VALUE(I58),0)=0,ISNUMBER(J58),OR(J58&lt;491,ABS(IFERROR(VALUE(LEFT(M58,FIND("-",M58)-1)),M58))*100&lt;49100)),"Проверьте цену товара. Большинство товаров в выбранной категории стоят дороже 491","")))))),"")</f>
      </c>
    </row>
    <row r="59">
      <c r="A59" s="2" t="inlineStr">
        <is>
          <t/>
        </is>
      </c>
      <c r="B59" s="2" t="inlineStr">
        <is>
          <t>Шторы для ванной</t>
        </is>
      </c>
      <c r="C59" s="2">
        <v>619534043</v>
      </c>
      <c r="D59" s="2" t="inlineStr">
        <is>
          <t>420424</t>
        </is>
      </c>
      <c r="E59" s="2" t="inlineStr">
        <is>
          <t>2047325545265</t>
        </is>
      </c>
      <c r="F59" s="2">
        <v>0</v>
      </c>
      <c r="G59" s="2">
        <v>14</v>
      </c>
      <c r="H59" s="2" t="inlineStr">
        <is>
          <t/>
        </is>
      </c>
      <c r="I59" s="2" t="inlineStr">
        <is>
          <t>6200</t>
        </is>
      </c>
      <c r="J59" s="4"/>
      <c r="K59" s="2">
        <v>65</v>
      </c>
      <c r="L59" s="6"/>
      <c r="M59" s="2" t="str">
        <f>IF(J59="",ROUND(I59*(1-IF(ISBLANK(L59),K59,L59)/100),2),ROUND(J59*(1-IF(ISBLANK(L59),K59,L59)/100),2))</f>
      </c>
      <c r="N59" s="7" t="str">
        <f>IF(NOT(AND(J59="",L59="")),IF(OR(AND(L59&lt;&gt;"",NOT(ISNUMBER(L59))),IFERROR(MOD(L59,1),1)&gt;0,AND(ISNUMBER(L59),OR(L59&lt;0,L59&gt;95))),"Введите целое число от 0 до 95",IF(OR(AND(J59&lt;&gt;"",NOT(ISNUMBER(J59))),IFERROR(MOD(J59,1),1)&gt;0,AND(ISNUMBER(J59),OR(J59&lt;50,J59&gt;20000000))),"Введите целое число от 50 до 20000000",IF(NOT(ABS(IFERROR(VALUE(LEFT(M59,FIND("-",M59)-1)),M59)*100-(2500+2000000000)/2)&lt;=ABS(2500-2000000000)/2),"Цена со скидкой должна быть от 25 до 20000000",IF(AND(IFERROR(VALUE(LEFT(M59,FIND("-",M59)-1)),M59)*150&lt;=217000,IFERROR(VALUE(LEFT(M59,FIND("-",M59)-1)),M59)*200&gt;217000),"Вы уменьшили цену в несколько раз, товар попадет в карантин цен",IF(IFERROR(VALUE(LEFT(M59,FIND("-",M59)-1)),M59)*200&lt;=217000,"Не сохранили изменения, чтобы защитить от ошибки — новые цены меньше текущих более чем в 2 раза. Снижайте их постепенно",IF(AND(IFERROR(VALUE(I59),0)=0,ISNUMBER(J59),OR(J59&lt;491,ABS(IFERROR(VALUE(LEFT(M59,FIND("-",M59)-1)),M59))*100&lt;49100)),"Проверьте цену товара. Большинство товаров в выбранной категории стоят дороже 491","")))))),"")</f>
      </c>
    </row>
    <row r="60">
      <c r="A60" s="2" t="inlineStr">
        <is>
          <t/>
        </is>
      </c>
      <c r="B60" s="2" t="inlineStr">
        <is>
          <t>Шторы для ванной</t>
        </is>
      </c>
      <c r="C60" s="2">
        <v>619534031</v>
      </c>
      <c r="D60" s="2" t="inlineStr">
        <is>
          <t>420168</t>
        </is>
      </c>
      <c r="E60" s="2" t="inlineStr">
        <is>
          <t>2047325544473</t>
        </is>
      </c>
      <c r="F60" s="2">
        <v>3</v>
      </c>
      <c r="G60" s="2">
        <v>0</v>
      </c>
      <c r="H60" s="2">
        <v>41</v>
      </c>
      <c r="I60" s="2" t="inlineStr">
        <is>
          <t>6375</t>
        </is>
      </c>
      <c r="J60" s="4"/>
      <c r="K60" s="2">
        <v>80</v>
      </c>
      <c r="L60" s="6"/>
      <c r="M60" s="2" t="str">
        <f>IF(J60="",ROUND(I60*(1-IF(ISBLANK(L60),K60,L60)/100),2),ROUND(J60*(1-IF(ISBLANK(L60),K60,L60)/100),2))</f>
      </c>
      <c r="N60" s="7" t="str">
        <f>IF(NOT(AND(J60="",L60="")),IF(OR(AND(L60&lt;&gt;"",NOT(ISNUMBER(L60))),IFERROR(MOD(L60,1),1)&gt;0,AND(ISNUMBER(L60),OR(L60&lt;0,L60&gt;95))),"Введите целое число от 0 до 95",IF(OR(AND(J60&lt;&gt;"",NOT(ISNUMBER(J60))),IFERROR(MOD(J60,1),1)&gt;0,AND(ISNUMBER(J60),OR(J60&lt;50,J60&gt;20000000))),"Введите целое число от 50 до 20000000",IF(NOT(ABS(IFERROR(VALUE(LEFT(M60,FIND("-",M60)-1)),M60)*100-(2500+2000000000)/2)&lt;=ABS(2500-2000000000)/2),"Цена со скидкой должна быть от 25 до 20000000",IF(AND(IFERROR(VALUE(LEFT(M60,FIND("-",M60)-1)),M60)*150&lt;=127499,IFERROR(VALUE(LEFT(M60,FIND("-",M60)-1)),M60)*200&gt;127499),"Вы уменьшили цену в несколько раз, товар попадет в карантин цен",IF(IFERROR(VALUE(LEFT(M60,FIND("-",M60)-1)),M60)*200&lt;=127499,"Не сохранили изменения, чтобы защитить от ошибки — новые цены меньше текущих более чем в 2 раза. Снижайте их постепенно",IF(AND(IFERROR(VALUE(I60),0)=0,ISNUMBER(J60),OR(J60&lt;491,ABS(IFERROR(VALUE(LEFT(M60,FIND("-",M60)-1)),M60))*100&lt;49100)),"Проверьте цену товара. Большинство товаров в выбранной категории стоят дороже 491","")))))),"")</f>
      </c>
    </row>
    <row r="61">
      <c r="A61" s="2" t="inlineStr">
        <is>
          <t/>
        </is>
      </c>
      <c r="B61" s="2" t="inlineStr">
        <is>
          <t>Шторы для ванной</t>
        </is>
      </c>
      <c r="C61" s="2">
        <v>619534028</v>
      </c>
      <c r="D61" s="2" t="inlineStr">
        <is>
          <t>420156</t>
        </is>
      </c>
      <c r="E61" s="2" t="inlineStr">
        <is>
          <t>2047325544336</t>
        </is>
      </c>
      <c r="F61" s="2">
        <v>0</v>
      </c>
      <c r="G61" s="2">
        <v>8</v>
      </c>
      <c r="H61" s="2" t="inlineStr">
        <is>
          <t/>
        </is>
      </c>
      <c r="I61" s="2" t="inlineStr">
        <is>
          <t>6046</t>
        </is>
      </c>
      <c r="J61" s="4"/>
      <c r="K61" s="2">
        <v>80</v>
      </c>
      <c r="L61" s="6"/>
      <c r="M61" s="2" t="str">
        <f>IF(J61="",ROUND(I61*(1-IF(ISBLANK(L61),K61,L61)/100),2),ROUND(J61*(1-IF(ISBLANK(L61),K61,L61)/100),2))</f>
      </c>
      <c r="N61" s="7" t="str">
        <f>IF(NOT(AND(J61="",L61="")),IF(OR(AND(L61&lt;&gt;"",NOT(ISNUMBER(L61))),IFERROR(MOD(L61,1),1)&gt;0,AND(ISNUMBER(L61),OR(L61&lt;0,L61&gt;95))),"Введите целое число от 0 до 95",IF(OR(AND(J61&lt;&gt;"",NOT(ISNUMBER(J61))),IFERROR(MOD(J61,1),1)&gt;0,AND(ISNUMBER(J61),OR(J61&lt;50,J61&gt;20000000))),"Введите целое число от 50 до 20000000",IF(NOT(ABS(IFERROR(VALUE(LEFT(M61,FIND("-",M61)-1)),M61)*100-(2500+2000000000)/2)&lt;=ABS(2500-2000000000)/2),"Цена со скидкой должна быть от 25 до 20000000",IF(AND(IFERROR(VALUE(LEFT(M61,FIND("-",M61)-1)),M61)*150&lt;=120919,IFERROR(VALUE(LEFT(M61,FIND("-",M61)-1)),M61)*200&gt;120919),"Вы уменьшили цену в несколько раз, товар попадет в карантин цен",IF(IFERROR(VALUE(LEFT(M61,FIND("-",M61)-1)),M61)*200&lt;=120919,"Не сохранили изменения, чтобы защитить от ошибки — новые цены меньше текущих более чем в 2 раза. Снижайте их постепенно",IF(AND(IFERROR(VALUE(I61),0)=0,ISNUMBER(J61),OR(J61&lt;491,ABS(IFERROR(VALUE(LEFT(M61,FIND("-",M61)-1)),M61))*100&lt;49100)),"Проверьте цену товара. Большинство товаров в выбранной категории стоят дороже 491","")))))),"")</f>
      </c>
    </row>
    <row r="62">
      <c r="A62" s="2" t="inlineStr">
        <is>
          <t/>
        </is>
      </c>
      <c r="B62" s="2" t="inlineStr">
        <is>
          <t>Шторы для ванной</t>
        </is>
      </c>
      <c r="C62" s="2">
        <v>619534026</v>
      </c>
      <c r="D62" s="2" t="inlineStr">
        <is>
          <t>420154</t>
        </is>
      </c>
      <c r="E62" s="2" t="inlineStr">
        <is>
          <t>2047325544220</t>
        </is>
      </c>
      <c r="F62" s="2">
        <v>0</v>
      </c>
      <c r="G62" s="2">
        <v>0</v>
      </c>
      <c r="H62" s="2" t="inlineStr">
        <is>
          <t/>
        </is>
      </c>
      <c r="I62" s="2" t="inlineStr">
        <is>
          <t>6046</t>
        </is>
      </c>
      <c r="J62" s="4"/>
      <c r="K62" s="2">
        <v>65</v>
      </c>
      <c r="L62" s="6"/>
      <c r="M62" s="2" t="str">
        <f>IF(J62="",ROUND(I62*(1-IF(ISBLANK(L62),K62,L62)/100),2),ROUND(J62*(1-IF(ISBLANK(L62),K62,L62)/100),2))</f>
      </c>
      <c r="N62" s="7" t="str">
        <f>IF(NOT(AND(J62="",L62="")),IF(OR(AND(L62&lt;&gt;"",NOT(ISNUMBER(L62))),IFERROR(MOD(L62,1),1)&gt;0,AND(ISNUMBER(L62),OR(L62&lt;0,L62&gt;95))),"Введите целое число от 0 до 95",IF(OR(AND(J62&lt;&gt;"",NOT(ISNUMBER(J62))),IFERROR(MOD(J62,1),1)&gt;0,AND(ISNUMBER(J62),OR(J62&lt;50,J62&gt;20000000))),"Введите целое число от 50 до 20000000",IF(NOT(ABS(IFERROR(VALUE(LEFT(M62,FIND("-",M62)-1)),M62)*100-(2500+2000000000)/2)&lt;=ABS(2500-2000000000)/2),"Цена со скидкой должна быть от 25 до 20000000",IF(AND(IFERROR(VALUE(LEFT(M62,FIND("-",M62)-1)),M62)*150&lt;=211610,IFERROR(VALUE(LEFT(M62,FIND("-",M62)-1)),M62)*200&gt;211610),"Вы уменьшили цену в несколько раз, товар попадет в карантин цен",IF(IFERROR(VALUE(LEFT(M62,FIND("-",M62)-1)),M62)*200&lt;=211610,"Не сохранили изменения, чтобы защитить от ошибки — новые цены меньше текущих более чем в 2 раза. Снижайте их постепенно",IF(AND(IFERROR(VALUE(I62),0)=0,ISNUMBER(J62),OR(J62&lt;491,ABS(IFERROR(VALUE(LEFT(M62,FIND("-",M62)-1)),M62))*100&lt;49100)),"Проверьте цену товара. Большинство товаров в выбранной категории стоят дороже 491","")))))),"")</f>
      </c>
    </row>
    <row r="63">
      <c r="A63" s="2" t="inlineStr">
        <is>
          <t/>
        </is>
      </c>
      <c r="B63" s="2" t="inlineStr">
        <is>
          <t>Шторы для ванной</t>
        </is>
      </c>
      <c r="C63" s="2">
        <v>619535093</v>
      </c>
      <c r="D63" s="2" t="inlineStr">
        <is>
          <t>420517</t>
        </is>
      </c>
      <c r="E63" s="2" t="inlineStr">
        <is>
          <t>2047325559002</t>
        </is>
      </c>
      <c r="F63" s="2">
        <v>32</v>
      </c>
      <c r="G63" s="2">
        <v>10</v>
      </c>
      <c r="H63" s="2">
        <v>999</v>
      </c>
      <c r="I63" s="2" t="inlineStr">
        <is>
          <t>4649</t>
        </is>
      </c>
      <c r="J63" s="4"/>
      <c r="K63" s="2">
        <v>85</v>
      </c>
      <c r="L63" s="6"/>
      <c r="M63" s="2" t="str">
        <f>IF(J63="",ROUND(I63*(1-IF(ISBLANK(L63),K63,L63)/100),2),ROUND(J63*(1-IF(ISBLANK(L63),K63,L63)/100),2))</f>
      </c>
      <c r="N63" s="7" t="str">
        <f>IF(NOT(AND(J63="",L63="")),IF(OR(AND(L63&lt;&gt;"",NOT(ISNUMBER(L63))),IFERROR(MOD(L63,1),1)&gt;0,AND(ISNUMBER(L63),OR(L63&lt;0,L63&gt;95))),"Введите целое число от 0 до 95",IF(OR(AND(J63&lt;&gt;"",NOT(ISNUMBER(J63))),IFERROR(MOD(J63,1),1)&gt;0,AND(ISNUMBER(J63),OR(J63&lt;50,J63&gt;20000000))),"Введите целое число от 50 до 20000000",IF(NOT(ABS(IFERROR(VALUE(LEFT(M63,FIND("-",M63)-1)),M63)*100-(2500+2000000000)/2)&lt;=ABS(2500-2000000000)/2),"Цена со скидкой должна быть от 25 до 20000000",IF(AND(IFERROR(VALUE(LEFT(M63,FIND("-",M63)-1)),M63)*150&lt;=69735,IFERROR(VALUE(LEFT(M63,FIND("-",M63)-1)),M63)*200&gt;69735),"Вы уменьшили цену в несколько раз, товар попадет в карантин цен",IF(IFERROR(VALUE(LEFT(M63,FIND("-",M63)-1)),M63)*200&lt;=69735,"Не сохранили изменения, чтобы защитить от ошибки — новые цены меньше текущих более чем в 2 раза. Снижайте их постепенно",IF(AND(IFERROR(VALUE(I63),0)=0,ISNUMBER(J63),OR(J63&lt;491,ABS(IFERROR(VALUE(LEFT(M63,FIND("-",M63)-1)),M63))*100&lt;49100)),"Проверьте цену товара. Большинство товаров в выбранной категории стоят дороже 491","")))))),"")</f>
      </c>
    </row>
    <row r="64">
      <c r="A64" s="2" t="inlineStr">
        <is>
          <t/>
        </is>
      </c>
      <c r="B64" s="2" t="inlineStr">
        <is>
          <t>Шторы для ванной</t>
        </is>
      </c>
      <c r="C64" s="2">
        <v>619534021</v>
      </c>
      <c r="D64" s="2" t="inlineStr">
        <is>
          <t>420509</t>
        </is>
      </c>
      <c r="E64" s="2" t="inlineStr">
        <is>
          <t>2047325543926</t>
        </is>
      </c>
      <c r="F64" s="2">
        <v>0</v>
      </c>
      <c r="G64" s="2">
        <v>0</v>
      </c>
      <c r="H64" s="2" t="inlineStr">
        <is>
          <t/>
        </is>
      </c>
      <c r="I64" s="2" t="inlineStr">
        <is>
          <t>4076</t>
        </is>
      </c>
      <c r="J64" s="4"/>
      <c r="K64" s="2">
        <v>65</v>
      </c>
      <c r="L64" s="6"/>
      <c r="M64" s="2" t="str">
        <f>IF(J64="",ROUND(I64*(1-IF(ISBLANK(L64),K64,L64)/100),2),ROUND(J64*(1-IF(ISBLANK(L64),K64,L64)/100),2))</f>
      </c>
      <c r="N64" s="7" t="str">
        <f>IF(NOT(AND(J64="",L64="")),IF(OR(AND(L64&lt;&gt;"",NOT(ISNUMBER(L64))),IFERROR(MOD(L64,1),1)&gt;0,AND(ISNUMBER(L64),OR(L64&lt;0,L64&gt;95))),"Введите целое число от 0 до 95",IF(OR(AND(J64&lt;&gt;"",NOT(ISNUMBER(J64))),IFERROR(MOD(J64,1),1)&gt;0,AND(ISNUMBER(J64),OR(J64&lt;50,J64&gt;20000000))),"Введите целое число от 50 до 20000000",IF(NOT(ABS(IFERROR(VALUE(LEFT(M64,FIND("-",M64)-1)),M64)*100-(2500+2000000000)/2)&lt;=ABS(2500-2000000000)/2),"Цена со скидкой должна быть от 25 до 20000000",IF(AND(IFERROR(VALUE(LEFT(M64,FIND("-",M64)-1)),M64)*150&lt;=142660,IFERROR(VALUE(LEFT(M64,FIND("-",M64)-1)),M64)*200&gt;142660),"Вы уменьшили цену в несколько раз, товар попадет в карантин цен",IF(IFERROR(VALUE(LEFT(M64,FIND("-",M64)-1)),M64)*200&lt;=142660,"Не сохранили изменения, чтобы защитить от ошибки — новые цены меньше текущих более чем в 2 раза. Снижайте их постепенно",IF(AND(IFERROR(VALUE(I64),0)=0,ISNUMBER(J64),OR(J64&lt;491,ABS(IFERROR(VALUE(LEFT(M64,FIND("-",M64)-1)),M64))*100&lt;49100)),"Проверьте цену товара. Большинство товаров в выбранной категории стоят дороже 491","")))))),"")</f>
      </c>
    </row>
    <row r="65">
      <c r="A65" s="2" t="inlineStr">
        <is>
          <t/>
        </is>
      </c>
      <c r="B65" s="2" t="inlineStr">
        <is>
          <t>Шторы для ванной</t>
        </is>
      </c>
      <c r="C65" s="2">
        <v>619534025</v>
      </c>
      <c r="D65" s="2" t="inlineStr">
        <is>
          <t>420559</t>
        </is>
      </c>
      <c r="E65" s="2" t="inlineStr">
        <is>
          <t>2047325544183</t>
        </is>
      </c>
      <c r="F65" s="2">
        <v>30</v>
      </c>
      <c r="G65" s="2">
        <v>23</v>
      </c>
      <c r="H65" s="2">
        <v>913</v>
      </c>
      <c r="I65" s="2" t="inlineStr">
        <is>
          <t>2260</t>
        </is>
      </c>
      <c r="J65" s="4"/>
      <c r="K65" s="2">
        <v>80</v>
      </c>
      <c r="L65" s="6"/>
      <c r="M65" s="2" t="str">
        <f>IF(J65="",ROUND(I65*(1-IF(ISBLANK(L65),K65,L65)/100),2),ROUND(J65*(1-IF(ISBLANK(L65),K65,L65)/100),2))</f>
      </c>
      <c r="N65" s="7" t="str">
        <f>IF(NOT(AND(J65="",L65="")),IF(OR(AND(L65&lt;&gt;"",NOT(ISNUMBER(L65))),IFERROR(MOD(L65,1),1)&gt;0,AND(ISNUMBER(L65),OR(L65&lt;0,L65&gt;95))),"Введите целое число от 0 до 95",IF(OR(AND(J65&lt;&gt;"",NOT(ISNUMBER(J65))),IFERROR(MOD(J65,1),1)&gt;0,AND(ISNUMBER(J65),OR(J65&lt;50,J65&gt;20000000))),"Введите целое число от 50 до 20000000",IF(NOT(ABS(IFERROR(VALUE(LEFT(M65,FIND("-",M65)-1)),M65)*100-(2500+2000000000)/2)&lt;=ABS(2500-2000000000)/2),"Цена со скидкой должна быть от 25 до 20000000",IF(AND(IFERROR(VALUE(LEFT(M65,FIND("-",M65)-1)),M65)*150&lt;=45199,IFERROR(VALUE(LEFT(M65,FIND("-",M65)-1)),M65)*200&gt;45199),"Вы уменьшили цену в несколько раз, товар попадет в карантин цен",IF(IFERROR(VALUE(LEFT(M65,FIND("-",M65)-1)),M65)*200&lt;=45199,"Не сохранили изменения, чтобы защитить от ошибки — новые цены меньше текущих более чем в 2 раза. Снижайте их постепенно",IF(AND(IFERROR(VALUE(I65),0)=0,ISNUMBER(J65),OR(J65&lt;491,ABS(IFERROR(VALUE(LEFT(M65,FIND("-",M65)-1)),M65))*100&lt;49100)),"Проверьте цену товара. Большинство товаров в выбранной категории стоят дороже 491","")))))),"")</f>
      </c>
    </row>
    <row r="66">
      <c r="A66" s="2" t="inlineStr">
        <is>
          <t/>
        </is>
      </c>
      <c r="B66" s="2" t="inlineStr">
        <is>
          <t>Шторы для ванной</t>
        </is>
      </c>
      <c r="C66" s="2">
        <v>619535090</v>
      </c>
      <c r="D66" s="2" t="inlineStr">
        <is>
          <t>420614</t>
        </is>
      </c>
      <c r="E66" s="2" t="inlineStr">
        <is>
          <t>2047325558937</t>
        </is>
      </c>
      <c r="F66" s="2">
        <v>0</v>
      </c>
      <c r="G66" s="2">
        <v>0</v>
      </c>
      <c r="H66" s="2" t="inlineStr">
        <is>
          <t/>
        </is>
      </c>
      <c r="I66" s="2" t="inlineStr">
        <is>
          <t>7321</t>
        </is>
      </c>
      <c r="J66" s="4"/>
      <c r="K66" s="2">
        <v>65</v>
      </c>
      <c r="L66" s="6"/>
      <c r="M66" s="2" t="str">
        <f>IF(J66="",ROUND(I66*(1-IF(ISBLANK(L66),K66,L66)/100),2),ROUND(J66*(1-IF(ISBLANK(L66),K66,L66)/100),2))</f>
      </c>
      <c r="N66" s="7" t="str">
        <f>IF(NOT(AND(J66="",L66="")),IF(OR(AND(L66&lt;&gt;"",NOT(ISNUMBER(L66))),IFERROR(MOD(L66,1),1)&gt;0,AND(ISNUMBER(L66),OR(L66&lt;0,L66&gt;95))),"Введите целое число от 0 до 95",IF(OR(AND(J66&lt;&gt;"",NOT(ISNUMBER(J66))),IFERROR(MOD(J66,1),1)&gt;0,AND(ISNUMBER(J66),OR(J66&lt;50,J66&gt;20000000))),"Введите целое число от 50 до 20000000",IF(NOT(ABS(IFERROR(VALUE(LEFT(M66,FIND("-",M66)-1)),M66)*100-(2500+2000000000)/2)&lt;=ABS(2500-2000000000)/2),"Цена со скидкой должна быть от 25 до 20000000",IF(AND(IFERROR(VALUE(LEFT(M66,FIND("-",M66)-1)),M66)*150&lt;=256235,IFERROR(VALUE(LEFT(M66,FIND("-",M66)-1)),M66)*200&gt;256235),"Вы уменьшили цену в несколько раз, товар попадет в карантин цен",IF(IFERROR(VALUE(LEFT(M66,FIND("-",M66)-1)),M66)*200&lt;=256235,"Не сохранили изменения, чтобы защитить от ошибки — новые цены меньше текущих более чем в 2 раза. Снижайте их постепенно",IF(AND(IFERROR(VALUE(I66),0)=0,ISNUMBER(J66),OR(J66&lt;491,ABS(IFERROR(VALUE(LEFT(M66,FIND("-",M66)-1)),M66))*100&lt;49100)),"Проверьте цену товара. Большинство товаров в выбранной категории стоят дороже 491","")))))),"")</f>
      </c>
    </row>
    <row r="67">
      <c r="A67" s="2" t="inlineStr">
        <is>
          <t/>
        </is>
      </c>
      <c r="B67" s="2" t="inlineStr">
        <is>
          <t>Шторы для ванной</t>
        </is>
      </c>
      <c r="C67" s="2">
        <v>619534038</v>
      </c>
      <c r="D67" s="2" t="inlineStr">
        <is>
          <t>420515</t>
        </is>
      </c>
      <c r="E67" s="2" t="inlineStr">
        <is>
          <t>2047325544992</t>
        </is>
      </c>
      <c r="F67" s="2">
        <v>0</v>
      </c>
      <c r="G67" s="2">
        <v>0</v>
      </c>
      <c r="H67" s="2" t="inlineStr">
        <is>
          <t/>
        </is>
      </c>
      <c r="I67" s="2" t="inlineStr">
        <is>
          <t>3882</t>
        </is>
      </c>
      <c r="J67" s="4"/>
      <c r="K67" s="2">
        <v>65</v>
      </c>
      <c r="L67" s="6"/>
      <c r="M67" s="2" t="str">
        <f>IF(J67="",ROUND(I67*(1-IF(ISBLANK(L67),K67,L67)/100),2),ROUND(J67*(1-IF(ISBLANK(L67),K67,L67)/100),2))</f>
      </c>
      <c r="N67" s="7" t="str">
        <f>IF(NOT(AND(J67="",L67="")),IF(OR(AND(L67&lt;&gt;"",NOT(ISNUMBER(L67))),IFERROR(MOD(L67,1),1)&gt;0,AND(ISNUMBER(L67),OR(L67&lt;0,L67&gt;95))),"Введите целое число от 0 до 95",IF(OR(AND(J67&lt;&gt;"",NOT(ISNUMBER(J67))),IFERROR(MOD(J67,1),1)&gt;0,AND(ISNUMBER(J67),OR(J67&lt;50,J67&gt;20000000))),"Введите целое число от 50 до 20000000",IF(NOT(ABS(IFERROR(VALUE(LEFT(M67,FIND("-",M67)-1)),M67)*100-(2500+2000000000)/2)&lt;=ABS(2500-2000000000)/2),"Цена со скидкой должна быть от 25 до 20000000",IF(AND(IFERROR(VALUE(LEFT(M67,FIND("-",M67)-1)),M67)*150&lt;=135869,IFERROR(VALUE(LEFT(M67,FIND("-",M67)-1)),M67)*200&gt;135869),"Вы уменьшили цену в несколько раз, товар попадет в карантин цен",IF(IFERROR(VALUE(LEFT(M67,FIND("-",M67)-1)),M67)*200&lt;=135869,"Не сохранили изменения, чтобы защитить от ошибки — новые цены меньше текущих более чем в 2 раза. Снижайте их постепенно",IF(AND(IFERROR(VALUE(I67),0)=0,ISNUMBER(J67),OR(J67&lt;491,ABS(IFERROR(VALUE(LEFT(M67,FIND("-",M67)-1)),M67))*100&lt;49100)),"Проверьте цену товара. Большинство товаров в выбранной категории стоят дороже 491","")))))),"")</f>
      </c>
    </row>
    <row r="68">
      <c r="A68" s="2" t="inlineStr">
        <is>
          <t/>
        </is>
      </c>
      <c r="B68" s="2" t="inlineStr">
        <is>
          <t>Шторы для ванной</t>
        </is>
      </c>
      <c r="C68" s="2">
        <v>619534046</v>
      </c>
      <c r="D68" s="2" t="inlineStr">
        <is>
          <t>420511</t>
        </is>
      </c>
      <c r="E68" s="2" t="inlineStr">
        <is>
          <t>2047325545456</t>
        </is>
      </c>
      <c r="F68" s="2">
        <v>0</v>
      </c>
      <c r="G68" s="2">
        <v>25</v>
      </c>
      <c r="H68" s="2" t="inlineStr">
        <is>
          <t/>
        </is>
      </c>
      <c r="I68" s="2" t="inlineStr">
        <is>
          <t>4892</t>
        </is>
      </c>
      <c r="J68" s="4"/>
      <c r="K68" s="2">
        <v>80</v>
      </c>
      <c r="L68" s="6"/>
      <c r="M68" s="2" t="str">
        <f>IF(J68="",ROUND(I68*(1-IF(ISBLANK(L68),K68,L68)/100),2),ROUND(J68*(1-IF(ISBLANK(L68),K68,L68)/100),2))</f>
      </c>
      <c r="N68" s="7" t="str">
        <f>IF(NOT(AND(J68="",L68="")),IF(OR(AND(L68&lt;&gt;"",NOT(ISNUMBER(L68))),IFERROR(MOD(L68,1),1)&gt;0,AND(ISNUMBER(L68),OR(L68&lt;0,L68&gt;95))),"Введите целое число от 0 до 95",IF(OR(AND(J68&lt;&gt;"",NOT(ISNUMBER(J68))),IFERROR(MOD(J68,1),1)&gt;0,AND(ISNUMBER(J68),OR(J68&lt;50,J68&gt;20000000))),"Введите целое число от 50 до 20000000",IF(NOT(ABS(IFERROR(VALUE(LEFT(M68,FIND("-",M68)-1)),M68)*100-(2500+2000000000)/2)&lt;=ABS(2500-2000000000)/2),"Цена со скидкой должна быть от 25 до 20000000",IF(AND(IFERROR(VALUE(LEFT(M68,FIND("-",M68)-1)),M68)*150&lt;=97839,IFERROR(VALUE(LEFT(M68,FIND("-",M68)-1)),M68)*200&gt;97839),"Вы уменьшили цену в несколько раз, товар попадет в карантин цен",IF(IFERROR(VALUE(LEFT(M68,FIND("-",M68)-1)),M68)*200&lt;=97839,"Не сохранили изменения, чтобы защитить от ошибки — новые цены меньше текущих более чем в 2 раза. Снижайте их постепенно",IF(AND(IFERROR(VALUE(I68),0)=0,ISNUMBER(J68),OR(J68&lt;491,ABS(IFERROR(VALUE(LEFT(M68,FIND("-",M68)-1)),M68))*100&lt;49100)),"Проверьте цену товара. Большинство товаров в выбранной категории стоят дороже 491","")))))),"")</f>
      </c>
    </row>
    <row r="69">
      <c r="A69" s="2" t="inlineStr">
        <is>
          <t/>
        </is>
      </c>
      <c r="B69" s="2" t="inlineStr">
        <is>
          <t>Шторы для ванной</t>
        </is>
      </c>
      <c r="C69" s="2">
        <v>619534030</v>
      </c>
      <c r="D69" s="2" t="inlineStr">
        <is>
          <t>420587</t>
        </is>
      </c>
      <c r="E69" s="2" t="inlineStr">
        <is>
          <t>2047325544435</t>
        </is>
      </c>
      <c r="F69" s="2">
        <v>0</v>
      </c>
      <c r="G69" s="2">
        <v>0</v>
      </c>
      <c r="H69" s="2" t="inlineStr">
        <is>
          <t/>
        </is>
      </c>
      <c r="I69" s="2" t="inlineStr">
        <is>
          <t>6319</t>
        </is>
      </c>
      <c r="J69" s="4"/>
      <c r="K69" s="2">
        <v>65</v>
      </c>
      <c r="L69" s="6"/>
      <c r="M69" s="2" t="str">
        <f>IF(J69="",ROUND(I69*(1-IF(ISBLANK(L69),K69,L69)/100),2),ROUND(J69*(1-IF(ISBLANK(L69),K69,L69)/100),2))</f>
      </c>
      <c r="N69" s="7" t="str">
        <f>IF(NOT(AND(J69="",L69="")),IF(OR(AND(L69&lt;&gt;"",NOT(ISNUMBER(L69))),IFERROR(MOD(L69,1),1)&gt;0,AND(ISNUMBER(L69),OR(L69&lt;0,L69&gt;95))),"Введите целое число от 0 до 95",IF(OR(AND(J69&lt;&gt;"",NOT(ISNUMBER(J69))),IFERROR(MOD(J69,1),1)&gt;0,AND(ISNUMBER(J69),OR(J69&lt;50,J69&gt;20000000))),"Введите целое число от 50 до 20000000",IF(NOT(ABS(IFERROR(VALUE(LEFT(M69,FIND("-",M69)-1)),M69)*100-(2500+2000000000)/2)&lt;=ABS(2500-2000000000)/2),"Цена со скидкой должна быть от 25 до 20000000",IF(AND(IFERROR(VALUE(LEFT(M69,FIND("-",M69)-1)),M69)*150&lt;=221164,IFERROR(VALUE(LEFT(M69,FIND("-",M69)-1)),M69)*200&gt;221164),"Вы уменьшили цену в несколько раз, товар попадет в карантин цен",IF(IFERROR(VALUE(LEFT(M69,FIND("-",M69)-1)),M69)*200&lt;=221164,"Не сохранили изменения, чтобы защитить от ошибки — новые цены меньше текущих более чем в 2 раза. Снижайте их постепенно",IF(AND(IFERROR(VALUE(I69),0)=0,ISNUMBER(J69),OR(J69&lt;491,ABS(IFERROR(VALUE(LEFT(M69,FIND("-",M69)-1)),M69))*100&lt;49100)),"Проверьте цену товара. Большинство товаров в выбранной категории стоят дороже 491","")))))),"")</f>
      </c>
    </row>
    <row r="70">
      <c r="A70" s="2" t="inlineStr">
        <is>
          <t/>
        </is>
      </c>
      <c r="B70" s="2" t="inlineStr">
        <is>
          <t>Шторы для ванной</t>
        </is>
      </c>
      <c r="C70" s="2">
        <v>619534039</v>
      </c>
      <c r="D70" s="2" t="inlineStr">
        <is>
          <t>420518</t>
        </is>
      </c>
      <c r="E70" s="2" t="inlineStr">
        <is>
          <t>2047325545074</t>
        </is>
      </c>
      <c r="F70" s="2">
        <v>0</v>
      </c>
      <c r="G70" s="2">
        <v>27</v>
      </c>
      <c r="H70" s="2" t="inlineStr">
        <is>
          <t/>
        </is>
      </c>
      <c r="I70" s="2" t="inlineStr">
        <is>
          <t>5009</t>
        </is>
      </c>
      <c r="J70" s="4"/>
      <c r="K70" s="2">
        <v>80</v>
      </c>
      <c r="L70" s="6"/>
      <c r="M70" s="2" t="str">
        <f>IF(J70="",ROUND(I70*(1-IF(ISBLANK(L70),K70,L70)/100),2),ROUND(J70*(1-IF(ISBLANK(L70),K70,L70)/100),2))</f>
      </c>
      <c r="N70" s="7" t="str">
        <f>IF(NOT(AND(J70="",L70="")),IF(OR(AND(L70&lt;&gt;"",NOT(ISNUMBER(L70))),IFERROR(MOD(L70,1),1)&gt;0,AND(ISNUMBER(L70),OR(L70&lt;0,L70&gt;95))),"Введите целое число от 0 до 95",IF(OR(AND(J70&lt;&gt;"",NOT(ISNUMBER(J70))),IFERROR(MOD(J70,1),1)&gt;0,AND(ISNUMBER(J70),OR(J70&lt;50,J70&gt;20000000))),"Введите целое число от 50 до 20000000",IF(NOT(ABS(IFERROR(VALUE(LEFT(M70,FIND("-",M70)-1)),M70)*100-(2500+2000000000)/2)&lt;=ABS(2500-2000000000)/2),"Цена со скидкой должна быть от 25 до 20000000",IF(AND(IFERROR(VALUE(LEFT(M70,FIND("-",M70)-1)),M70)*150&lt;=100179,IFERROR(VALUE(LEFT(M70,FIND("-",M70)-1)),M70)*200&gt;100179),"Вы уменьшили цену в несколько раз, товар попадет в карантин цен",IF(IFERROR(VALUE(LEFT(M70,FIND("-",M70)-1)),M70)*200&lt;=100179,"Не сохранили изменения, чтобы защитить от ошибки — новые цены меньше текущих более чем в 2 раза. Снижайте их постепенно",IF(AND(IFERROR(VALUE(I70),0)=0,ISNUMBER(J70),OR(J70&lt;491,ABS(IFERROR(VALUE(LEFT(M70,FIND("-",M70)-1)),M70))*100&lt;49100)),"Проверьте цену товара. Большинство товаров в выбранной категории стоят дороже 491","")))))),"")</f>
      </c>
    </row>
    <row r="71">
      <c r="A71" s="2" t="inlineStr">
        <is>
          <t/>
        </is>
      </c>
      <c r="B71" s="2" t="inlineStr">
        <is>
          <t>Шторы для ванной</t>
        </is>
      </c>
      <c r="C71" s="2">
        <v>903254953</v>
      </c>
      <c r="D71" s="2" t="inlineStr">
        <is>
          <t>420651</t>
        </is>
      </c>
      <c r="E71" s="2" t="inlineStr">
        <is>
          <t>4670294458519</t>
        </is>
      </c>
      <c r="F71" s="2">
        <v>9</v>
      </c>
      <c r="G71" s="2">
        <v>52</v>
      </c>
      <c r="H71" s="2">
        <v>999</v>
      </c>
      <c r="I71" s="2" t="inlineStr">
        <is>
          <t>3882</t>
        </is>
      </c>
      <c r="J71" s="4"/>
      <c r="K71" s="2">
        <v>80</v>
      </c>
      <c r="L71" s="6"/>
      <c r="M71" s="2" t="str">
        <f>IF(J71="",ROUND(I71*(1-IF(ISBLANK(L71),K71,L71)/100),2),ROUND(J71*(1-IF(ISBLANK(L71),K71,L71)/100),2))</f>
      </c>
      <c r="N71" s="7" t="str">
        <f>IF(NOT(AND(J71="",L71="")),IF(OR(AND(L71&lt;&gt;"",NOT(ISNUMBER(L71))),IFERROR(MOD(L71,1),1)&gt;0,AND(ISNUMBER(L71),OR(L71&lt;0,L71&gt;95))),"Введите целое число от 0 до 95",IF(OR(AND(J71&lt;&gt;"",NOT(ISNUMBER(J71))),IFERROR(MOD(J71,1),1)&gt;0,AND(ISNUMBER(J71),OR(J71&lt;50,J71&gt;20000000))),"Введите целое число от 50 до 20000000",IF(NOT(ABS(IFERROR(VALUE(LEFT(M71,FIND("-",M71)-1)),M71)*100-(2500+2000000000)/2)&lt;=ABS(2500-2000000000)/2),"Цена со скидкой должна быть от 25 до 20000000",IF(AND(IFERROR(VALUE(LEFT(M71,FIND("-",M71)-1)),M71)*150&lt;=77639,IFERROR(VALUE(LEFT(M71,FIND("-",M71)-1)),M71)*200&gt;77639),"Вы уменьшили цену в несколько раз, товар попадет в карантин цен",IF(IFERROR(VALUE(LEFT(M71,FIND("-",M71)-1)),M71)*200&lt;=77639,"Не сохранили изменения, чтобы защитить от ошибки — новые цены меньше текущих более чем в 2 раза. Снижайте их постепенно",IF(AND(IFERROR(VALUE(I71),0)=0,ISNUMBER(J71),OR(J71&lt;491,ABS(IFERROR(VALUE(LEFT(M71,FIND("-",M71)-1)),M71))*100&lt;49100)),"Проверьте цену товара. Большинство товаров в выбранной категории стоят дороже 491","")))))),"")</f>
      </c>
    </row>
    <row r="72">
      <c r="A72" s="2" t="inlineStr">
        <is>
          <t/>
        </is>
      </c>
      <c r="B72" s="2" t="inlineStr">
        <is>
          <t>Шторы для ванной</t>
        </is>
      </c>
      <c r="C72" s="2">
        <v>766623311</v>
      </c>
      <c r="D72" s="2" t="inlineStr">
        <is>
          <t>420685</t>
        </is>
      </c>
      <c r="E72" s="2" t="inlineStr">
        <is>
          <t>2048435361875</t>
        </is>
      </c>
      <c r="F72" s="2">
        <v>17</v>
      </c>
      <c r="G72" s="2">
        <v>0</v>
      </c>
      <c r="H72" s="2">
        <v>999</v>
      </c>
      <c r="I72" s="2" t="inlineStr">
        <is>
          <t>5161</t>
        </is>
      </c>
      <c r="J72" s="4"/>
      <c r="K72" s="2">
        <v>84</v>
      </c>
      <c r="L72" s="6"/>
      <c r="M72" s="2" t="str">
        <f>IF(J72="",ROUND(I72*(1-IF(ISBLANK(L72),K72,L72)/100),2),ROUND(J72*(1-IF(ISBLANK(L72),K72,L72)/100),2))</f>
      </c>
      <c r="N72" s="7" t="str">
        <f>IF(NOT(AND(J72="",L72="")),IF(OR(AND(L72&lt;&gt;"",NOT(ISNUMBER(L72))),IFERROR(MOD(L72,1),1)&gt;0,AND(ISNUMBER(L72),OR(L72&lt;0,L72&gt;95))),"Введите целое число от 0 до 95",IF(OR(AND(J72&lt;&gt;"",NOT(ISNUMBER(J72))),IFERROR(MOD(J72,1),1)&gt;0,AND(ISNUMBER(J72),OR(J72&lt;50,J72&gt;20000000))),"Введите целое число от 50 до 20000000",IF(NOT(ABS(IFERROR(VALUE(LEFT(M72,FIND("-",M72)-1)),M72)*100-(2500+2000000000)/2)&lt;=ABS(2500-2000000000)/2),"Цена со скидкой должна быть от 25 до 20000000",IF(AND(IFERROR(VALUE(LEFT(M72,FIND("-",M72)-1)),M72)*150&lt;=82576,IFERROR(VALUE(LEFT(M72,FIND("-",M72)-1)),M72)*200&gt;82576),"Вы уменьшили цену в несколько раз, товар попадет в карантин цен",IF(IFERROR(VALUE(LEFT(M72,FIND("-",M72)-1)),M72)*200&lt;=82576,"Не сохранили изменения, чтобы защитить от ошибки — новые цены меньше текущих более чем в 2 раза. Снижайте их постепенно",IF(AND(IFERROR(VALUE(I72),0)=0,ISNUMBER(J72),OR(J72&lt;491,ABS(IFERROR(VALUE(LEFT(M72,FIND("-",M72)-1)),M72))*100&lt;49100)),"Проверьте цену товара. Большинство товаров в выбранной категории стоят дороже 491","")))))),"")</f>
      </c>
    </row>
    <row r="73">
      <c r="A73" s="2" t="inlineStr">
        <is>
          <t/>
        </is>
      </c>
      <c r="B73" s="2" t="inlineStr">
        <is>
          <t>Шторы для ванной</t>
        </is>
      </c>
      <c r="C73" s="2">
        <v>619534037</v>
      </c>
      <c r="D73" s="2" t="inlineStr">
        <is>
          <t>420516</t>
        </is>
      </c>
      <c r="E73" s="2" t="inlineStr">
        <is>
          <t>2047325544930</t>
        </is>
      </c>
      <c r="F73" s="2">
        <v>0</v>
      </c>
      <c r="G73" s="2">
        <v>6</v>
      </c>
      <c r="H73" s="2" t="inlineStr">
        <is>
          <t/>
        </is>
      </c>
      <c r="I73" s="2" t="inlineStr">
        <is>
          <t>4660</t>
        </is>
      </c>
      <c r="J73" s="4"/>
      <c r="K73" s="2">
        <v>80</v>
      </c>
      <c r="L73" s="6"/>
      <c r="M73" s="2" t="str">
        <f>IF(J73="",ROUND(I73*(1-IF(ISBLANK(L73),K73,L73)/100),2),ROUND(J73*(1-IF(ISBLANK(L73),K73,L73)/100),2))</f>
      </c>
      <c r="N73" s="7" t="str">
        <f>IF(NOT(AND(J73="",L73="")),IF(OR(AND(L73&lt;&gt;"",NOT(ISNUMBER(L73))),IFERROR(MOD(L73,1),1)&gt;0,AND(ISNUMBER(L73),OR(L73&lt;0,L73&gt;95))),"Введите целое число от 0 до 95",IF(OR(AND(J73&lt;&gt;"",NOT(ISNUMBER(J73))),IFERROR(MOD(J73,1),1)&gt;0,AND(ISNUMBER(J73),OR(J73&lt;50,J73&gt;20000000))),"Введите целое число от 50 до 20000000",IF(NOT(ABS(IFERROR(VALUE(LEFT(M73,FIND("-",M73)-1)),M73)*100-(2500+2000000000)/2)&lt;=ABS(2500-2000000000)/2),"Цена со скидкой должна быть от 25 до 20000000",IF(AND(IFERROR(VALUE(LEFT(M73,FIND("-",M73)-1)),M73)*150&lt;=93199,IFERROR(VALUE(LEFT(M73,FIND("-",M73)-1)),M73)*200&gt;93199),"Вы уменьшили цену в несколько раз, товар попадет в карантин цен",IF(IFERROR(VALUE(LEFT(M73,FIND("-",M73)-1)),M73)*200&lt;=93199,"Не сохранили изменения, чтобы защитить от ошибки — новые цены меньше текущих более чем в 2 раза. Снижайте их постепенно",IF(AND(IFERROR(VALUE(I73),0)=0,ISNUMBER(J73),OR(J73&lt;491,ABS(IFERROR(VALUE(LEFT(M73,FIND("-",M73)-1)),M73))*100&lt;49100)),"Проверьте цену товара. Большинство товаров в выбранной категории стоят дороже 491","")))))),"")</f>
      </c>
    </row>
    <row r="74">
      <c r="A74" s="2" t="inlineStr">
        <is>
          <t/>
        </is>
      </c>
      <c r="B74" s="2" t="inlineStr">
        <is>
          <t>Шторы для ванной</t>
        </is>
      </c>
      <c r="C74" s="2">
        <v>903254967</v>
      </c>
      <c r="D74" s="2" t="inlineStr">
        <is>
          <t>420652</t>
        </is>
      </c>
      <c r="E74" s="2" t="inlineStr">
        <is>
          <t>4670294458526</t>
        </is>
      </c>
      <c r="F74" s="2">
        <v>0</v>
      </c>
      <c r="G74" s="2">
        <v>84</v>
      </c>
      <c r="H74" s="2" t="inlineStr">
        <is>
          <t/>
        </is>
      </c>
      <c r="I74" s="2" t="inlineStr">
        <is>
          <t>5456</t>
        </is>
      </c>
      <c r="J74" s="4"/>
      <c r="K74" s="2">
        <v>78</v>
      </c>
      <c r="L74" s="6"/>
      <c r="M74" s="2" t="str">
        <f>IF(J74="",ROUND(I74*(1-IF(ISBLANK(L74),K74,L74)/100),2),ROUND(J74*(1-IF(ISBLANK(L74),K74,L74)/100),2))</f>
      </c>
      <c r="N74" s="7" t="str">
        <f>IF(NOT(AND(J74="",L74="")),IF(OR(AND(L74&lt;&gt;"",NOT(ISNUMBER(L74))),IFERROR(MOD(L74,1),1)&gt;0,AND(ISNUMBER(L74),OR(L74&lt;0,L74&gt;95))),"Введите целое число от 0 до 95",IF(OR(AND(J74&lt;&gt;"",NOT(ISNUMBER(J74))),IFERROR(MOD(J74,1),1)&gt;0,AND(ISNUMBER(J74),OR(J74&lt;50,J74&gt;20000000))),"Введите целое число от 50 до 20000000",IF(NOT(ABS(IFERROR(VALUE(LEFT(M74,FIND("-",M74)-1)),M74)*100-(2500+2000000000)/2)&lt;=ABS(2500-2000000000)/2),"Цена со скидкой должна быть от 25 до 20000000",IF(AND(IFERROR(VALUE(LEFT(M74,FIND("-",M74)-1)),M74)*150&lt;=120032,IFERROR(VALUE(LEFT(M74,FIND("-",M74)-1)),M74)*200&gt;120032),"Вы уменьшили цену в несколько раз, товар попадет в карантин цен",IF(IFERROR(VALUE(LEFT(M74,FIND("-",M74)-1)),M74)*200&lt;=120032,"Не сохранили изменения, чтобы защитить от ошибки — новые цены меньше текущих более чем в 2 раза. Снижайте их постепенно",IF(AND(IFERROR(VALUE(I74),0)=0,ISNUMBER(J74),OR(J74&lt;491,ABS(IFERROR(VALUE(LEFT(M74,FIND("-",M74)-1)),M74))*100&lt;49100)),"Проверьте цену товара. Большинство товаров в выбранной категории стоят дороже 491","")))))),"")</f>
      </c>
    </row>
    <row r="75">
      <c r="A75" s="2" t="inlineStr">
        <is>
          <t/>
        </is>
      </c>
      <c r="B75" s="2" t="inlineStr">
        <is>
          <t>Шторы для ванной</t>
        </is>
      </c>
      <c r="C75" s="2">
        <v>903254956</v>
      </c>
      <c r="D75" s="2" t="inlineStr">
        <is>
          <t>420643</t>
        </is>
      </c>
      <c r="E75" s="2" t="inlineStr">
        <is>
          <t>4670294458434</t>
        </is>
      </c>
      <c r="F75" s="2">
        <v>9</v>
      </c>
      <c r="G75" s="2">
        <v>58</v>
      </c>
      <c r="H75" s="2">
        <v>999</v>
      </c>
      <c r="I75" s="2" t="inlineStr">
        <is>
          <t>3882</t>
        </is>
      </c>
      <c r="J75" s="4"/>
      <c r="K75" s="2">
        <v>80</v>
      </c>
      <c r="L75" s="6"/>
      <c r="M75" s="2" t="str">
        <f>IF(J75="",ROUND(I75*(1-IF(ISBLANK(L75),K75,L75)/100),2),ROUND(J75*(1-IF(ISBLANK(L75),K75,L75)/100),2))</f>
      </c>
      <c r="N75" s="7" t="str">
        <f>IF(NOT(AND(J75="",L75="")),IF(OR(AND(L75&lt;&gt;"",NOT(ISNUMBER(L75))),IFERROR(MOD(L75,1),1)&gt;0,AND(ISNUMBER(L75),OR(L75&lt;0,L75&gt;95))),"Введите целое число от 0 до 95",IF(OR(AND(J75&lt;&gt;"",NOT(ISNUMBER(J75))),IFERROR(MOD(J75,1),1)&gt;0,AND(ISNUMBER(J75),OR(J75&lt;50,J75&gt;20000000))),"Введите целое число от 50 до 20000000",IF(NOT(ABS(IFERROR(VALUE(LEFT(M75,FIND("-",M75)-1)),M75)*100-(2500+2000000000)/2)&lt;=ABS(2500-2000000000)/2),"Цена со скидкой должна быть от 25 до 20000000",IF(AND(IFERROR(VALUE(LEFT(M75,FIND("-",M75)-1)),M75)*150&lt;=77639,IFERROR(VALUE(LEFT(M75,FIND("-",M75)-1)),M75)*200&gt;77639),"Вы уменьшили цену в несколько раз, товар попадет в карантин цен",IF(IFERROR(VALUE(LEFT(M75,FIND("-",M75)-1)),M75)*200&lt;=77639,"Не сохранили изменения, чтобы защитить от ошибки — новые цены меньше текущих более чем в 2 раза. Снижайте их постепенно",IF(AND(IFERROR(VALUE(I75),0)=0,ISNUMBER(J75),OR(J75&lt;491,ABS(IFERROR(VALUE(LEFT(M75,FIND("-",M75)-1)),M75))*100&lt;49100)),"Проверьте цену товара. Большинство товаров в выбранной категории стоят дороже 491","")))))),"")</f>
      </c>
    </row>
    <row r="76">
      <c r="A76" s="2" t="inlineStr">
        <is>
          <t/>
        </is>
      </c>
      <c r="B76" s="2" t="inlineStr">
        <is>
          <t>Шторы для ванной</t>
        </is>
      </c>
      <c r="C76" s="2">
        <v>903254964</v>
      </c>
      <c r="D76" s="2" t="inlineStr">
        <is>
          <t>420654</t>
        </is>
      </c>
      <c r="E76" s="2" t="inlineStr">
        <is>
          <t>4670294458540</t>
        </is>
      </c>
      <c r="F76" s="2">
        <v>0</v>
      </c>
      <c r="G76" s="2">
        <v>82</v>
      </c>
      <c r="H76" s="2" t="inlineStr">
        <is>
          <t/>
        </is>
      </c>
      <c r="I76" s="2" t="inlineStr">
        <is>
          <t>5456</t>
        </is>
      </c>
      <c r="J76" s="4"/>
      <c r="K76" s="2">
        <v>79</v>
      </c>
      <c r="L76" s="6"/>
      <c r="M76" s="2" t="str">
        <f>IF(J76="",ROUND(I76*(1-IF(ISBLANK(L76),K76,L76)/100),2),ROUND(J76*(1-IF(ISBLANK(L76),K76,L76)/100),2))</f>
      </c>
      <c r="N76" s="7" t="str">
        <f>IF(NOT(AND(J76="",L76="")),IF(OR(AND(L76&lt;&gt;"",NOT(ISNUMBER(L76))),IFERROR(MOD(L76,1),1)&gt;0,AND(ISNUMBER(L76),OR(L76&lt;0,L76&gt;95))),"Введите целое число от 0 до 95",IF(OR(AND(J76&lt;&gt;"",NOT(ISNUMBER(J76))),IFERROR(MOD(J76,1),1)&gt;0,AND(ISNUMBER(J76),OR(J76&lt;50,J76&gt;20000000))),"Введите целое число от 50 до 20000000",IF(NOT(ABS(IFERROR(VALUE(LEFT(M76,FIND("-",M76)-1)),M76)*100-(2500+2000000000)/2)&lt;=ABS(2500-2000000000)/2),"Цена со скидкой должна быть от 25 до 20000000",IF(AND(IFERROR(VALUE(LEFT(M76,FIND("-",M76)-1)),M76)*150&lt;=114575,IFERROR(VALUE(LEFT(M76,FIND("-",M76)-1)),M76)*200&gt;114575),"Вы уменьшили цену в несколько раз, товар попадет в карантин цен",IF(IFERROR(VALUE(LEFT(M76,FIND("-",M76)-1)),M76)*200&lt;=114575,"Не сохранили изменения, чтобы защитить от ошибки — новые цены меньше текущих более чем в 2 раза. Снижайте их постепенно",IF(AND(IFERROR(VALUE(I76),0)=0,ISNUMBER(J76),OR(J76&lt;491,ABS(IFERROR(VALUE(LEFT(M76,FIND("-",M76)-1)),M76))*100&lt;49100)),"Проверьте цену товара. Большинство товаров в выбранной категории стоят дороже 491","")))))),"")</f>
      </c>
    </row>
    <row r="77">
      <c r="A77" s="2" t="inlineStr">
        <is>
          <t/>
        </is>
      </c>
      <c r="B77" s="2" t="inlineStr">
        <is>
          <t>Шторы для ванной</t>
        </is>
      </c>
      <c r="C77" s="2">
        <v>903254963</v>
      </c>
      <c r="D77" s="2" t="inlineStr">
        <is>
          <t>420656</t>
        </is>
      </c>
      <c r="E77" s="2" t="inlineStr">
        <is>
          <t>4670294458564</t>
        </is>
      </c>
      <c r="F77" s="2">
        <v>0</v>
      </c>
      <c r="G77" s="2">
        <v>84</v>
      </c>
      <c r="H77" s="2" t="inlineStr">
        <is>
          <t/>
        </is>
      </c>
      <c r="I77" s="2" t="inlineStr">
        <is>
          <t>5244</t>
        </is>
      </c>
      <c r="J77" s="4"/>
      <c r="K77" s="2">
        <v>78</v>
      </c>
      <c r="L77" s="6"/>
      <c r="M77" s="2" t="str">
        <f>IF(J77="",ROUND(I77*(1-IF(ISBLANK(L77),K77,L77)/100),2),ROUND(J77*(1-IF(ISBLANK(L77),K77,L77)/100),2))</f>
      </c>
      <c r="N77" s="7" t="str">
        <f>IF(NOT(AND(J77="",L77="")),IF(OR(AND(L77&lt;&gt;"",NOT(ISNUMBER(L77))),IFERROR(MOD(L77,1),1)&gt;0,AND(ISNUMBER(L77),OR(L77&lt;0,L77&gt;95))),"Введите целое число от 0 до 95",IF(OR(AND(J77&lt;&gt;"",NOT(ISNUMBER(J77))),IFERROR(MOD(J77,1),1)&gt;0,AND(ISNUMBER(J77),OR(J77&lt;50,J77&gt;20000000))),"Введите целое число от 50 до 20000000",IF(NOT(ABS(IFERROR(VALUE(LEFT(M77,FIND("-",M77)-1)),M77)*100-(2500+2000000000)/2)&lt;=ABS(2500-2000000000)/2),"Цена со скидкой должна быть от 25 до 20000000",IF(AND(IFERROR(VALUE(LEFT(M77,FIND("-",M77)-1)),M77)*150&lt;=115367,IFERROR(VALUE(LEFT(M77,FIND("-",M77)-1)),M77)*200&gt;115367),"Вы уменьшили цену в несколько раз, товар попадет в карантин цен",IF(IFERROR(VALUE(LEFT(M77,FIND("-",M77)-1)),M77)*200&lt;=115367,"Не сохранили изменения, чтобы защитить от ошибки — новые цены меньше текущих более чем в 2 раза. Снижайте их постепенно",IF(AND(IFERROR(VALUE(I77),0)=0,ISNUMBER(J77),OR(J77&lt;491,ABS(IFERROR(VALUE(LEFT(M77,FIND("-",M77)-1)),M77))*100&lt;49100)),"Проверьте цену товара. Большинство товаров в выбранной категории стоят дороже 491","")))))),"")</f>
      </c>
    </row>
    <row r="78">
      <c r="A78" s="2" t="inlineStr">
        <is>
          <t/>
        </is>
      </c>
      <c r="B78" s="2" t="inlineStr">
        <is>
          <t>Чайники заварочные</t>
        </is>
      </c>
      <c r="C78" s="2">
        <v>729548705</v>
      </c>
      <c r="D78" s="2" t="inlineStr">
        <is>
          <t>82066</t>
        </is>
      </c>
      <c r="E78" s="2" t="inlineStr">
        <is>
          <t>2048083257780</t>
        </is>
      </c>
      <c r="F78" s="2">
        <v>9</v>
      </c>
      <c r="G78" s="2">
        <v>23</v>
      </c>
      <c r="H78" s="2">
        <v>999</v>
      </c>
      <c r="I78" s="2" t="inlineStr">
        <is>
          <t>5461</t>
        </is>
      </c>
      <c r="J78" s="4"/>
      <c r="K78" s="2">
        <v>79</v>
      </c>
      <c r="L78" s="6"/>
      <c r="M78" s="2" t="str">
        <f>IF(J78="",ROUND(I78*(1-IF(ISBLANK(L78),K78,L78)/100),2),ROUND(J78*(1-IF(ISBLANK(L78),K78,L78)/100),2))</f>
      </c>
      <c r="N78" s="7" t="str">
        <f>IF(NOT(AND(J78="",L78="")),IF(OR(AND(L78&lt;&gt;"",NOT(ISNUMBER(L78))),IFERROR(MOD(L78,1),1)&gt;0,AND(ISNUMBER(L78),OR(L78&lt;0,L78&gt;95))),"Введите целое число от 0 до 95",IF(OR(AND(J78&lt;&gt;"",NOT(ISNUMBER(J78))),IFERROR(MOD(J78,1),1)&gt;0,AND(ISNUMBER(J78),OR(J78&lt;50,J78&gt;20000000))),"Введите целое число от 50 до 20000000",IF(NOT(ABS(IFERROR(VALUE(LEFT(M78,FIND("-",M78)-1)),M78)*100-(2500+2000000000)/2)&lt;=ABS(2500-2000000000)/2),"Цена со скидкой должна быть от 25 до 20000000",IF(AND(IFERROR(VALUE(LEFT(M78,FIND("-",M78)-1)),M78)*150&lt;=114680,IFERROR(VALUE(LEFT(M78,FIND("-",M78)-1)),M78)*200&gt;114680),"Вы уменьшили цену в несколько раз, товар попадет в карантин цен",IF(IFERROR(VALUE(LEFT(M78,FIND("-",M78)-1)),M78)*200&lt;=114680,"Не сохранили изменения, чтобы защитить от ошибки — новые цены меньше текущих более чем в 2 раза. Снижайте их постепенно",IF(AND(IFERROR(VALUE(I78),0)=0,ISNUMBER(J78),OR(J78&lt;681,ABS(IFERROR(VALUE(LEFT(M78,FIND("-",M78)-1)),M78))*100&lt;68100)),"Проверьте цену товара. Большинство товаров в выбранной категории стоят дороже 681","")))))),"")</f>
      </c>
    </row>
    <row r="79">
      <c r="A79" s="2" t="inlineStr">
        <is>
          <t/>
        </is>
      </c>
      <c r="B79" s="2" t="inlineStr">
        <is>
          <t>Мыло косметическое</t>
        </is>
      </c>
      <c r="C79" s="2">
        <v>766558881</v>
      </c>
      <c r="D79" s="2" t="inlineStr">
        <is>
          <t>710064</t>
        </is>
      </c>
      <c r="E79" s="2" t="inlineStr">
        <is>
          <t>2048434717956</t>
        </is>
      </c>
      <c r="F79" s="2">
        <v>0</v>
      </c>
      <c r="G79" s="2">
        <v>0</v>
      </c>
      <c r="H79" s="2" t="inlineStr">
        <is>
          <t/>
        </is>
      </c>
      <c r="I79" s="2" t="inlineStr">
        <is>
          <t>2889</t>
        </is>
      </c>
      <c r="J79" s="4"/>
      <c r="K79" s="2">
        <v>65</v>
      </c>
      <c r="L79" s="6"/>
      <c r="M79" s="2" t="str">
        <f>IF(J79="",ROUND(I79*(1-IF(ISBLANK(L79),K79,L79)/100),2),ROUND(J79*(1-IF(ISBLANK(L79),K79,L79)/100),2))</f>
      </c>
      <c r="N79" s="7" t="str">
        <f>IF(NOT(AND(J79="",L79="")),IF(OR(AND(L79&lt;&gt;"",NOT(ISNUMBER(L79))),IFERROR(MOD(L79,1),1)&gt;0,AND(ISNUMBER(L79),OR(L79&lt;0,L79&gt;95))),"Введите целое число от 0 до 95",IF(OR(AND(J79&lt;&gt;"",NOT(ISNUMBER(J79))),IFERROR(MOD(J79,1),1)&gt;0,AND(ISNUMBER(J79),OR(J79&lt;50,J79&gt;20000000))),"Введите целое число от 50 до 20000000",IF(NOT(ABS(IFERROR(VALUE(LEFT(M79,FIND("-",M79)-1)),M79)*100-(2500+2000000000)/2)&lt;=ABS(2500-2000000000)/2),"Цена со скидкой должна быть от 25 до 20000000",IF(AND(IFERROR(VALUE(LEFT(M79,FIND("-",M79)-1)),M79)*150&lt;=101115,IFERROR(VALUE(LEFT(M79,FIND("-",M79)-1)),M79)*200&gt;101115),"Вы уменьшили цену в несколько раз, товар попадет в карантин цен",IF(IFERROR(VALUE(LEFT(M79,FIND("-",M79)-1)),M79)*200&lt;=101115,"Не сохранили изменения, чтобы защитить от ошибки — новые цены меньше текущих более чем в 2 раза. Снижайте их постепенно",IF(AND(IFERROR(VALUE(I79),0)=0,ISNUMBER(J79),OR(J79&lt;155,ABS(IFERROR(VALUE(LEFT(M79,FIND("-",M79)-1)),M79))*100&lt;15500)),"Проверьте цену товара. Большинство товаров в выбранной категории стоят дороже 155","")))))),"")</f>
      </c>
    </row>
    <row r="80">
      <c r="A80" s="2" t="inlineStr">
        <is>
          <t/>
        </is>
      </c>
      <c r="B80" s="2" t="inlineStr">
        <is>
          <t>Шторы для ванной</t>
        </is>
      </c>
      <c r="C80" s="2">
        <v>903254947</v>
      </c>
      <c r="D80" s="2" t="inlineStr">
        <is>
          <t>420660</t>
        </is>
      </c>
      <c r="E80" s="2" t="inlineStr">
        <is>
          <t>4670294458601</t>
        </is>
      </c>
      <c r="F80" s="2">
        <v>9</v>
      </c>
      <c r="G80" s="2">
        <v>49</v>
      </c>
      <c r="H80" s="2">
        <v>999</v>
      </c>
      <c r="I80" s="2" t="inlineStr">
        <is>
          <t>4486</t>
        </is>
      </c>
      <c r="J80" s="4"/>
      <c r="K80" s="2">
        <v>80</v>
      </c>
      <c r="L80" s="6"/>
      <c r="M80" s="2" t="str">
        <f>IF(J80="",ROUND(I80*(1-IF(ISBLANK(L80),K80,L80)/100),2),ROUND(J80*(1-IF(ISBLANK(L80),K80,L80)/100),2))</f>
      </c>
      <c r="N80" s="7" t="str">
        <f>IF(NOT(AND(J80="",L80="")),IF(OR(AND(L80&lt;&gt;"",NOT(ISNUMBER(L80))),IFERROR(MOD(L80,1),1)&gt;0,AND(ISNUMBER(L80),OR(L80&lt;0,L80&gt;95))),"Введите целое число от 0 до 95",IF(OR(AND(J80&lt;&gt;"",NOT(ISNUMBER(J80))),IFERROR(MOD(J80,1),1)&gt;0,AND(ISNUMBER(J80),OR(J80&lt;50,J80&gt;20000000))),"Введите целое число от 50 до 20000000",IF(NOT(ABS(IFERROR(VALUE(LEFT(M80,FIND("-",M80)-1)),M80)*100-(2500+2000000000)/2)&lt;=ABS(2500-2000000000)/2),"Цена со скидкой должна быть от 25 до 20000000",IF(AND(IFERROR(VALUE(LEFT(M80,FIND("-",M80)-1)),M80)*150&lt;=89719,IFERROR(VALUE(LEFT(M80,FIND("-",M80)-1)),M80)*200&gt;89719),"Вы уменьшили цену в несколько раз, товар попадет в карантин цен",IF(IFERROR(VALUE(LEFT(M80,FIND("-",M80)-1)),M80)*200&lt;=89719,"Не сохранили изменения, чтобы защитить от ошибки — новые цены меньше текущих более чем в 2 раза. Снижайте их постепенно",IF(AND(IFERROR(VALUE(I80),0)=0,ISNUMBER(J80),OR(J80&lt;491,ABS(IFERROR(VALUE(LEFT(M80,FIND("-",M80)-1)),M80))*100&lt;49100)),"Проверьте цену товара. Большинство товаров в выбранной категории стоят дороже 491","")))))),"")</f>
      </c>
    </row>
    <row r="81">
      <c r="A81" s="2" t="inlineStr">
        <is>
          <t/>
        </is>
      </c>
      <c r="B81" s="2" t="inlineStr">
        <is>
          <t>Пиалы</t>
        </is>
      </c>
      <c r="C81" s="2">
        <v>265486920</v>
      </c>
      <c r="D81" s="2" t="inlineStr">
        <is>
          <t>075012</t>
        </is>
      </c>
      <c r="E81" s="2" t="inlineStr">
        <is>
          <t>2041332609118</t>
        </is>
      </c>
      <c r="F81" s="2">
        <v>0</v>
      </c>
      <c r="G81" s="2">
        <v>0</v>
      </c>
      <c r="H81" s="2">
        <v>1</v>
      </c>
      <c r="I81" s="2" t="inlineStr">
        <is>
          <t>2232</t>
        </is>
      </c>
      <c r="J81" s="4"/>
      <c r="K81" s="2">
        <v>65</v>
      </c>
      <c r="L81" s="6"/>
      <c r="M81" s="2" t="str">
        <f>IF(J81="",ROUND(I81*(1-IF(ISBLANK(L81),K81,L81)/100),2),ROUND(J81*(1-IF(ISBLANK(L81),K81,L81)/100),2))</f>
      </c>
      <c r="N81" s="7" t="str">
        <f>IF(NOT(AND(J81="",L81="")),IF(OR(AND(L81&lt;&gt;"",NOT(ISNUMBER(L81))),IFERROR(MOD(L81,1),1)&gt;0,AND(ISNUMBER(L81),OR(L81&lt;0,L81&gt;95))),"Введите целое число от 0 до 95",IF(OR(AND(J81&lt;&gt;"",NOT(ISNUMBER(J81))),IFERROR(MOD(J81,1),1)&gt;0,AND(ISNUMBER(J81),OR(J81&lt;50,J81&gt;20000000))),"Введите целое число от 50 до 20000000",IF(NOT(ABS(IFERROR(VALUE(LEFT(M81,FIND("-",M81)-1)),M81)*100-(2500+2000000000)/2)&lt;=ABS(2500-2000000000)/2),"Цена со скидкой должна быть от 25 до 20000000",IF(AND(IFERROR(VALUE(LEFT(M81,FIND("-",M81)-1)),M81)*150&lt;=78120,IFERROR(VALUE(LEFT(M81,FIND("-",M81)-1)),M81)*200&gt;78120),"Вы уменьшили цену в несколько раз, товар попадет в карантин цен",IF(IFERROR(VALUE(LEFT(M81,FIND("-",M81)-1)),M81)*200&lt;=78120,"Не сохранили изменения, чтобы защитить от ошибки — новые цены меньше текущих более чем в 2 раза. Снижайте их постепенно",IF(AND(IFERROR(VALUE(I81),0)=0,ISNUMBER(J81),OR(J81&lt;502,ABS(IFERROR(VALUE(LEFT(M81,FIND("-",M81)-1)),M81))*100&lt;50200)),"Проверьте цену товара. Большинство товаров в выбранной категории стоят дороже 502","")))))),"")</f>
      </c>
    </row>
    <row r="82">
      <c r="A82" s="2" t="inlineStr">
        <is>
          <t/>
        </is>
      </c>
      <c r="B82" s="2" t="inlineStr">
        <is>
          <t>Чайники заварочные</t>
        </is>
      </c>
      <c r="C82" s="2">
        <v>729548708</v>
      </c>
      <c r="D82" s="2" t="inlineStr">
        <is>
          <t>28783</t>
        </is>
      </c>
      <c r="E82" s="2" t="inlineStr">
        <is>
          <t>2048083257810</t>
        </is>
      </c>
      <c r="F82" s="2">
        <v>0</v>
      </c>
      <c r="G82" s="2">
        <v>0</v>
      </c>
      <c r="H82" s="2" t="inlineStr">
        <is>
          <t/>
        </is>
      </c>
      <c r="I82" s="2" t="inlineStr">
        <is>
          <t>8677</t>
        </is>
      </c>
      <c r="J82" s="4"/>
      <c r="K82" s="2">
        <v>78</v>
      </c>
      <c r="L82" s="6"/>
      <c r="M82" s="2" t="str">
        <f>IF(J82="",ROUND(I82*(1-IF(ISBLANK(L82),K82,L82)/100),2),ROUND(J82*(1-IF(ISBLANK(L82),K82,L82)/100),2))</f>
      </c>
      <c r="N82" s="7" t="str">
        <f>IF(NOT(AND(J82="",L82="")),IF(OR(AND(L82&lt;&gt;"",NOT(ISNUMBER(L82))),IFERROR(MOD(L82,1),1)&gt;0,AND(ISNUMBER(L82),OR(L82&lt;0,L82&gt;95))),"Введите целое число от 0 до 95",IF(OR(AND(J82&lt;&gt;"",NOT(ISNUMBER(J82))),IFERROR(MOD(J82,1),1)&gt;0,AND(ISNUMBER(J82),OR(J82&lt;50,J82&gt;20000000))),"Введите целое число от 50 до 20000000",IF(NOT(ABS(IFERROR(VALUE(LEFT(M82,FIND("-",M82)-1)),M82)*100-(2500+2000000000)/2)&lt;=ABS(2500-2000000000)/2),"Цена со скидкой должна быть от 25 до 20000000",IF(AND(IFERROR(VALUE(LEFT(M82,FIND("-",M82)-1)),M82)*150&lt;=190893,IFERROR(VALUE(LEFT(M82,FIND("-",M82)-1)),M82)*200&gt;190893),"Вы уменьшили цену в несколько раз, товар попадет в карантин цен",IF(IFERROR(VALUE(LEFT(M82,FIND("-",M82)-1)),M82)*200&lt;=190893,"Не сохранили изменения, чтобы защитить от ошибки — новые цены меньше текущих более чем в 2 раза. Снижайте их постепенно",IF(AND(IFERROR(VALUE(I82),0)=0,ISNUMBER(J82),OR(J82&lt;681,ABS(IFERROR(VALUE(LEFT(M82,FIND("-",M82)-1)),M82))*100&lt;68100)),"Проверьте цену товара. Большинство товаров в выбранной категории стоят дороже 681","")))))),"")</f>
      </c>
    </row>
    <row r="83">
      <c r="A83" s="2" t="inlineStr">
        <is>
          <t/>
        </is>
      </c>
      <c r="B83" s="2" t="inlineStr">
        <is>
          <t>Чайники заварочные</t>
        </is>
      </c>
      <c r="C83" s="2">
        <v>729548548</v>
      </c>
      <c r="D83" s="2" t="inlineStr">
        <is>
          <t>283233</t>
        </is>
      </c>
      <c r="E83" s="2" t="inlineStr">
        <is>
          <t>2048083257070</t>
        </is>
      </c>
      <c r="F83" s="2">
        <v>1</v>
      </c>
      <c r="G83" s="2">
        <v>0</v>
      </c>
      <c r="H83" s="2">
        <v>999</v>
      </c>
      <c r="I83" s="2" t="inlineStr">
        <is>
          <t>7302</t>
        </is>
      </c>
      <c r="J83" s="4"/>
      <c r="K83" s="2">
        <v>84</v>
      </c>
      <c r="L83" s="6"/>
      <c r="M83" s="2" t="str">
        <f>IF(J83="",ROUND(I83*(1-IF(ISBLANK(L83),K83,L83)/100),2),ROUND(J83*(1-IF(ISBLANK(L83),K83,L83)/100),2))</f>
      </c>
      <c r="N83" s="7" t="str">
        <f>IF(NOT(AND(J83="",L83="")),IF(OR(AND(L83&lt;&gt;"",NOT(ISNUMBER(L83))),IFERROR(MOD(L83,1),1)&gt;0,AND(ISNUMBER(L83),OR(L83&lt;0,L83&gt;95))),"Введите целое число от 0 до 95",IF(OR(AND(J83&lt;&gt;"",NOT(ISNUMBER(J83))),IFERROR(MOD(J83,1),1)&gt;0,AND(ISNUMBER(J83),OR(J83&lt;50,J83&gt;20000000))),"Введите целое число от 50 до 20000000",IF(NOT(ABS(IFERROR(VALUE(LEFT(M83,FIND("-",M83)-1)),M83)*100-(2500+2000000000)/2)&lt;=ABS(2500-2000000000)/2),"Цена со скидкой должна быть от 25 до 20000000",IF(AND(IFERROR(VALUE(LEFT(M83,FIND("-",M83)-1)),M83)*150&lt;=116832,IFERROR(VALUE(LEFT(M83,FIND("-",M83)-1)),M83)*200&gt;116832),"Вы уменьшили цену в несколько раз, товар попадет в карантин цен",IF(IFERROR(VALUE(LEFT(M83,FIND("-",M83)-1)),M83)*200&lt;=116832,"Не сохранили изменения, чтобы защитить от ошибки — новые цены меньше текущих более чем в 2 раза. Снижайте их постепенно",IF(AND(IFERROR(VALUE(I83),0)=0,ISNUMBER(J83),OR(J83&lt;681,ABS(IFERROR(VALUE(LEFT(M83,FIND("-",M83)-1)),M83))*100&lt;68100)),"Проверьте цену товара. Большинство товаров в выбранной категории стоят дороже 681","")))))),"")</f>
      </c>
    </row>
    <row r="84">
      <c r="A84" s="2" t="inlineStr">
        <is>
          <t/>
        </is>
      </c>
      <c r="B84" s="2" t="inlineStr">
        <is>
          <t>Пиалы</t>
        </is>
      </c>
      <c r="C84" s="2">
        <v>265486921</v>
      </c>
      <c r="D84" s="2" t="inlineStr">
        <is>
          <t>075018</t>
        </is>
      </c>
      <c r="E84" s="2" t="inlineStr">
        <is>
          <t>2041332609507</t>
        </is>
      </c>
      <c r="F84" s="2">
        <v>0</v>
      </c>
      <c r="G84" s="2">
        <v>0</v>
      </c>
      <c r="H84" s="2">
        <v>1</v>
      </c>
      <c r="I84" s="2" t="inlineStr">
        <is>
          <t>2300</t>
        </is>
      </c>
      <c r="J84" s="4"/>
      <c r="K84" s="2">
        <v>65</v>
      </c>
      <c r="L84" s="6"/>
      <c r="M84" s="2" t="str">
        <f>IF(J84="",ROUND(I84*(1-IF(ISBLANK(L84),K84,L84)/100),2),ROUND(J84*(1-IF(ISBLANK(L84),K84,L84)/100),2))</f>
      </c>
      <c r="N84" s="7" t="str">
        <f>IF(NOT(AND(J84="",L84="")),IF(OR(AND(L84&lt;&gt;"",NOT(ISNUMBER(L84))),IFERROR(MOD(L84,1),1)&gt;0,AND(ISNUMBER(L84),OR(L84&lt;0,L84&gt;95))),"Введите целое число от 0 до 95",IF(OR(AND(J84&lt;&gt;"",NOT(ISNUMBER(J84))),IFERROR(MOD(J84,1),1)&gt;0,AND(ISNUMBER(J84),OR(J84&lt;50,J84&gt;20000000))),"Введите целое число от 50 до 20000000",IF(NOT(ABS(IFERROR(VALUE(LEFT(M84,FIND("-",M84)-1)),M84)*100-(2500+2000000000)/2)&lt;=ABS(2500-2000000000)/2),"Цена со скидкой должна быть от 25 до 20000000",IF(AND(IFERROR(VALUE(LEFT(M84,FIND("-",M84)-1)),M84)*150&lt;=80500,IFERROR(VALUE(LEFT(M84,FIND("-",M84)-1)),M84)*200&gt;80500),"Вы уменьшили цену в несколько раз, товар попадет в карантин цен",IF(IFERROR(VALUE(LEFT(M84,FIND("-",M84)-1)),M84)*200&lt;=80500,"Не сохранили изменения, чтобы защитить от ошибки — новые цены меньше текущих более чем в 2 раза. Снижайте их постепенно",IF(AND(IFERROR(VALUE(I84),0)=0,ISNUMBER(J84),OR(J84&lt;502,ABS(IFERROR(VALUE(LEFT(M84,FIND("-",M84)-1)),M84))*100&lt;50200)),"Проверьте цену товара. Большинство товаров в выбранной категории стоят дороже 502","")))))),"")</f>
      </c>
    </row>
    <row r="85">
      <c r="A85" s="2" t="inlineStr">
        <is>
          <t>Veloria</t>
        </is>
      </c>
      <c r="B85" s="2" t="inlineStr">
        <is>
          <t>Скатерти</t>
        </is>
      </c>
      <c r="C85" s="2">
        <v>727195884</v>
      </c>
      <c r="D85" s="2" t="inlineStr">
        <is>
          <t>420326</t>
        </is>
      </c>
      <c r="E85" s="2" t="inlineStr">
        <is>
          <t>2048060785572</t>
        </is>
      </c>
      <c r="F85" s="2">
        <v>2</v>
      </c>
      <c r="G85" s="2">
        <v>1</v>
      </c>
      <c r="H85" s="2">
        <v>999</v>
      </c>
      <c r="I85" s="2" t="inlineStr">
        <is>
          <t>4632</t>
        </is>
      </c>
      <c r="J85" s="4"/>
      <c r="K85" s="2">
        <v>81</v>
      </c>
      <c r="L85" s="6"/>
      <c r="M85" s="2" t="str">
        <f>IF(J85="",ROUND(I85*(1-IF(ISBLANK(L85),K85,L85)/100),2),ROUND(J85*(1-IF(ISBLANK(L85),K85,L85)/100),2))</f>
      </c>
      <c r="N85" s="7" t="str">
        <f>IF(NOT(AND(J85="",L85="")),IF(OR(AND(L85&lt;&gt;"",NOT(ISNUMBER(L85))),IFERROR(MOD(L85,1),1)&gt;0,AND(ISNUMBER(L85),OR(L85&lt;0,L85&gt;95))),"Введите целое число от 0 до 95",IF(OR(AND(J85&lt;&gt;"",NOT(ISNUMBER(J85))),IFERROR(MOD(J85,1),1)&gt;0,AND(ISNUMBER(J85),OR(J85&lt;50,J85&gt;20000000))),"Введите целое число от 50 до 20000000",IF(NOT(ABS(IFERROR(VALUE(LEFT(M85,FIND("-",M85)-1)),M85)*100-(2500+2000000000)/2)&lt;=ABS(2500-2000000000)/2),"Цена со скидкой должна быть от 25 до 20000000",IF(AND(IFERROR(VALUE(LEFT(M85,FIND("-",M85)-1)),M85)*150&lt;=88007,IFERROR(VALUE(LEFT(M85,FIND("-",M85)-1)),M85)*200&gt;88007),"Вы уменьшили цену в несколько раз, товар попадет в карантин цен",IF(IFERROR(VALUE(LEFT(M85,FIND("-",M85)-1)),M85)*200&lt;=88007,"Не сохранили изменения, чтобы защитить от ошибки — новые цены меньше текущих более чем в 2 раза. Снижайте их постепенно",IF(AND(IFERROR(VALUE(I85),0)=0,ISNUMBER(J85),OR(J85&lt;385,ABS(IFERROR(VALUE(LEFT(M85,FIND("-",M85)-1)),M85))*100&lt;38500)),"Проверьте цену товара. Большинство товаров в выбранной категории стоят дороже 385","")))))),"")</f>
      </c>
    </row>
    <row r="86">
      <c r="A86" s="2" t="inlineStr">
        <is>
          <t/>
        </is>
      </c>
      <c r="B86" s="2" t="inlineStr">
        <is>
          <t>Часы настенные</t>
        </is>
      </c>
      <c r="C86" s="2">
        <v>765919402</v>
      </c>
      <c r="D86" s="2" t="inlineStr">
        <is>
          <t>660525</t>
        </is>
      </c>
      <c r="E86" s="2" t="inlineStr">
        <is>
          <t>2048428667670</t>
        </is>
      </c>
      <c r="F86" s="2">
        <v>0</v>
      </c>
      <c r="G86" s="2">
        <v>0</v>
      </c>
      <c r="H86" s="2" t="inlineStr">
        <is>
          <t/>
        </is>
      </c>
      <c r="I86" s="2" t="inlineStr">
        <is>
          <t>18001</t>
        </is>
      </c>
      <c r="J86" s="4"/>
      <c r="K86" s="2">
        <v>65</v>
      </c>
      <c r="L86" s="6"/>
      <c r="M86" s="2" t="str">
        <f>IF(J86="",ROUND(I86*(1-IF(ISBLANK(L86),K86,L86)/100),2),ROUND(J86*(1-IF(ISBLANK(L86),K86,L86)/100),2))</f>
      </c>
      <c r="N86" s="7" t="str">
        <f>IF(NOT(AND(J86="",L86="")),IF(OR(AND(L86&lt;&gt;"",NOT(ISNUMBER(L86))),IFERROR(MOD(L86,1),1)&gt;0,AND(ISNUMBER(L86),OR(L86&lt;0,L86&gt;95))),"Введите целое число от 0 до 95",IF(OR(AND(J86&lt;&gt;"",NOT(ISNUMBER(J86))),IFERROR(MOD(J86,1),1)&gt;0,AND(ISNUMBER(J86),OR(J86&lt;50,J86&gt;20000000))),"Введите целое число от 50 до 20000000",IF(NOT(ABS(IFERROR(VALUE(LEFT(M86,FIND("-",M86)-1)),M86)*100-(2500+2000000000)/2)&lt;=ABS(2500-2000000000)/2),"Цена со скидкой должна быть от 25 до 20000000",IF(AND(IFERROR(VALUE(LEFT(M86,FIND("-",M86)-1)),M86)*150&lt;=630035,IFERROR(VALUE(LEFT(M86,FIND("-",M86)-1)),M86)*200&gt;630035),"Вы уменьшили цену в несколько раз, товар попадет в карантин цен",IF(IFERROR(VALUE(LEFT(M86,FIND("-",M86)-1)),M86)*200&lt;=630035,"Не сохранили изменения, чтобы защитить от ошибки — новые цены меньше текущих более чем в 2 раза. Снижайте их постепенно",IF(AND(IFERROR(VALUE(I86),0)=0,ISNUMBER(J86),OR(J86&lt;481,ABS(IFERROR(VALUE(LEFT(M86,FIND("-",M86)-1)),M86))*100&lt;48100)),"Проверьте цену товара. Большинство товаров в выбранной категории стоят дороже 481","")))))),"")</f>
      </c>
    </row>
    <row r="87">
      <c r="A87" s="2" t="inlineStr">
        <is>
          <t>Luxaro</t>
        </is>
      </c>
      <c r="B87" s="2" t="inlineStr">
        <is>
          <t>Подносы</t>
        </is>
      </c>
      <c r="C87" s="2">
        <v>523277435</v>
      </c>
      <c r="D87" s="2" t="inlineStr">
        <is>
          <t>93608</t>
        </is>
      </c>
      <c r="E87" s="2" t="inlineStr">
        <is>
          <t>2045808985324</t>
        </is>
      </c>
      <c r="F87" s="2">
        <v>92</v>
      </c>
      <c r="G87" s="2">
        <v>5</v>
      </c>
      <c r="H87" s="2">
        <v>999</v>
      </c>
      <c r="I87" s="2" t="inlineStr">
        <is>
          <t>6516</t>
        </is>
      </c>
      <c r="J87" s="4"/>
      <c r="K87" s="2">
        <v>79</v>
      </c>
      <c r="L87" s="6"/>
      <c r="M87" s="2" t="str">
        <f>IF(J87="",ROUND(I87*(1-IF(ISBLANK(L87),K87,L87)/100),2),ROUND(J87*(1-IF(ISBLANK(L87),K87,L87)/100),2))</f>
      </c>
      <c r="N87" s="7" t="str">
        <f>IF(NOT(AND(J87="",L87="")),IF(OR(AND(L87&lt;&gt;"",NOT(ISNUMBER(L87))),IFERROR(MOD(L87,1),1)&gt;0,AND(ISNUMBER(L87),OR(L87&lt;0,L87&gt;95))),"Введите целое число от 0 до 95",IF(OR(AND(J87&lt;&gt;"",NOT(ISNUMBER(J87))),IFERROR(MOD(J87,1),1)&gt;0,AND(ISNUMBER(J87),OR(J87&lt;50,J87&gt;20000000))),"Введите целое число от 50 до 20000000",IF(NOT(ABS(IFERROR(VALUE(LEFT(M87,FIND("-",M87)-1)),M87)*100-(2500+2000000000)/2)&lt;=ABS(2500-2000000000)/2),"Цена со скидкой должна быть от 25 до 20000000",IF(AND(IFERROR(VALUE(LEFT(M87,FIND("-",M87)-1)),M87)*150&lt;=136835,IFERROR(VALUE(LEFT(M87,FIND("-",M87)-1)),M87)*200&gt;136835),"Вы уменьшили цену в несколько раз, товар попадет в карантин цен",IF(IFERROR(VALUE(LEFT(M87,FIND("-",M87)-1)),M87)*200&lt;=136835,"Не сохранили изменения, чтобы защитить от ошибки — новые цены меньше текущих более чем в 2 раза. Снижайте их постепенно",IF(AND(IFERROR(VALUE(I87),0)=0,ISNUMBER(J87),OR(J87&lt;450,ABS(IFERROR(VALUE(LEFT(M87,FIND("-",M87)-1)),M87))*100&lt;45000)),"Проверьте цену товара. Большинство товаров в выбранной категории стоят дороже 450","")))))),"")</f>
      </c>
    </row>
    <row r="88">
      <c r="A88" s="2" t="inlineStr">
        <is>
          <t>Veloria</t>
        </is>
      </c>
      <c r="B88" s="2" t="inlineStr">
        <is>
          <t>Скатерти</t>
        </is>
      </c>
      <c r="C88" s="2">
        <v>727195893</v>
      </c>
      <c r="D88" s="2" t="inlineStr">
        <is>
          <t>435081</t>
        </is>
      </c>
      <c r="E88" s="2" t="inlineStr">
        <is>
          <t>2048060785671</t>
        </is>
      </c>
      <c r="F88" s="2">
        <v>3</v>
      </c>
      <c r="G88" s="2">
        <v>0</v>
      </c>
      <c r="H88" s="2">
        <v>999</v>
      </c>
      <c r="I88" s="2" t="inlineStr">
        <is>
          <t>7421</t>
        </is>
      </c>
      <c r="J88" s="4"/>
      <c r="K88" s="2">
        <v>80</v>
      </c>
      <c r="L88" s="6"/>
      <c r="M88" s="2" t="str">
        <f>IF(J88="",ROUND(I88*(1-IF(ISBLANK(L88),K88,L88)/100),2),ROUND(J88*(1-IF(ISBLANK(L88),K88,L88)/100),2))</f>
      </c>
      <c r="N88" s="7" t="str">
        <f>IF(NOT(AND(J88="",L88="")),IF(OR(AND(L88&lt;&gt;"",NOT(ISNUMBER(L88))),IFERROR(MOD(L88,1),1)&gt;0,AND(ISNUMBER(L88),OR(L88&lt;0,L88&gt;95))),"Введите целое число от 0 до 95",IF(OR(AND(J88&lt;&gt;"",NOT(ISNUMBER(J88))),IFERROR(MOD(J88,1),1)&gt;0,AND(ISNUMBER(J88),OR(J88&lt;50,J88&gt;20000000))),"Введите целое число от 50 до 20000000",IF(NOT(ABS(IFERROR(VALUE(LEFT(M88,FIND("-",M88)-1)),M88)*100-(2500+2000000000)/2)&lt;=ABS(2500-2000000000)/2),"Цена со скидкой должна быть от 25 до 20000000",IF(AND(IFERROR(VALUE(LEFT(M88,FIND("-",M88)-1)),M88)*150&lt;=148419,IFERROR(VALUE(LEFT(M88,FIND("-",M88)-1)),M88)*200&gt;148419),"Вы уменьшили цену в несколько раз, товар попадет в карантин цен",IF(IFERROR(VALUE(LEFT(M88,FIND("-",M88)-1)),M88)*200&lt;=148419,"Не сохранили изменения, чтобы защитить от ошибки — новые цены меньше текущих более чем в 2 раза. Снижайте их постепенно",IF(AND(IFERROR(VALUE(I88),0)=0,ISNUMBER(J88),OR(J88&lt;385,ABS(IFERROR(VALUE(LEFT(M88,FIND("-",M88)-1)),M88))*100&lt;38500)),"Проверьте цену товара. Большинство товаров в выбранной категории стоят дороже 385","")))))),"")</f>
      </c>
    </row>
    <row r="89">
      <c r="A89" s="2" t="inlineStr">
        <is>
          <t>Veloria</t>
        </is>
      </c>
      <c r="B89" s="2" t="inlineStr">
        <is>
          <t>Скатерти</t>
        </is>
      </c>
      <c r="C89" s="2">
        <v>727195887</v>
      </c>
      <c r="D89" s="2" t="inlineStr">
        <is>
          <t>455458</t>
        </is>
      </c>
      <c r="E89" s="2" t="inlineStr">
        <is>
          <t>2048060785619</t>
        </is>
      </c>
      <c r="F89" s="2" t="inlineStr">
        <is>
          <t/>
        </is>
      </c>
      <c r="G89" s="2" t="inlineStr">
        <is>
          <t/>
        </is>
      </c>
      <c r="H89" s="2" t="inlineStr">
        <is>
          <t/>
        </is>
      </c>
      <c r="I89" s="2" t="inlineStr">
        <is>
          <t>5495</t>
        </is>
      </c>
      <c r="J89" s="4"/>
      <c r="K89" s="2">
        <v>65</v>
      </c>
      <c r="L89" s="6"/>
      <c r="M89" s="2" t="str">
        <f>IF(J89="",ROUND(I89*(1-IF(ISBLANK(L89),K89,L89)/100),2),ROUND(J89*(1-IF(ISBLANK(L89),K89,L89)/100),2))</f>
      </c>
      <c r="N89" s="7" t="str">
        <f>IF(NOT(AND(J89="",L89="")),IF(OR(AND(L89&lt;&gt;"",NOT(ISNUMBER(L89))),IFERROR(MOD(L89,1),1)&gt;0,AND(ISNUMBER(L89),OR(L89&lt;0,L89&gt;95))),"Введите целое число от 0 до 95",IF(OR(AND(J89&lt;&gt;"",NOT(ISNUMBER(J89))),IFERROR(MOD(J89,1),1)&gt;0,AND(ISNUMBER(J89),OR(J89&lt;50,J89&gt;20000000))),"Введите целое число от 50 до 20000000",IF(NOT(ABS(IFERROR(VALUE(LEFT(M89,FIND("-",M89)-1)),M89)*100-(2500+2000000000)/2)&lt;=ABS(2500-2000000000)/2),"Цена со скидкой должна быть от 25 до 20000000",IF(AND(IFERROR(VALUE(LEFT(M89,FIND("-",M89)-1)),M89)*150&lt;=192324,IFERROR(VALUE(LEFT(M89,FIND("-",M89)-1)),M89)*200&gt;192324),"Вы уменьшили цену в несколько раз, товар попадет в карантин цен",IF(IFERROR(VALUE(LEFT(M89,FIND("-",M89)-1)),M89)*200&lt;=192324,"Не сохранили изменения, чтобы защитить от ошибки — новые цены меньше текущих более чем в 2 раза. Снижайте их постепенно",IF(AND(IFERROR(VALUE(I89),0)=0,ISNUMBER(J89),OR(J89&lt;385,ABS(IFERROR(VALUE(LEFT(M89,FIND("-",M89)-1)),M89))*100&lt;38500)),"Проверьте цену товара. Большинство товаров в выбранной категории стоят дороже 385","")))))),"")</f>
      </c>
    </row>
    <row r="90">
      <c r="A90" s="2" t="inlineStr">
        <is>
          <t>Veloria</t>
        </is>
      </c>
      <c r="B90" s="2" t="inlineStr">
        <is>
          <t>Коврики в кухонные ящики</t>
        </is>
      </c>
      <c r="C90" s="2">
        <v>306831959</v>
      </c>
      <c r="D90" s="2" t="inlineStr">
        <is>
          <t>522949</t>
        </is>
      </c>
      <c r="E90" s="2" t="inlineStr">
        <is>
          <t>4680093964098</t>
        </is>
      </c>
      <c r="F90" s="2">
        <v>0</v>
      </c>
      <c r="G90" s="2">
        <v>0</v>
      </c>
      <c r="H90" s="2">
        <v>1</v>
      </c>
      <c r="I90" s="2" t="inlineStr">
        <is>
          <t>4535</t>
        </is>
      </c>
      <c r="J90" s="4"/>
      <c r="K90" s="2">
        <v>65</v>
      </c>
      <c r="L90" s="6"/>
      <c r="M90" s="2" t="str">
        <f>IF(J90="",ROUND(I90*(1-IF(ISBLANK(L90),K90,L90)/100),2),ROUND(J90*(1-IF(ISBLANK(L90),K90,L90)/100),2))</f>
      </c>
      <c r="N90" s="7" t="str">
        <f>IF(NOT(AND(J90="",L90="")),IF(OR(AND(L90&lt;&gt;"",NOT(ISNUMBER(L90))),IFERROR(MOD(L90,1),1)&gt;0,AND(ISNUMBER(L90),OR(L90&lt;0,L90&gt;95))),"Введите целое число от 0 до 95",IF(OR(AND(J90&lt;&gt;"",NOT(ISNUMBER(J90))),IFERROR(MOD(J90,1),1)&gt;0,AND(ISNUMBER(J90),OR(J90&lt;50,J90&gt;20000000))),"Введите целое число от 50 до 20000000",IF(NOT(ABS(IFERROR(VALUE(LEFT(M90,FIND("-",M90)-1)),M90)*100-(2500+2000000000)/2)&lt;=ABS(2500-2000000000)/2),"Цена со скидкой должна быть от 25 до 20000000",IF(AND(IFERROR(VALUE(LEFT(M90,FIND("-",M90)-1)),M90)*150&lt;=158725,IFERROR(VALUE(LEFT(M90,FIND("-",M90)-1)),M90)*200&gt;158725),"Вы уменьшили цену в несколько раз, товар попадет в карантин цен",IF(IFERROR(VALUE(LEFT(M90,FIND("-",M90)-1)),M90)*200&lt;=158725,"Не сохранили изменения, чтобы защитить от ошибки — новые цены меньше текущих более чем в 2 раза. Снижайте их постепенно",IF(AND(IFERROR(VALUE(I90),0)=0,ISNUMBER(J90),OR(J90&lt;255,ABS(IFERROR(VALUE(LEFT(M90,FIND("-",M90)-1)),M90))*100&lt;25500)),"Проверьте цену товара. Большинство товаров в выбранной категории стоят дороже 255","")))))),"")</f>
      </c>
    </row>
    <row r="91">
      <c r="A91" s="2" t="inlineStr">
        <is>
          <t/>
        </is>
      </c>
      <c r="B91" s="2" t="inlineStr">
        <is>
          <t>Чайники для плиты</t>
        </is>
      </c>
      <c r="C91" s="2">
        <v>729520864</v>
      </c>
      <c r="D91" s="2" t="inlineStr">
        <is>
          <t>821562</t>
        </is>
      </c>
      <c r="E91" s="2" t="inlineStr">
        <is>
          <t>2048082929312</t>
        </is>
      </c>
      <c r="F91" s="2">
        <v>0</v>
      </c>
      <c r="G91" s="2">
        <v>2</v>
      </c>
      <c r="H91" s="2" t="inlineStr">
        <is>
          <t/>
        </is>
      </c>
      <c r="I91" s="2" t="inlineStr">
        <is>
          <t>20347</t>
        </is>
      </c>
      <c r="J91" s="4"/>
      <c r="K91" s="2">
        <v>80</v>
      </c>
      <c r="L91" s="6"/>
      <c r="M91" s="2" t="str">
        <f>IF(J91="",ROUND(I91*(1-IF(ISBLANK(L91),K91,L91)/100),2),ROUND(J91*(1-IF(ISBLANK(L91),K91,L91)/100),2))</f>
      </c>
      <c r="N91" s="7" t="str">
        <f>IF(NOT(AND(J91="",L91="")),IF(OR(AND(L91&lt;&gt;"",NOT(ISNUMBER(L91))),IFERROR(MOD(L91,1),1)&gt;0,AND(ISNUMBER(L91),OR(L91&lt;0,L91&gt;95))),"Введите целое число от 0 до 95",IF(OR(AND(J91&lt;&gt;"",NOT(ISNUMBER(J91))),IFERROR(MOD(J91,1),1)&gt;0,AND(ISNUMBER(J91),OR(J91&lt;50,J91&gt;20000000))),"Введите целое число от 50 до 20000000",IF(NOT(ABS(IFERROR(VALUE(LEFT(M91,FIND("-",M91)-1)),M91)*100-(2500+2000000000)/2)&lt;=ABS(2500-2000000000)/2),"Цена со скидкой должна быть от 25 до 20000000",IF(AND(IFERROR(VALUE(LEFT(M91,FIND("-",M91)-1)),M91)*150&lt;=406939,IFERROR(VALUE(LEFT(M91,FIND("-",M91)-1)),M91)*200&gt;406939),"Вы уменьшили цену в несколько раз, товар попадет в карантин цен",IF(IFERROR(VALUE(LEFT(M91,FIND("-",M91)-1)),M91)*200&lt;=406939,"Не сохранили изменения, чтобы защитить от ошибки — новые цены меньше текущих более чем в 2 раза. Снижайте их постепенно",IF(AND(IFERROR(VALUE(I91),0)=0,ISNUMBER(J91),OR(J91&lt;468,ABS(IFERROR(VALUE(LEFT(M91,FIND("-",M91)-1)),M91))*100&lt;46800)),"Проверьте цену товара. Большинство товаров в выбранной категории стоят дороже 468","")))))),"")</f>
      </c>
    </row>
    <row r="92">
      <c r="A92" s="2" t="inlineStr">
        <is>
          <t>Veloria</t>
        </is>
      </c>
      <c r="B92" s="2" t="inlineStr">
        <is>
          <t>Скатерти</t>
        </is>
      </c>
      <c r="C92" s="2">
        <v>727195898</v>
      </c>
      <c r="D92" s="2" t="inlineStr">
        <is>
          <t>420320</t>
        </is>
      </c>
      <c r="E92" s="2" t="inlineStr">
        <is>
          <t>2414433058947</t>
        </is>
      </c>
      <c r="F92" s="2">
        <v>3</v>
      </c>
      <c r="G92" s="2">
        <v>0</v>
      </c>
      <c r="H92" s="2">
        <v>999</v>
      </c>
      <c r="I92" s="2" t="inlineStr">
        <is>
          <t>7309</t>
        </is>
      </c>
      <c r="J92" s="4"/>
      <c r="K92" s="2">
        <v>80</v>
      </c>
      <c r="L92" s="6"/>
      <c r="M92" s="2" t="str">
        <f>IF(J92="",ROUND(I92*(1-IF(ISBLANK(L92),K92,L92)/100),2),ROUND(J92*(1-IF(ISBLANK(L92),K92,L92)/100),2))</f>
      </c>
      <c r="N92" s="7" t="str">
        <f>IF(NOT(AND(J92="",L92="")),IF(OR(AND(L92&lt;&gt;"",NOT(ISNUMBER(L92))),IFERROR(MOD(L92,1),1)&gt;0,AND(ISNUMBER(L92),OR(L92&lt;0,L92&gt;95))),"Введите целое число от 0 до 95",IF(OR(AND(J92&lt;&gt;"",NOT(ISNUMBER(J92))),IFERROR(MOD(J92,1),1)&gt;0,AND(ISNUMBER(J92),OR(J92&lt;50,J92&gt;20000000))),"Введите целое число от 50 до 20000000",IF(NOT(ABS(IFERROR(VALUE(LEFT(M92,FIND("-",M92)-1)),M92)*100-(2500+2000000000)/2)&lt;=ABS(2500-2000000000)/2),"Цена со скидкой должна быть от 25 до 20000000",IF(AND(IFERROR(VALUE(LEFT(M92,FIND("-",M92)-1)),M92)*150&lt;=146179,IFERROR(VALUE(LEFT(M92,FIND("-",M92)-1)),M92)*200&gt;146179),"Вы уменьшили цену в несколько раз, товар попадет в карантин цен",IF(IFERROR(VALUE(LEFT(M92,FIND("-",M92)-1)),M92)*200&lt;=146179,"Не сохранили изменения, чтобы защитить от ошибки — новые цены меньше текущих более чем в 2 раза. Снижайте их постепенно",IF(AND(IFERROR(VALUE(I92),0)=0,ISNUMBER(J92),OR(J92&lt;385,ABS(IFERROR(VALUE(LEFT(M92,FIND("-",M92)-1)),M92))*100&lt;38500)),"Проверьте цену товара. Большинство товаров в выбранной категории стоят дороже 385","")))))),"")</f>
      </c>
    </row>
    <row r="93">
      <c r="A93" s="2" t="inlineStr">
        <is>
          <t/>
        </is>
      </c>
      <c r="B93" s="2" t="inlineStr">
        <is>
          <t>Шторы для ванной</t>
        </is>
      </c>
      <c r="C93" s="2">
        <v>903254948</v>
      </c>
      <c r="D93" s="2" t="inlineStr">
        <is>
          <t>420659</t>
        </is>
      </c>
      <c r="E93" s="2" t="inlineStr">
        <is>
          <t>4670294458595</t>
        </is>
      </c>
      <c r="F93" s="2">
        <v>9</v>
      </c>
      <c r="G93" s="2">
        <v>71</v>
      </c>
      <c r="H93" s="2">
        <v>999</v>
      </c>
      <c r="I93" s="2" t="inlineStr">
        <is>
          <t>4486</t>
        </is>
      </c>
      <c r="J93" s="4"/>
      <c r="K93" s="2">
        <v>80</v>
      </c>
      <c r="L93" s="6"/>
      <c r="M93" s="2" t="str">
        <f>IF(J93="",ROUND(I93*(1-IF(ISBLANK(L93),K93,L93)/100),2),ROUND(J93*(1-IF(ISBLANK(L93),K93,L93)/100),2))</f>
      </c>
      <c r="N93" s="7" t="str">
        <f>IF(NOT(AND(J93="",L93="")),IF(OR(AND(L93&lt;&gt;"",NOT(ISNUMBER(L93))),IFERROR(MOD(L93,1),1)&gt;0,AND(ISNUMBER(L93),OR(L93&lt;0,L93&gt;95))),"Введите целое число от 0 до 95",IF(OR(AND(J93&lt;&gt;"",NOT(ISNUMBER(J93))),IFERROR(MOD(J93,1),1)&gt;0,AND(ISNUMBER(J93),OR(J93&lt;50,J93&gt;20000000))),"Введите целое число от 50 до 20000000",IF(NOT(ABS(IFERROR(VALUE(LEFT(M93,FIND("-",M93)-1)),M93)*100-(2500+2000000000)/2)&lt;=ABS(2500-2000000000)/2),"Цена со скидкой должна быть от 25 до 20000000",IF(AND(IFERROR(VALUE(LEFT(M93,FIND("-",M93)-1)),M93)*150&lt;=89719,IFERROR(VALUE(LEFT(M93,FIND("-",M93)-1)),M93)*200&gt;89719),"Вы уменьшили цену в несколько раз, товар попадет в карантин цен",IF(IFERROR(VALUE(LEFT(M93,FIND("-",M93)-1)),M93)*200&lt;=89719,"Не сохранили изменения, чтобы защитить от ошибки — новые цены меньше текущих более чем в 2 раза. Снижайте их постепенно",IF(AND(IFERROR(VALUE(I93),0)=0,ISNUMBER(J93),OR(J93&lt;491,ABS(IFERROR(VALUE(LEFT(M93,FIND("-",M93)-1)),M93))*100&lt;49100)),"Проверьте цену товара. Большинство товаров в выбранной категории стоят дороже 491","")))))),"")</f>
      </c>
    </row>
    <row r="94">
      <c r="A94" s="2" t="inlineStr">
        <is>
          <t/>
        </is>
      </c>
      <c r="B94" s="2" t="inlineStr">
        <is>
          <t>Шторы для ванной</t>
        </is>
      </c>
      <c r="C94" s="2">
        <v>903254954</v>
      </c>
      <c r="D94" s="2" t="inlineStr">
        <is>
          <t>420642</t>
        </is>
      </c>
      <c r="E94" s="2" t="inlineStr">
        <is>
          <t>4670294458427</t>
        </is>
      </c>
      <c r="F94" s="2">
        <v>9</v>
      </c>
      <c r="G94" s="2">
        <v>47</v>
      </c>
      <c r="H94" s="2">
        <v>999</v>
      </c>
      <c r="I94" s="2" t="inlineStr">
        <is>
          <t>3882</t>
        </is>
      </c>
      <c r="J94" s="4"/>
      <c r="K94" s="2">
        <v>80</v>
      </c>
      <c r="L94" s="6"/>
      <c r="M94" s="2" t="str">
        <f>IF(J94="",ROUND(I94*(1-IF(ISBLANK(L94),K94,L94)/100),2),ROUND(J94*(1-IF(ISBLANK(L94),K94,L94)/100),2))</f>
      </c>
      <c r="N94" s="7" t="str">
        <f>IF(NOT(AND(J94="",L94="")),IF(OR(AND(L94&lt;&gt;"",NOT(ISNUMBER(L94))),IFERROR(MOD(L94,1),1)&gt;0,AND(ISNUMBER(L94),OR(L94&lt;0,L94&gt;95))),"Введите целое число от 0 до 95",IF(OR(AND(J94&lt;&gt;"",NOT(ISNUMBER(J94))),IFERROR(MOD(J94,1),1)&gt;0,AND(ISNUMBER(J94),OR(J94&lt;50,J94&gt;20000000))),"Введите целое число от 50 до 20000000",IF(NOT(ABS(IFERROR(VALUE(LEFT(M94,FIND("-",M94)-1)),M94)*100-(2500+2000000000)/2)&lt;=ABS(2500-2000000000)/2),"Цена со скидкой должна быть от 25 до 20000000",IF(AND(IFERROR(VALUE(LEFT(M94,FIND("-",M94)-1)),M94)*150&lt;=77639,IFERROR(VALUE(LEFT(M94,FIND("-",M94)-1)),M94)*200&gt;77639),"Вы уменьшили цену в несколько раз, товар попадет в карантин цен",IF(IFERROR(VALUE(LEFT(M94,FIND("-",M94)-1)),M94)*200&lt;=77639,"Не сохранили изменения, чтобы защитить от ошибки — новые цены меньше текущих более чем в 2 раза. Снижайте их постепенно",IF(AND(IFERROR(VALUE(I94),0)=0,ISNUMBER(J94),OR(J94&lt;491,ABS(IFERROR(VALUE(LEFT(M94,FIND("-",M94)-1)),M94))*100&lt;49100)),"Проверьте цену товара. Большинство товаров в выбранной категории стоят дороже 491","")))))),"")</f>
      </c>
    </row>
    <row r="95">
      <c r="A95" s="2" t="inlineStr">
        <is>
          <t/>
        </is>
      </c>
      <c r="B95" s="2" t="inlineStr">
        <is>
          <t>Шторы для ванной</t>
        </is>
      </c>
      <c r="C95" s="2">
        <v>903254958</v>
      </c>
      <c r="D95" s="2" t="inlineStr">
        <is>
          <t>420648</t>
        </is>
      </c>
      <c r="E95" s="2" t="inlineStr">
        <is>
          <t>4670294458489</t>
        </is>
      </c>
      <c r="F95" s="2">
        <v>9</v>
      </c>
      <c r="G95" s="2">
        <v>27</v>
      </c>
      <c r="H95" s="2">
        <v>999</v>
      </c>
      <c r="I95" s="2" t="inlineStr">
        <is>
          <t>3882</t>
        </is>
      </c>
      <c r="J95" s="4"/>
      <c r="K95" s="2">
        <v>80</v>
      </c>
      <c r="L95" s="6"/>
      <c r="M95" s="2" t="str">
        <f>IF(J95="",ROUND(I95*(1-IF(ISBLANK(L95),K95,L95)/100),2),ROUND(J95*(1-IF(ISBLANK(L95),K95,L95)/100),2))</f>
      </c>
      <c r="N95" s="7" t="str">
        <f>IF(NOT(AND(J95="",L95="")),IF(OR(AND(L95&lt;&gt;"",NOT(ISNUMBER(L95))),IFERROR(MOD(L95,1),1)&gt;0,AND(ISNUMBER(L95),OR(L95&lt;0,L95&gt;95))),"Введите целое число от 0 до 95",IF(OR(AND(J95&lt;&gt;"",NOT(ISNUMBER(J95))),IFERROR(MOD(J95,1),1)&gt;0,AND(ISNUMBER(J95),OR(J95&lt;50,J95&gt;20000000))),"Введите целое число от 50 до 20000000",IF(NOT(ABS(IFERROR(VALUE(LEFT(M95,FIND("-",M95)-1)),M95)*100-(2500+2000000000)/2)&lt;=ABS(2500-2000000000)/2),"Цена со скидкой должна быть от 25 до 20000000",IF(AND(IFERROR(VALUE(LEFT(M95,FIND("-",M95)-1)),M95)*150&lt;=77639,IFERROR(VALUE(LEFT(M95,FIND("-",M95)-1)),M95)*200&gt;77639),"Вы уменьшили цену в несколько раз, товар попадет в карантин цен",IF(IFERROR(VALUE(LEFT(M95,FIND("-",M95)-1)),M95)*200&lt;=77639,"Не сохранили изменения, чтобы защитить от ошибки — новые цены меньше текущих более чем в 2 раза. Снижайте их постепенно",IF(AND(IFERROR(VALUE(I95),0)=0,ISNUMBER(J95),OR(J95&lt;491,ABS(IFERROR(VALUE(LEFT(M95,FIND("-",M95)-1)),M95))*100&lt;49100)),"Проверьте цену товара. Большинство товаров в выбранной категории стоят дороже 491","")))))),"")</f>
      </c>
    </row>
    <row r="96">
      <c r="A96" s="2" t="inlineStr">
        <is>
          <t/>
        </is>
      </c>
      <c r="B96" s="2" t="inlineStr">
        <is>
          <t>Шторы для ванной</t>
        </is>
      </c>
      <c r="C96" s="2">
        <v>903254949</v>
      </c>
      <c r="D96" s="2" t="inlineStr">
        <is>
          <t>420657</t>
        </is>
      </c>
      <c r="E96" s="2" t="inlineStr">
        <is>
          <t>4670294458571</t>
        </is>
      </c>
      <c r="F96" s="2">
        <v>9</v>
      </c>
      <c r="G96" s="2">
        <v>67</v>
      </c>
      <c r="H96" s="2">
        <v>999</v>
      </c>
      <c r="I96" s="2" t="inlineStr">
        <is>
          <t>4486</t>
        </is>
      </c>
      <c r="J96" s="4"/>
      <c r="K96" s="2">
        <v>80</v>
      </c>
      <c r="L96" s="6"/>
      <c r="M96" s="2" t="str">
        <f>IF(J96="",ROUND(I96*(1-IF(ISBLANK(L96),K96,L96)/100),2),ROUND(J96*(1-IF(ISBLANK(L96),K96,L96)/100),2))</f>
      </c>
      <c r="N96" s="7" t="str">
        <f>IF(NOT(AND(J96="",L96="")),IF(OR(AND(L96&lt;&gt;"",NOT(ISNUMBER(L96))),IFERROR(MOD(L96,1),1)&gt;0,AND(ISNUMBER(L96),OR(L96&lt;0,L96&gt;95))),"Введите целое число от 0 до 95",IF(OR(AND(J96&lt;&gt;"",NOT(ISNUMBER(J96))),IFERROR(MOD(J96,1),1)&gt;0,AND(ISNUMBER(J96),OR(J96&lt;50,J96&gt;20000000))),"Введите целое число от 50 до 20000000",IF(NOT(ABS(IFERROR(VALUE(LEFT(M96,FIND("-",M96)-1)),M96)*100-(2500+2000000000)/2)&lt;=ABS(2500-2000000000)/2),"Цена со скидкой должна быть от 25 до 20000000",IF(AND(IFERROR(VALUE(LEFT(M96,FIND("-",M96)-1)),M96)*150&lt;=89719,IFERROR(VALUE(LEFT(M96,FIND("-",M96)-1)),M96)*200&gt;89719),"Вы уменьшили цену в несколько раз, товар попадет в карантин цен",IF(IFERROR(VALUE(LEFT(M96,FIND("-",M96)-1)),M96)*200&lt;=89719,"Не сохранили изменения, чтобы защитить от ошибки — новые цены меньше текущих более чем в 2 раза. Снижайте их постепенно",IF(AND(IFERROR(VALUE(I96),0)=0,ISNUMBER(J96),OR(J96&lt;491,ABS(IFERROR(VALUE(LEFT(M96,FIND("-",M96)-1)),M96))*100&lt;49100)),"Проверьте цену товара. Большинство товаров в выбранной категории стоят дороже 491","")))))),"")</f>
      </c>
    </row>
    <row r="97">
      <c r="A97" s="2" t="inlineStr">
        <is>
          <t>Veloria</t>
        </is>
      </c>
      <c r="B97" s="2" t="inlineStr">
        <is>
          <t>Коврики в кухонные ящики</t>
        </is>
      </c>
      <c r="C97" s="2">
        <v>648142064</v>
      </c>
      <c r="D97" s="2" t="inlineStr">
        <is>
          <t>522958</t>
        </is>
      </c>
      <c r="E97" s="2" t="inlineStr">
        <is>
          <t>2047477059726</t>
        </is>
      </c>
      <c r="F97" s="2">
        <v>0</v>
      </c>
      <c r="G97" s="2">
        <v>0</v>
      </c>
      <c r="H97" s="2" t="inlineStr">
        <is>
          <t/>
        </is>
      </c>
      <c r="I97" s="2" t="inlineStr">
        <is>
          <t>8624</t>
        </is>
      </c>
      <c r="J97" s="4"/>
      <c r="K97" s="2">
        <v>65</v>
      </c>
      <c r="L97" s="6"/>
      <c r="M97" s="2" t="str">
        <f>IF(J97="",ROUND(I97*(1-IF(ISBLANK(L97),K97,L97)/100),2),ROUND(J97*(1-IF(ISBLANK(L97),K97,L97)/100),2))</f>
      </c>
      <c r="N97" s="7" t="str">
        <f>IF(NOT(AND(J97="",L97="")),IF(OR(AND(L97&lt;&gt;"",NOT(ISNUMBER(L97))),IFERROR(MOD(L97,1),1)&gt;0,AND(ISNUMBER(L97),OR(L97&lt;0,L97&gt;95))),"Введите целое число от 0 до 95",IF(OR(AND(J97&lt;&gt;"",NOT(ISNUMBER(J97))),IFERROR(MOD(J97,1),1)&gt;0,AND(ISNUMBER(J97),OR(J97&lt;50,J97&gt;20000000))),"Введите целое число от 50 до 20000000",IF(NOT(ABS(IFERROR(VALUE(LEFT(M97,FIND("-",M97)-1)),M97)*100-(2500+2000000000)/2)&lt;=ABS(2500-2000000000)/2),"Цена со скидкой должна быть от 25 до 20000000",IF(AND(IFERROR(VALUE(LEFT(M97,FIND("-",M97)-1)),M97)*150&lt;=301839,IFERROR(VALUE(LEFT(M97,FIND("-",M97)-1)),M97)*200&gt;301839),"Вы уменьшили цену в несколько раз, товар попадет в карантин цен",IF(IFERROR(VALUE(LEFT(M97,FIND("-",M97)-1)),M97)*200&lt;=301839,"Не сохранили изменения, чтобы защитить от ошибки — новые цены меньше текущих более чем в 2 раза. Снижайте их постепенно",IF(AND(IFERROR(VALUE(I97),0)=0,ISNUMBER(J97),OR(J97&lt;255,ABS(IFERROR(VALUE(LEFT(M97,FIND("-",M97)-1)),M97))*100&lt;25500)),"Проверьте цену товара. Большинство товаров в выбранной категории стоят дороже 255","")))))),"")</f>
      </c>
    </row>
    <row r="98">
      <c r="A98" s="2" t="inlineStr">
        <is>
          <t/>
        </is>
      </c>
      <c r="B98" s="2" t="inlineStr">
        <is>
          <t>Шторы для ванной</t>
        </is>
      </c>
      <c r="C98" s="2">
        <v>903254946</v>
      </c>
      <c r="D98" s="2" t="inlineStr">
        <is>
          <t>420658</t>
        </is>
      </c>
      <c r="E98" s="2" t="inlineStr">
        <is>
          <t>4670294458588</t>
        </is>
      </c>
      <c r="F98" s="2">
        <v>9</v>
      </c>
      <c r="G98" s="2">
        <v>67</v>
      </c>
      <c r="H98" s="2">
        <v>999</v>
      </c>
      <c r="I98" s="2" t="inlineStr">
        <is>
          <t>4486</t>
        </is>
      </c>
      <c r="J98" s="4"/>
      <c r="K98" s="2">
        <v>80</v>
      </c>
      <c r="L98" s="6"/>
      <c r="M98" s="2" t="str">
        <f>IF(J98="",ROUND(I98*(1-IF(ISBLANK(L98),K98,L98)/100),2),ROUND(J98*(1-IF(ISBLANK(L98),K98,L98)/100),2))</f>
      </c>
      <c r="N98" s="7" t="str">
        <f>IF(NOT(AND(J98="",L98="")),IF(OR(AND(L98&lt;&gt;"",NOT(ISNUMBER(L98))),IFERROR(MOD(L98,1),1)&gt;0,AND(ISNUMBER(L98),OR(L98&lt;0,L98&gt;95))),"Введите целое число от 0 до 95",IF(OR(AND(J98&lt;&gt;"",NOT(ISNUMBER(J98))),IFERROR(MOD(J98,1),1)&gt;0,AND(ISNUMBER(J98),OR(J98&lt;50,J98&gt;20000000))),"Введите целое число от 50 до 20000000",IF(NOT(ABS(IFERROR(VALUE(LEFT(M98,FIND("-",M98)-1)),M98)*100-(2500+2000000000)/2)&lt;=ABS(2500-2000000000)/2),"Цена со скидкой должна быть от 25 до 20000000",IF(AND(IFERROR(VALUE(LEFT(M98,FIND("-",M98)-1)),M98)*150&lt;=89719,IFERROR(VALUE(LEFT(M98,FIND("-",M98)-1)),M98)*200&gt;89719),"Вы уменьшили цену в несколько раз, товар попадет в карантин цен",IF(IFERROR(VALUE(LEFT(M98,FIND("-",M98)-1)),M98)*200&lt;=89719,"Не сохранили изменения, чтобы защитить от ошибки — новые цены меньше текущих более чем в 2 раза. Снижайте их постепенно",IF(AND(IFERROR(VALUE(I98),0)=0,ISNUMBER(J98),OR(J98&lt;491,ABS(IFERROR(VALUE(LEFT(M98,FIND("-",M98)-1)),M98))*100&lt;49100)),"Проверьте цену товара. Большинство товаров в выбранной категории стоят дороже 491","")))))),"")</f>
      </c>
    </row>
    <row r="99">
      <c r="A99" s="2" t="inlineStr">
        <is>
          <t/>
        </is>
      </c>
      <c r="B99" s="2" t="inlineStr">
        <is>
          <t>Шторы для ванной</t>
        </is>
      </c>
      <c r="C99" s="2">
        <v>619534040</v>
      </c>
      <c r="D99" s="2" t="inlineStr">
        <is>
          <t>420532</t>
        </is>
      </c>
      <c r="E99" s="2" t="inlineStr">
        <is>
          <t>2047325545104</t>
        </is>
      </c>
      <c r="F99" s="2">
        <v>14</v>
      </c>
      <c r="G99" s="2">
        <v>0</v>
      </c>
      <c r="H99" s="2">
        <v>999</v>
      </c>
      <c r="I99" s="2" t="inlineStr">
        <is>
          <t>4332</t>
        </is>
      </c>
      <c r="J99" s="4"/>
      <c r="K99" s="2">
        <v>83</v>
      </c>
      <c r="L99" s="6"/>
      <c r="M99" s="2" t="str">
        <f>IF(J99="",ROUND(I99*(1-IF(ISBLANK(L99),K99,L99)/100),2),ROUND(J99*(1-IF(ISBLANK(L99),K99,L99)/100),2))</f>
      </c>
      <c r="N99" s="7" t="str">
        <f>IF(NOT(AND(J99="",L99="")),IF(OR(AND(L99&lt;&gt;"",NOT(ISNUMBER(L99))),IFERROR(MOD(L99,1),1)&gt;0,AND(ISNUMBER(L99),OR(L99&lt;0,L99&gt;95))),"Введите целое число от 0 до 95",IF(OR(AND(J99&lt;&gt;"",NOT(ISNUMBER(J99))),IFERROR(MOD(J99,1),1)&gt;0,AND(ISNUMBER(J99),OR(J99&lt;50,J99&gt;20000000))),"Введите целое число от 50 до 20000000",IF(NOT(ABS(IFERROR(VALUE(LEFT(M99,FIND("-",M99)-1)),M99)*100-(2500+2000000000)/2)&lt;=ABS(2500-2000000000)/2),"Цена со скидкой должна быть от 25 до 20000000",IF(AND(IFERROR(VALUE(LEFT(M99,FIND("-",M99)-1)),M99)*150&lt;=73644,IFERROR(VALUE(LEFT(M99,FIND("-",M99)-1)),M99)*200&gt;73644),"Вы уменьшили цену в несколько раз, товар попадет в карантин цен",IF(IFERROR(VALUE(LEFT(M99,FIND("-",M99)-1)),M99)*200&lt;=73644,"Не сохранили изменения, чтобы защитить от ошибки — новые цены меньше текущих более чем в 2 раза. Снижайте их постепенно",IF(AND(IFERROR(VALUE(I99),0)=0,ISNUMBER(J99),OR(J99&lt;491,ABS(IFERROR(VALUE(LEFT(M99,FIND("-",M99)-1)),M99))*100&lt;49100)),"Проверьте цену товара. Большинство товаров в выбранной категории стоят дороже 491","")))))),"")</f>
      </c>
    </row>
    <row r="100">
      <c r="A100" s="2" t="inlineStr">
        <is>
          <t>Veloria</t>
        </is>
      </c>
      <c r="B100" s="2" t="inlineStr">
        <is>
          <t>Вешалки-плечики</t>
        </is>
      </c>
      <c r="C100" s="2">
        <v>243002016</v>
      </c>
      <c r="D100" s="2" t="inlineStr">
        <is>
          <t>456978</t>
        </is>
      </c>
      <c r="E100" s="2" t="inlineStr">
        <is>
          <t>2040618026281</t>
        </is>
      </c>
      <c r="F100" s="2">
        <v>0</v>
      </c>
      <c r="G100" s="2">
        <v>0</v>
      </c>
      <c r="H100" s="2">
        <v>1</v>
      </c>
      <c r="I100" s="2" t="inlineStr">
        <is>
          <t>4281</t>
        </is>
      </c>
      <c r="J100" s="4"/>
      <c r="K100" s="2">
        <v>65</v>
      </c>
      <c r="L100" s="6"/>
      <c r="M100" s="2" t="str">
        <f>IF(J100="",ROUND(I100*(1-IF(ISBLANK(L100),K100,L100)/100),2),ROUND(J100*(1-IF(ISBLANK(L100),K100,L100)/100),2))</f>
      </c>
      <c r="N100" s="7" t="str">
        <f>IF(NOT(AND(J100="",L100="")),IF(OR(AND(L100&lt;&gt;"",NOT(ISNUMBER(L100))),IFERROR(MOD(L100,1),1)&gt;0,AND(ISNUMBER(L100),OR(L100&lt;0,L100&gt;95))),"Введите целое число от 0 до 95",IF(OR(AND(J100&lt;&gt;"",NOT(ISNUMBER(J100))),IFERROR(MOD(J100,1),1)&gt;0,AND(ISNUMBER(J100),OR(J100&lt;50,J100&gt;20000000))),"Введите целое число от 50 до 20000000",IF(NOT(ABS(IFERROR(VALUE(LEFT(M100,FIND("-",M100)-1)),M100)*100-(2500+2000000000)/2)&lt;=ABS(2500-2000000000)/2),"Цена со скидкой должна быть от 25 до 20000000",IF(AND(IFERROR(VALUE(LEFT(M100,FIND("-",M100)-1)),M100)*150&lt;=149835,IFERROR(VALUE(LEFT(M100,FIND("-",M100)-1)),M100)*200&gt;149835),"Вы уменьшили цену в несколько раз, товар попадет в карантин цен",IF(IFERROR(VALUE(LEFT(M100,FIND("-",M100)-1)),M100)*200&lt;=149835,"Не сохранили изменения, чтобы защитить от ошибки — новые цены меньше текущих более чем в 2 раза. Снижайте их постепенно",IF(AND(IFERROR(VALUE(I100),0)=0,ISNUMBER(J100),OR(J100&lt;260,ABS(IFERROR(VALUE(LEFT(M100,FIND("-",M100)-1)),M100))*100&lt;26000)),"Проверьте цену товара. Большинство товаров в выбранной категории стоят дороже 260","")))))),"")</f>
      </c>
    </row>
    <row r="101">
      <c r="A101" s="2" t="inlineStr">
        <is>
          <t/>
        </is>
      </c>
      <c r="B101" s="2" t="inlineStr">
        <is>
          <t>Шторы для ванной</t>
        </is>
      </c>
      <c r="C101" s="2">
        <v>619534029</v>
      </c>
      <c r="D101" s="2" t="inlineStr">
        <is>
          <t>420622</t>
        </is>
      </c>
      <c r="E101" s="2" t="inlineStr">
        <is>
          <t>2047325544374</t>
        </is>
      </c>
      <c r="F101" s="2">
        <v>0</v>
      </c>
      <c r="G101" s="2">
        <v>0</v>
      </c>
      <c r="H101" s="2" t="inlineStr">
        <is>
          <t/>
        </is>
      </c>
      <c r="I101" s="2" t="inlineStr">
        <is>
          <t>7379</t>
        </is>
      </c>
      <c r="J101" s="4"/>
      <c r="K101" s="2">
        <v>69</v>
      </c>
      <c r="L101" s="6"/>
      <c r="M101" s="2" t="str">
        <f>IF(J101="",ROUND(I101*(1-IF(ISBLANK(L101),K101,L101)/100),2),ROUND(J101*(1-IF(ISBLANK(L101),K101,L101)/100),2))</f>
      </c>
      <c r="N101" s="7" t="str">
        <f>IF(NOT(AND(J101="",L101="")),IF(OR(AND(L101&lt;&gt;"",NOT(ISNUMBER(L101))),IFERROR(MOD(L101,1),1)&gt;0,AND(ISNUMBER(L101),OR(L101&lt;0,L101&gt;95))),"Введите целое число от 0 до 95",IF(OR(AND(J101&lt;&gt;"",NOT(ISNUMBER(J101))),IFERROR(MOD(J101,1),1)&gt;0,AND(ISNUMBER(J101),OR(J101&lt;50,J101&gt;20000000))),"Введите целое число от 50 до 20000000",IF(NOT(ABS(IFERROR(VALUE(LEFT(M101,FIND("-",M101)-1)),M101)*100-(2500+2000000000)/2)&lt;=ABS(2500-2000000000)/2),"Цена со скидкой должна быть от 25 до 20000000",IF(AND(IFERROR(VALUE(LEFT(M101,FIND("-",M101)-1)),M101)*150&lt;=228749,IFERROR(VALUE(LEFT(M101,FIND("-",M101)-1)),M101)*200&gt;228749),"Вы уменьшили цену в несколько раз, товар попадет в карантин цен",IF(IFERROR(VALUE(LEFT(M101,FIND("-",M101)-1)),M101)*200&lt;=228749,"Не сохранили изменения, чтобы защитить от ошибки — новые цены меньше текущих более чем в 2 раза. Снижайте их постепенно",IF(AND(IFERROR(VALUE(I101),0)=0,ISNUMBER(J101),OR(J101&lt;491,ABS(IFERROR(VALUE(LEFT(M101,FIND("-",M101)-1)),M101))*100&lt;49100)),"Проверьте цену товара. Большинство товаров в выбранной категории стоят дороже 491","")))))),"")</f>
      </c>
    </row>
    <row r="102">
      <c r="A102" s="2" t="inlineStr">
        <is>
          <t/>
        </is>
      </c>
      <c r="B102" s="2" t="inlineStr">
        <is>
          <t>Шторы для ванной</t>
        </is>
      </c>
      <c r="C102" s="2">
        <v>903254957</v>
      </c>
      <c r="D102" s="2" t="inlineStr">
        <is>
          <t>420649</t>
        </is>
      </c>
      <c r="E102" s="2" t="inlineStr">
        <is>
          <t>4670294458496</t>
        </is>
      </c>
      <c r="F102" s="2">
        <v>9</v>
      </c>
      <c r="G102" s="2">
        <v>47</v>
      </c>
      <c r="H102" s="2">
        <v>999</v>
      </c>
      <c r="I102" s="2" t="inlineStr">
        <is>
          <t>3882</t>
        </is>
      </c>
      <c r="J102" s="4"/>
      <c r="K102" s="2">
        <v>80</v>
      </c>
      <c r="L102" s="6"/>
      <c r="M102" s="2" t="str">
        <f>IF(J102="",ROUND(I102*(1-IF(ISBLANK(L102),K102,L102)/100),2),ROUND(J102*(1-IF(ISBLANK(L102),K102,L102)/100),2))</f>
      </c>
      <c r="N102" s="7" t="str">
        <f>IF(NOT(AND(J102="",L102="")),IF(OR(AND(L102&lt;&gt;"",NOT(ISNUMBER(L102))),IFERROR(MOD(L102,1),1)&gt;0,AND(ISNUMBER(L102),OR(L102&lt;0,L102&gt;95))),"Введите целое число от 0 до 95",IF(OR(AND(J102&lt;&gt;"",NOT(ISNUMBER(J102))),IFERROR(MOD(J102,1),1)&gt;0,AND(ISNUMBER(J102),OR(J102&lt;50,J102&gt;20000000))),"Введите целое число от 50 до 20000000",IF(NOT(ABS(IFERROR(VALUE(LEFT(M102,FIND("-",M102)-1)),M102)*100-(2500+2000000000)/2)&lt;=ABS(2500-2000000000)/2),"Цена со скидкой должна быть от 25 до 20000000",IF(AND(IFERROR(VALUE(LEFT(M102,FIND("-",M102)-1)),M102)*150&lt;=77639,IFERROR(VALUE(LEFT(M102,FIND("-",M102)-1)),M102)*200&gt;77639),"Вы уменьшили цену в несколько раз, товар попадет в карантин цен",IF(IFERROR(VALUE(LEFT(M102,FIND("-",M102)-1)),M102)*200&lt;=77639,"Не сохранили изменения, чтобы защитить от ошибки — новые цены меньше текущих более чем в 2 раза. Снижайте их постепенно",IF(AND(IFERROR(VALUE(I102),0)=0,ISNUMBER(J102),OR(J102&lt;491,ABS(IFERROR(VALUE(LEFT(M102,FIND("-",M102)-1)),M102))*100&lt;49100)),"Проверьте цену товара. Большинство товаров в выбранной категории стоят дороже 491","")))))),"")</f>
      </c>
    </row>
    <row r="103">
      <c r="A103" s="2" t="inlineStr">
        <is>
          <t/>
        </is>
      </c>
      <c r="B103" s="2" t="inlineStr">
        <is>
          <t>Шторы для ванной</t>
        </is>
      </c>
      <c r="C103" s="2">
        <v>903254959</v>
      </c>
      <c r="D103" s="2" t="inlineStr">
        <is>
          <t>420647</t>
        </is>
      </c>
      <c r="E103" s="2" t="inlineStr">
        <is>
          <t>4670294458472</t>
        </is>
      </c>
      <c r="F103" s="2">
        <v>9</v>
      </c>
      <c r="G103" s="2">
        <v>43</v>
      </c>
      <c r="H103" s="2">
        <v>999</v>
      </c>
      <c r="I103" s="2" t="inlineStr">
        <is>
          <t>3882</t>
        </is>
      </c>
      <c r="J103" s="4"/>
      <c r="K103" s="2">
        <v>80</v>
      </c>
      <c r="L103" s="6"/>
      <c r="M103" s="2" t="str">
        <f>IF(J103="",ROUND(I103*(1-IF(ISBLANK(L103),K103,L103)/100),2),ROUND(J103*(1-IF(ISBLANK(L103),K103,L103)/100),2))</f>
      </c>
      <c r="N103" s="7" t="str">
        <f>IF(NOT(AND(J103="",L103="")),IF(OR(AND(L103&lt;&gt;"",NOT(ISNUMBER(L103))),IFERROR(MOD(L103,1),1)&gt;0,AND(ISNUMBER(L103),OR(L103&lt;0,L103&gt;95))),"Введите целое число от 0 до 95",IF(OR(AND(J103&lt;&gt;"",NOT(ISNUMBER(J103))),IFERROR(MOD(J103,1),1)&gt;0,AND(ISNUMBER(J103),OR(J103&lt;50,J103&gt;20000000))),"Введите целое число от 50 до 20000000",IF(NOT(ABS(IFERROR(VALUE(LEFT(M103,FIND("-",M103)-1)),M103)*100-(2500+2000000000)/2)&lt;=ABS(2500-2000000000)/2),"Цена со скидкой должна быть от 25 до 20000000",IF(AND(IFERROR(VALUE(LEFT(M103,FIND("-",M103)-1)),M103)*150&lt;=77639,IFERROR(VALUE(LEFT(M103,FIND("-",M103)-1)),M103)*200&gt;77639),"Вы уменьшили цену в несколько раз, товар попадет в карантин цен",IF(IFERROR(VALUE(LEFT(M103,FIND("-",M103)-1)),M103)*200&lt;=77639,"Не сохранили изменения, чтобы защитить от ошибки — новые цены меньше текущих более чем в 2 раза. Снижайте их постепенно",IF(AND(IFERROR(VALUE(I103),0)=0,ISNUMBER(J103),OR(J103&lt;491,ABS(IFERROR(VALUE(LEFT(M103,FIND("-",M103)-1)),M103))*100&lt;49100)),"Проверьте цену товара. Большинство товаров в выбранной категории стоят дороже 491","")))))),"")</f>
      </c>
    </row>
    <row r="104">
      <c r="A104" s="2" t="inlineStr">
        <is>
          <t/>
        </is>
      </c>
      <c r="B104" s="2" t="inlineStr">
        <is>
          <t>Шторы для ванной</t>
        </is>
      </c>
      <c r="C104" s="2">
        <v>619534035</v>
      </c>
      <c r="D104" s="2" t="inlineStr">
        <is>
          <t>490022</t>
        </is>
      </c>
      <c r="E104" s="2" t="inlineStr">
        <is>
          <t>2047325544787</t>
        </is>
      </c>
      <c r="F104" s="2">
        <v>0</v>
      </c>
      <c r="G104" s="2">
        <v>3</v>
      </c>
      <c r="H104" s="2" t="inlineStr">
        <is>
          <t/>
        </is>
      </c>
      <c r="I104" s="2" t="inlineStr">
        <is>
          <t>8604</t>
        </is>
      </c>
      <c r="J104" s="4"/>
      <c r="K104" s="2">
        <v>76</v>
      </c>
      <c r="L104" s="6"/>
      <c r="M104" s="2" t="str">
        <f>IF(J104="",ROUND(I104*(1-IF(ISBLANK(L104),K104,L104)/100),2),ROUND(J104*(1-IF(ISBLANK(L104),K104,L104)/100),2))</f>
      </c>
      <c r="N104" s="7" t="str">
        <f>IF(NOT(AND(J104="",L104="")),IF(OR(AND(L104&lt;&gt;"",NOT(ISNUMBER(L104))),IFERROR(MOD(L104,1),1)&gt;0,AND(ISNUMBER(L104),OR(L104&lt;0,L104&gt;95))),"Введите целое число от 0 до 95",IF(OR(AND(J104&lt;&gt;"",NOT(ISNUMBER(J104))),IFERROR(MOD(J104,1),1)&gt;0,AND(ISNUMBER(J104),OR(J104&lt;50,J104&gt;20000000))),"Введите целое число от 50 до 20000000",IF(NOT(ABS(IFERROR(VALUE(LEFT(M104,FIND("-",M104)-1)),M104)*100-(2500+2000000000)/2)&lt;=ABS(2500-2000000000)/2),"Цена со скидкой должна быть от 25 до 20000000",IF(AND(IFERROR(VALUE(LEFT(M104,FIND("-",M104)-1)),M104)*150&lt;=206496,IFERROR(VALUE(LEFT(M104,FIND("-",M104)-1)),M104)*200&gt;206496),"Вы уменьшили цену в несколько раз, товар попадет в карантин цен",IF(IFERROR(VALUE(LEFT(M104,FIND("-",M104)-1)),M104)*200&lt;=206496,"Не сохранили изменения, чтобы защитить от ошибки — новые цены меньше текущих более чем в 2 раза. Снижайте их постепенно",IF(AND(IFERROR(VALUE(I104),0)=0,ISNUMBER(J104),OR(J104&lt;491,ABS(IFERROR(VALUE(LEFT(M104,FIND("-",M104)-1)),M104))*100&lt;49100)),"Проверьте цену товара. Большинство товаров в выбранной категории стоят дороже 491","")))))),"")</f>
      </c>
    </row>
    <row r="105">
      <c r="A105" s="2" t="inlineStr">
        <is>
          <t/>
        </is>
      </c>
      <c r="B105" s="2" t="inlineStr">
        <is>
          <t>Шторы для ванной</t>
        </is>
      </c>
      <c r="C105" s="2">
        <v>903254950</v>
      </c>
      <c r="D105" s="2" t="inlineStr">
        <is>
          <t>420661</t>
        </is>
      </c>
      <c r="E105" s="2" t="inlineStr">
        <is>
          <t>4670294458618</t>
        </is>
      </c>
      <c r="F105" s="2">
        <v>9</v>
      </c>
      <c r="G105" s="2">
        <v>72</v>
      </c>
      <c r="H105" s="2">
        <v>999</v>
      </c>
      <c r="I105" s="2" t="inlineStr">
        <is>
          <t>4486</t>
        </is>
      </c>
      <c r="J105" s="4"/>
      <c r="K105" s="2">
        <v>80</v>
      </c>
      <c r="L105" s="6"/>
      <c r="M105" s="2" t="str">
        <f>IF(J105="",ROUND(I105*(1-IF(ISBLANK(L105),K105,L105)/100),2),ROUND(J105*(1-IF(ISBLANK(L105),K105,L105)/100),2))</f>
      </c>
      <c r="N105" s="7" t="str">
        <f>IF(NOT(AND(J105="",L105="")),IF(OR(AND(L105&lt;&gt;"",NOT(ISNUMBER(L105))),IFERROR(MOD(L105,1),1)&gt;0,AND(ISNUMBER(L105),OR(L105&lt;0,L105&gt;95))),"Введите целое число от 0 до 95",IF(OR(AND(J105&lt;&gt;"",NOT(ISNUMBER(J105))),IFERROR(MOD(J105,1),1)&gt;0,AND(ISNUMBER(J105),OR(J105&lt;50,J105&gt;20000000))),"Введите целое число от 50 до 20000000",IF(NOT(ABS(IFERROR(VALUE(LEFT(M105,FIND("-",M105)-1)),M105)*100-(2500+2000000000)/2)&lt;=ABS(2500-2000000000)/2),"Цена со скидкой должна быть от 25 до 20000000",IF(AND(IFERROR(VALUE(LEFT(M105,FIND("-",M105)-1)),M105)*150&lt;=89719,IFERROR(VALUE(LEFT(M105,FIND("-",M105)-1)),M105)*200&gt;89719),"Вы уменьшили цену в несколько раз, товар попадет в карантин цен",IF(IFERROR(VALUE(LEFT(M105,FIND("-",M105)-1)),M105)*200&lt;=89719,"Не сохранили изменения, чтобы защитить от ошибки — новые цены меньше текущих более чем в 2 раза. Снижайте их постепенно",IF(AND(IFERROR(VALUE(I105),0)=0,ISNUMBER(J105),OR(J105&lt;491,ABS(IFERROR(VALUE(LEFT(M105,FIND("-",M105)-1)),M105))*100&lt;49100)),"Проверьте цену товара. Большинство товаров в выбранной категории стоят дороже 491","")))))),"")</f>
      </c>
    </row>
    <row r="106">
      <c r="A106" s="2" t="inlineStr">
        <is>
          <t/>
        </is>
      </c>
      <c r="B106" s="2" t="inlineStr">
        <is>
          <t>Шторы для ванной</t>
        </is>
      </c>
      <c r="C106" s="2">
        <v>903254960</v>
      </c>
      <c r="D106" s="2" t="inlineStr">
        <is>
          <t>420650</t>
        </is>
      </c>
      <c r="E106" s="2" t="inlineStr">
        <is>
          <t>4670294458502</t>
        </is>
      </c>
      <c r="F106" s="2">
        <v>9</v>
      </c>
      <c r="G106" s="2">
        <v>48</v>
      </c>
      <c r="H106" s="2">
        <v>999</v>
      </c>
      <c r="I106" s="2" t="inlineStr">
        <is>
          <t>3882</t>
        </is>
      </c>
      <c r="J106" s="4"/>
      <c r="K106" s="2">
        <v>80</v>
      </c>
      <c r="L106" s="6"/>
      <c r="M106" s="2" t="str">
        <f>IF(J106="",ROUND(I106*(1-IF(ISBLANK(L106),K106,L106)/100),2),ROUND(J106*(1-IF(ISBLANK(L106),K106,L106)/100),2))</f>
      </c>
      <c r="N106" s="7" t="str">
        <f>IF(NOT(AND(J106="",L106="")),IF(OR(AND(L106&lt;&gt;"",NOT(ISNUMBER(L106))),IFERROR(MOD(L106,1),1)&gt;0,AND(ISNUMBER(L106),OR(L106&lt;0,L106&gt;95))),"Введите целое число от 0 до 95",IF(OR(AND(J106&lt;&gt;"",NOT(ISNUMBER(J106))),IFERROR(MOD(J106,1),1)&gt;0,AND(ISNUMBER(J106),OR(J106&lt;50,J106&gt;20000000))),"Введите целое число от 50 до 20000000",IF(NOT(ABS(IFERROR(VALUE(LEFT(M106,FIND("-",M106)-1)),M106)*100-(2500+2000000000)/2)&lt;=ABS(2500-2000000000)/2),"Цена со скидкой должна быть от 25 до 20000000",IF(AND(IFERROR(VALUE(LEFT(M106,FIND("-",M106)-1)),M106)*150&lt;=77639,IFERROR(VALUE(LEFT(M106,FIND("-",M106)-1)),M106)*200&gt;77639),"Вы уменьшили цену в несколько раз, товар попадет в карантин цен",IF(IFERROR(VALUE(LEFT(M106,FIND("-",M106)-1)),M106)*200&lt;=77639,"Не сохранили изменения, чтобы защитить от ошибки — новые цены меньше текущих более чем в 2 раза. Снижайте их постепенно",IF(AND(IFERROR(VALUE(I106),0)=0,ISNUMBER(J106),OR(J106&lt;491,ABS(IFERROR(VALUE(LEFT(M106,FIND("-",M106)-1)),M106))*100&lt;49100)),"Проверьте цену товара. Большинство товаров в выбранной категории стоят дороже 491","")))))),"")</f>
      </c>
    </row>
    <row r="107">
      <c r="A107" s="2" t="inlineStr">
        <is>
          <t>Luxaro</t>
        </is>
      </c>
      <c r="B107" s="2" t="inlineStr">
        <is>
          <t>Точилки для ножей</t>
        </is>
      </c>
      <c r="C107" s="2">
        <v>330528794</v>
      </c>
      <c r="D107" s="2" t="inlineStr">
        <is>
          <t>192503</t>
        </is>
      </c>
      <c r="E107" s="2" t="inlineStr">
        <is>
          <t>2042761903730</t>
        </is>
      </c>
      <c r="F107" s="2">
        <v>0</v>
      </c>
      <c r="G107" s="2">
        <v>0</v>
      </c>
      <c r="H107" s="2">
        <v>8</v>
      </c>
      <c r="I107" s="2" t="inlineStr">
        <is>
          <t>4850</t>
        </is>
      </c>
      <c r="J107" s="4"/>
      <c r="K107" s="2">
        <v>75</v>
      </c>
      <c r="L107" s="6"/>
      <c r="M107" s="2" t="str">
        <f>IF(J107="",ROUND(I107*(1-IF(ISBLANK(L107),K107,L107)/100),2),ROUND(J107*(1-IF(ISBLANK(L107),K107,L107)/100),2))</f>
      </c>
      <c r="N107" s="7" t="str">
        <f>IF(NOT(AND(J107="",L107="")),IF(OR(AND(L107&lt;&gt;"",NOT(ISNUMBER(L107))),IFERROR(MOD(L107,1),1)&gt;0,AND(ISNUMBER(L107),OR(L107&lt;0,L107&gt;95))),"Введите целое число от 0 до 95",IF(OR(AND(J107&lt;&gt;"",NOT(ISNUMBER(J107))),IFERROR(MOD(J107,1),1)&gt;0,AND(ISNUMBER(J107),OR(J107&lt;50,J107&gt;20000000))),"Введите целое число от 50 до 20000000",IF(NOT(ABS(IFERROR(VALUE(LEFT(M107,FIND("-",M107)-1)),M107)*100-(2500+2000000000)/2)&lt;=ABS(2500-2000000000)/2),"Цена со скидкой должна быть от 25 до 20000000",IF(AND(IFERROR(VALUE(LEFT(M107,FIND("-",M107)-1)),M107)*150&lt;=121250,IFERROR(VALUE(LEFT(M107,FIND("-",M107)-1)),M107)*200&gt;121250),"Вы уменьшили цену в несколько раз, товар попадет в карантин цен",IF(IFERROR(VALUE(LEFT(M107,FIND("-",M107)-1)),M107)*200&lt;=121250,"Не сохранили изменения, чтобы защитить от ошибки — новые цены меньше текущих более чем в 2 раза. Снижайте их постепенно",IF(AND(IFERROR(VALUE(I107),0)=0,ISNUMBER(J107),OR(J107&lt;268,ABS(IFERROR(VALUE(LEFT(M107,FIND("-",M107)-1)),M107))*100&lt;26800)),"Проверьте цену товара. Большинство товаров в выбранной категории стоят дороже 268","")))))),"")</f>
      </c>
    </row>
    <row r="108">
      <c r="A108" s="2" t="inlineStr">
        <is>
          <t/>
        </is>
      </c>
      <c r="B108" s="2" t="inlineStr">
        <is>
          <t>Шторы для ванной</t>
        </is>
      </c>
      <c r="C108" s="2">
        <v>903254952</v>
      </c>
      <c r="D108" s="2" t="inlineStr">
        <is>
          <t>420640</t>
        </is>
      </c>
      <c r="E108" s="2" t="inlineStr">
        <is>
          <t>4670294458403</t>
        </is>
      </c>
      <c r="F108" s="2">
        <v>9</v>
      </c>
      <c r="G108" s="2">
        <v>53</v>
      </c>
      <c r="H108" s="2">
        <v>999</v>
      </c>
      <c r="I108" s="2" t="inlineStr">
        <is>
          <t>3882</t>
        </is>
      </c>
      <c r="J108" s="4"/>
      <c r="K108" s="2">
        <v>80</v>
      </c>
      <c r="L108" s="6"/>
      <c r="M108" s="2" t="str">
        <f>IF(J108="",ROUND(I108*(1-IF(ISBLANK(L108),K108,L108)/100),2),ROUND(J108*(1-IF(ISBLANK(L108),K108,L108)/100),2))</f>
      </c>
      <c r="N108" s="7" t="str">
        <f>IF(NOT(AND(J108="",L108="")),IF(OR(AND(L108&lt;&gt;"",NOT(ISNUMBER(L108))),IFERROR(MOD(L108,1),1)&gt;0,AND(ISNUMBER(L108),OR(L108&lt;0,L108&gt;95))),"Введите целое число от 0 до 95",IF(OR(AND(J108&lt;&gt;"",NOT(ISNUMBER(J108))),IFERROR(MOD(J108,1),1)&gt;0,AND(ISNUMBER(J108),OR(J108&lt;50,J108&gt;20000000))),"Введите целое число от 50 до 20000000",IF(NOT(ABS(IFERROR(VALUE(LEFT(M108,FIND("-",M108)-1)),M108)*100-(2500+2000000000)/2)&lt;=ABS(2500-2000000000)/2),"Цена со скидкой должна быть от 25 до 20000000",IF(AND(IFERROR(VALUE(LEFT(M108,FIND("-",M108)-1)),M108)*150&lt;=77639,IFERROR(VALUE(LEFT(M108,FIND("-",M108)-1)),M108)*200&gt;77639),"Вы уменьшили цену в несколько раз, товар попадет в карантин цен",IF(IFERROR(VALUE(LEFT(M108,FIND("-",M108)-1)),M108)*200&lt;=77639,"Не сохранили изменения, чтобы защитить от ошибки — новые цены меньше текущих более чем в 2 раза. Снижайте их постепенно",IF(AND(IFERROR(VALUE(I108),0)=0,ISNUMBER(J108),OR(J108&lt;491,ABS(IFERROR(VALUE(LEFT(M108,FIND("-",M108)-1)),M108))*100&lt;49100)),"Проверьте цену товара. Большинство товаров в выбранной категории стоят дороже 491","")))))),"")</f>
      </c>
    </row>
    <row r="109">
      <c r="A109" s="2" t="inlineStr">
        <is>
          <t/>
        </is>
      </c>
      <c r="B109" s="2" t="inlineStr">
        <is>
          <t>Шторы для ванной</t>
        </is>
      </c>
      <c r="C109" s="2">
        <v>903254962</v>
      </c>
      <c r="D109" s="2" t="inlineStr">
        <is>
          <t>420646</t>
        </is>
      </c>
      <c r="E109" s="2" t="inlineStr">
        <is>
          <t>4670294458465</t>
        </is>
      </c>
      <c r="F109" s="2">
        <v>9</v>
      </c>
      <c r="G109" s="2">
        <v>83</v>
      </c>
      <c r="H109" s="2">
        <v>999</v>
      </c>
      <c r="I109" s="2" t="inlineStr">
        <is>
          <t>3882</t>
        </is>
      </c>
      <c r="J109" s="4"/>
      <c r="K109" s="2">
        <v>80</v>
      </c>
      <c r="L109" s="6"/>
      <c r="M109" s="2" t="str">
        <f>IF(J109="",ROUND(I109*(1-IF(ISBLANK(L109),K109,L109)/100),2),ROUND(J109*(1-IF(ISBLANK(L109),K109,L109)/100),2))</f>
      </c>
      <c r="N109" s="7" t="str">
        <f>IF(NOT(AND(J109="",L109="")),IF(OR(AND(L109&lt;&gt;"",NOT(ISNUMBER(L109))),IFERROR(MOD(L109,1),1)&gt;0,AND(ISNUMBER(L109),OR(L109&lt;0,L109&gt;95))),"Введите целое число от 0 до 95",IF(OR(AND(J109&lt;&gt;"",NOT(ISNUMBER(J109))),IFERROR(MOD(J109,1),1)&gt;0,AND(ISNUMBER(J109),OR(J109&lt;50,J109&gt;20000000))),"Введите целое число от 50 до 20000000",IF(NOT(ABS(IFERROR(VALUE(LEFT(M109,FIND("-",M109)-1)),M109)*100-(2500+2000000000)/2)&lt;=ABS(2500-2000000000)/2),"Цена со скидкой должна быть от 25 до 20000000",IF(AND(IFERROR(VALUE(LEFT(M109,FIND("-",M109)-1)),M109)*150&lt;=77639,IFERROR(VALUE(LEFT(M109,FIND("-",M109)-1)),M109)*200&gt;77639),"Вы уменьшили цену в несколько раз, товар попадет в карантин цен",IF(IFERROR(VALUE(LEFT(M109,FIND("-",M109)-1)),M109)*200&lt;=77639,"Не сохранили изменения, чтобы защитить от ошибки — новые цены меньше текущих более чем в 2 раза. Снижайте их постепенно",IF(AND(IFERROR(VALUE(I109),0)=0,ISNUMBER(J109),OR(J109&lt;491,ABS(IFERROR(VALUE(LEFT(M109,FIND("-",M109)-1)),M109))*100&lt;49100)),"Проверьте цену товара. Большинство товаров в выбранной категории стоят дороже 491","")))))),"")</f>
      </c>
    </row>
    <row r="110">
      <c r="A110" s="2" t="inlineStr">
        <is>
          <t>Veloria</t>
        </is>
      </c>
      <c r="B110" s="2" t="inlineStr">
        <is>
          <t>Вешалки-плечики</t>
        </is>
      </c>
      <c r="C110" s="2">
        <v>243002013</v>
      </c>
      <c r="D110" s="2" t="inlineStr">
        <is>
          <t>456979</t>
        </is>
      </c>
      <c r="E110" s="2" t="inlineStr">
        <is>
          <t>2040617740911</t>
        </is>
      </c>
      <c r="F110" s="2">
        <v>0</v>
      </c>
      <c r="G110" s="2">
        <v>209</v>
      </c>
      <c r="H110" s="2">
        <v>1</v>
      </c>
      <c r="I110" s="2" t="inlineStr">
        <is>
          <t>5320</t>
        </is>
      </c>
      <c r="J110" s="4"/>
      <c r="K110" s="2">
        <v>80</v>
      </c>
      <c r="L110" s="6"/>
      <c r="M110" s="2" t="str">
        <f>IF(J110="",ROUND(I110*(1-IF(ISBLANK(L110),K110,L110)/100),2),ROUND(J110*(1-IF(ISBLANK(L110),K110,L110)/100),2))</f>
      </c>
      <c r="N110" s="7" t="str">
        <f>IF(NOT(AND(J110="",L110="")),IF(OR(AND(L110&lt;&gt;"",NOT(ISNUMBER(L110))),IFERROR(MOD(L110,1),1)&gt;0,AND(ISNUMBER(L110),OR(L110&lt;0,L110&gt;95))),"Введите целое число от 0 до 95",IF(OR(AND(J110&lt;&gt;"",NOT(ISNUMBER(J110))),IFERROR(MOD(J110,1),1)&gt;0,AND(ISNUMBER(J110),OR(J110&lt;50,J110&gt;20000000))),"Введите целое число от 50 до 20000000",IF(NOT(ABS(IFERROR(VALUE(LEFT(M110,FIND("-",M110)-1)),M110)*100-(2500+2000000000)/2)&lt;=ABS(2500-2000000000)/2),"Цена со скидкой должна быть от 25 до 20000000",IF(AND(IFERROR(VALUE(LEFT(M110,FIND("-",M110)-1)),M110)*150&lt;=106399,IFERROR(VALUE(LEFT(M110,FIND("-",M110)-1)),M110)*200&gt;106399),"Вы уменьшили цену в несколько раз, товар попадет в карантин цен",IF(IFERROR(VALUE(LEFT(M110,FIND("-",M110)-1)),M110)*200&lt;=106399,"Не сохранили изменения, чтобы защитить от ошибки — новые цены меньше текущих более чем в 2 раза. Снижайте их постепенно",IF(AND(IFERROR(VALUE(I110),0)=0,ISNUMBER(J110),OR(J110&lt;260,ABS(IFERROR(VALUE(LEFT(M110,FIND("-",M110)-1)),M110))*100&lt;26000)),"Проверьте цену товара. Большинство товаров в выбранной категории стоят дороже 260","")))))),"")</f>
      </c>
    </row>
    <row r="111">
      <c r="A111" s="2" t="inlineStr">
        <is>
          <t/>
        </is>
      </c>
      <c r="B111" s="2" t="inlineStr">
        <is>
          <t>Конфетницы</t>
        </is>
      </c>
      <c r="C111" s="2">
        <v>278849084</v>
      </c>
      <c r="D111" s="2" t="inlineStr">
        <is>
          <t>121850</t>
        </is>
      </c>
      <c r="E111" s="2" t="inlineStr">
        <is>
          <t>2041687942076</t>
        </is>
      </c>
      <c r="F111" s="2">
        <v>0</v>
      </c>
      <c r="G111" s="2">
        <v>0</v>
      </c>
      <c r="H111" s="2">
        <v>1</v>
      </c>
      <c r="I111" s="2" t="inlineStr">
        <is>
          <t>2824</t>
        </is>
      </c>
      <c r="J111" s="4"/>
      <c r="K111" s="2">
        <v>65</v>
      </c>
      <c r="L111" s="6"/>
      <c r="M111" s="2" t="str">
        <f>IF(J111="",ROUND(I111*(1-IF(ISBLANK(L111),K111,L111)/100),2),ROUND(J111*(1-IF(ISBLANK(L111),K111,L111)/100),2))</f>
      </c>
      <c r="N111" s="7" t="str">
        <f>IF(NOT(AND(J111="",L111="")),IF(OR(AND(L111&lt;&gt;"",NOT(ISNUMBER(L111))),IFERROR(MOD(L111,1),1)&gt;0,AND(ISNUMBER(L111),OR(L111&lt;0,L111&gt;95))),"Введите целое число от 0 до 95",IF(OR(AND(J111&lt;&gt;"",NOT(ISNUMBER(J111))),IFERROR(MOD(J111,1),1)&gt;0,AND(ISNUMBER(J111),OR(J111&lt;50,J111&gt;20000000))),"Введите целое число от 50 до 20000000",IF(NOT(ABS(IFERROR(VALUE(LEFT(M111,FIND("-",M111)-1)),M111)*100-(2500+2000000000)/2)&lt;=ABS(2500-2000000000)/2),"Цена со скидкой должна быть от 25 до 20000000",IF(AND(IFERROR(VALUE(LEFT(M111,FIND("-",M111)-1)),M111)*150&lt;=98840,IFERROR(VALUE(LEFT(M111,FIND("-",M111)-1)),M111)*200&gt;98840),"Вы уменьшили цену в несколько раз, товар попадет в карантин цен",IF(IFERROR(VALUE(LEFT(M111,FIND("-",M111)-1)),M111)*200&lt;=98840,"Не сохранили изменения, чтобы защитить от ошибки — новые цены меньше текущих более чем в 2 раза. Снижайте их постепенно",IF(AND(IFERROR(VALUE(I111),0)=0,ISNUMBER(J111),OR(J111&lt;349,ABS(IFERROR(VALUE(LEFT(M111,FIND("-",M111)-1)),M111))*100&lt;34900)),"Проверьте цену товара. Большинство товаров в выбранной категории стоят дороже 349","")))))),"")</f>
      </c>
    </row>
    <row r="112">
      <c r="A112" s="2" t="inlineStr">
        <is>
          <t>Luxaro</t>
        </is>
      </c>
      <c r="B112" s="2" t="inlineStr">
        <is>
          <t>Салатники</t>
        </is>
      </c>
      <c r="C112" s="2">
        <v>253402699</v>
      </c>
      <c r="D112" s="2" t="inlineStr">
        <is>
          <t>120455</t>
        </is>
      </c>
      <c r="E112" s="2" t="inlineStr">
        <is>
          <t>2040952166346</t>
        </is>
      </c>
      <c r="F112" s="2">
        <v>21</v>
      </c>
      <c r="G112" s="2">
        <v>0</v>
      </c>
      <c r="H112" s="2">
        <v>999</v>
      </c>
      <c r="I112" s="2" t="inlineStr">
        <is>
          <t>3284</t>
        </is>
      </c>
      <c r="J112" s="4"/>
      <c r="K112" s="2">
        <v>81</v>
      </c>
      <c r="L112" s="6"/>
      <c r="M112" s="2" t="str">
        <f>IF(J112="",ROUND(I112*(1-IF(ISBLANK(L112),K112,L112)/100),2),ROUND(J112*(1-IF(ISBLANK(L112),K112,L112)/100),2))</f>
      </c>
      <c r="N112" s="7" t="str">
        <f>IF(NOT(AND(J112="",L112="")),IF(OR(AND(L112&lt;&gt;"",NOT(ISNUMBER(L112))),IFERROR(MOD(L112,1),1)&gt;0,AND(ISNUMBER(L112),OR(L112&lt;0,L112&gt;95))),"Введите целое число от 0 до 95",IF(OR(AND(J112&lt;&gt;"",NOT(ISNUMBER(J112))),IFERROR(MOD(J112,1),1)&gt;0,AND(ISNUMBER(J112),OR(J112&lt;50,J112&gt;20000000))),"Введите целое число от 50 до 20000000",IF(NOT(ABS(IFERROR(VALUE(LEFT(M112,FIND("-",M112)-1)),M112)*100-(2500+2000000000)/2)&lt;=ABS(2500-2000000000)/2),"Цена со скидкой должна быть от 25 до 20000000",IF(AND(IFERROR(VALUE(LEFT(M112,FIND("-",M112)-1)),M112)*150&lt;=62395,IFERROR(VALUE(LEFT(M112,FIND("-",M112)-1)),M112)*200&gt;62395),"Вы уменьшили цену в несколько раз, товар попадет в карантин цен",IF(IFERROR(VALUE(LEFT(M112,FIND("-",M112)-1)),M112)*200&lt;=62395,"Не сохранили изменения, чтобы защитить от ошибки — новые цены меньше текущих более чем в 2 раза. Снижайте их постепенно",IF(AND(IFERROR(VALUE(I112),0)=0,ISNUMBER(J112),OR(J112&lt;438,ABS(IFERROR(VALUE(LEFT(M112,FIND("-",M112)-1)),M112))*100&lt;43800)),"Проверьте цену товара. Большинство товаров в выбранной категории стоят дороже 438","")))))),"")</f>
      </c>
    </row>
    <row r="113">
      <c r="A113" s="2" t="inlineStr">
        <is>
          <t/>
        </is>
      </c>
      <c r="B113" s="2" t="inlineStr">
        <is>
          <t>Швабры</t>
        </is>
      </c>
      <c r="C113" s="2">
        <v>618348448</v>
      </c>
      <c r="D113" s="2" t="inlineStr">
        <is>
          <t>514217</t>
        </is>
      </c>
      <c r="E113" s="2" t="inlineStr">
        <is>
          <t>2047308101228</t>
        </is>
      </c>
      <c r="F113" s="2">
        <v>0</v>
      </c>
      <c r="G113" s="2">
        <v>0</v>
      </c>
      <c r="H113" s="2" t="inlineStr">
        <is>
          <t/>
        </is>
      </c>
      <c r="I113" s="2" t="inlineStr">
        <is>
          <t>16753</t>
        </is>
      </c>
      <c r="J113" s="4"/>
      <c r="K113" s="2">
        <v>65</v>
      </c>
      <c r="L113" s="6"/>
      <c r="M113" s="2" t="str">
        <f>IF(J113="",ROUND(I113*(1-IF(ISBLANK(L113),K113,L113)/100),2),ROUND(J113*(1-IF(ISBLANK(L113),K113,L113)/100),2))</f>
      </c>
      <c r="N113" s="7" t="str">
        <f>IF(NOT(AND(J113="",L113="")),IF(OR(AND(L113&lt;&gt;"",NOT(ISNUMBER(L113))),IFERROR(MOD(L113,1),1)&gt;0,AND(ISNUMBER(L113),OR(L113&lt;0,L113&gt;95))),"Введите целое число от 0 до 95",IF(OR(AND(J113&lt;&gt;"",NOT(ISNUMBER(J113))),IFERROR(MOD(J113,1),1)&gt;0,AND(ISNUMBER(J113),OR(J113&lt;50,J113&gt;20000000))),"Введите целое число от 50 до 20000000",IF(NOT(ABS(IFERROR(VALUE(LEFT(M113,FIND("-",M113)-1)),M113)*100-(2500+2000000000)/2)&lt;=ABS(2500-2000000000)/2),"Цена со скидкой должна быть от 25 до 20000000",IF(AND(IFERROR(VALUE(LEFT(M113,FIND("-",M113)-1)),M113)*150&lt;=586354,IFERROR(VALUE(LEFT(M113,FIND("-",M113)-1)),M113)*200&gt;586354),"Вы уменьшили цену в несколько раз, товар попадет в карантин цен",IF(IFERROR(VALUE(LEFT(M113,FIND("-",M113)-1)),M113)*200&lt;=586354,"Не сохранили изменения, чтобы защитить от ошибки — новые цены меньше текущих более чем в 2 раза. Снижайте их постепенно",IF(AND(IFERROR(VALUE(I113),0)=0,ISNUMBER(J113),OR(J113&lt;448,ABS(IFERROR(VALUE(LEFT(M113,FIND("-",M113)-1)),M113))*100&lt;44800)),"Проверьте цену товара. Большинство товаров в выбранной категории стоят дороже 448","")))))),"")</f>
      </c>
    </row>
    <row r="114">
      <c r="A114" s="2" t="inlineStr">
        <is>
          <t>Luxaro</t>
        </is>
      </c>
      <c r="B114" s="2" t="inlineStr">
        <is>
          <t>Сахарницы</t>
        </is>
      </c>
      <c r="C114" s="2">
        <v>278847275</v>
      </c>
      <c r="D114" s="2" t="inlineStr">
        <is>
          <t>121846</t>
        </is>
      </c>
      <c r="E114" s="2" t="inlineStr">
        <is>
          <t>2041687902766</t>
        </is>
      </c>
      <c r="F114" s="2">
        <v>13</v>
      </c>
      <c r="G114" s="2">
        <v>0</v>
      </c>
      <c r="H114" s="2">
        <v>999</v>
      </c>
      <c r="I114" s="2" t="inlineStr">
        <is>
          <t>2972</t>
        </is>
      </c>
      <c r="J114" s="4"/>
      <c r="K114" s="2">
        <v>79</v>
      </c>
      <c r="L114" s="6"/>
      <c r="M114" s="2" t="str">
        <f>IF(J114="",ROUND(I114*(1-IF(ISBLANK(L114),K114,L114)/100),2),ROUND(J114*(1-IF(ISBLANK(L114),K114,L114)/100),2))</f>
      </c>
      <c r="N114" s="7" t="str">
        <f>IF(NOT(AND(J114="",L114="")),IF(OR(AND(L114&lt;&gt;"",NOT(ISNUMBER(L114))),IFERROR(MOD(L114,1),1)&gt;0,AND(ISNUMBER(L114),OR(L114&lt;0,L114&gt;95))),"Введите целое число от 0 до 95",IF(OR(AND(J114&lt;&gt;"",NOT(ISNUMBER(J114))),IFERROR(MOD(J114,1),1)&gt;0,AND(ISNUMBER(J114),OR(J114&lt;50,J114&gt;20000000))),"Введите целое число от 50 до 20000000",IF(NOT(ABS(IFERROR(VALUE(LEFT(M114,FIND("-",M114)-1)),M114)*100-(2500+2000000000)/2)&lt;=ABS(2500-2000000000)/2),"Цена со скидкой должна быть от 25 до 20000000",IF(AND(IFERROR(VALUE(LEFT(M114,FIND("-",M114)-1)),M114)*150&lt;=62411,IFERROR(VALUE(LEFT(M114,FIND("-",M114)-1)),M114)*200&gt;62411),"Вы уменьшили цену в несколько раз, товар попадет в карантин цен",IF(IFERROR(VALUE(LEFT(M114,FIND("-",M114)-1)),M114)*200&lt;=62411,"Не сохранили изменения, чтобы защитить от ошибки — новые цены меньше текущих более чем в 2 раза. Снижайте их постепенно",IF(AND(IFERROR(VALUE(I114),0)=0,ISNUMBER(J114),OR(J114&lt;417,ABS(IFERROR(VALUE(LEFT(M114,FIND("-",M114)-1)),M114))*100&lt;41700)),"Проверьте цену товара. Большинство товаров в выбранной категории стоят дороже 417","")))))),"")</f>
      </c>
    </row>
    <row r="115">
      <c r="A115" s="2" t="inlineStr">
        <is>
          <t/>
        </is>
      </c>
      <c r="B115" s="2" t="inlineStr">
        <is>
          <t>Швабры</t>
        </is>
      </c>
      <c r="C115" s="2">
        <v>618348455</v>
      </c>
      <c r="D115" s="2" t="inlineStr">
        <is>
          <t>513665</t>
        </is>
      </c>
      <c r="E115" s="2" t="inlineStr">
        <is>
          <t>2047308101426</t>
        </is>
      </c>
      <c r="F115" s="2">
        <v>0</v>
      </c>
      <c r="G115" s="2">
        <v>12</v>
      </c>
      <c r="H115" s="2" t="inlineStr">
        <is>
          <t/>
        </is>
      </c>
      <c r="I115" s="2" t="inlineStr">
        <is>
          <t>17692</t>
        </is>
      </c>
      <c r="J115" s="4"/>
      <c r="K115" s="2">
        <v>77</v>
      </c>
      <c r="L115" s="6"/>
      <c r="M115" s="2" t="str">
        <f>IF(J115="",ROUND(I115*(1-IF(ISBLANK(L115),K115,L115)/100),2),ROUND(J115*(1-IF(ISBLANK(L115),K115,L115)/100),2))</f>
      </c>
      <c r="N115" s="7" t="str">
        <f>IF(NOT(AND(J115="",L115="")),IF(OR(AND(L115&lt;&gt;"",NOT(ISNUMBER(L115))),IFERROR(MOD(L115,1),1)&gt;0,AND(ISNUMBER(L115),OR(L115&lt;0,L115&gt;95))),"Введите целое число от 0 до 95",IF(OR(AND(J115&lt;&gt;"",NOT(ISNUMBER(J115))),IFERROR(MOD(J115,1),1)&gt;0,AND(ISNUMBER(J115),OR(J115&lt;50,J115&gt;20000000))),"Введите целое число от 50 до 20000000",IF(NOT(ABS(IFERROR(VALUE(LEFT(M115,FIND("-",M115)-1)),M115)*100-(2500+2000000000)/2)&lt;=ABS(2500-2000000000)/2),"Цена со скидкой должна быть от 25 до 20000000",IF(AND(IFERROR(VALUE(LEFT(M115,FIND("-",M115)-1)),M115)*150&lt;=406916,IFERROR(VALUE(LEFT(M115,FIND("-",M115)-1)),M115)*200&gt;406916),"Вы уменьшили цену в несколько раз, товар попадет в карантин цен",IF(IFERROR(VALUE(LEFT(M115,FIND("-",M115)-1)),M115)*200&lt;=406916,"Не сохранили изменения, чтобы защитить от ошибки — новые цены меньше текущих более чем в 2 раза. Снижайте их постепенно",IF(AND(IFERROR(VALUE(I115),0)=0,ISNUMBER(J115),OR(J115&lt;448,ABS(IFERROR(VALUE(LEFT(M115,FIND("-",M115)-1)),M115))*100&lt;44800)),"Проверьте цену товара. Большинство товаров в выбранной категории стоят дороже 448","")))))),"")</f>
      </c>
    </row>
    <row r="116">
      <c r="A116" s="2" t="inlineStr">
        <is>
          <t/>
        </is>
      </c>
      <c r="B116" s="2" t="inlineStr">
        <is>
          <t>Швабры</t>
        </is>
      </c>
      <c r="C116" s="2">
        <v>618348458</v>
      </c>
      <c r="D116" s="2" t="inlineStr">
        <is>
          <t>512723</t>
        </is>
      </c>
      <c r="E116" s="2" t="inlineStr">
        <is>
          <t>2047308101457</t>
        </is>
      </c>
      <c r="F116" s="2">
        <v>0</v>
      </c>
      <c r="G116" s="2">
        <v>0</v>
      </c>
      <c r="H116" s="2" t="inlineStr">
        <is>
          <t/>
        </is>
      </c>
      <c r="I116" s="2" t="inlineStr">
        <is>
          <t>20937</t>
        </is>
      </c>
      <c r="J116" s="4"/>
      <c r="K116" s="2">
        <v>65</v>
      </c>
      <c r="L116" s="6"/>
      <c r="M116" s="2" t="str">
        <f>IF(J116="",ROUND(I116*(1-IF(ISBLANK(L116),K116,L116)/100),2),ROUND(J116*(1-IF(ISBLANK(L116),K116,L116)/100),2))</f>
      </c>
      <c r="N116" s="7" t="str">
        <f>IF(NOT(AND(J116="",L116="")),IF(OR(AND(L116&lt;&gt;"",NOT(ISNUMBER(L116))),IFERROR(MOD(L116,1),1)&gt;0,AND(ISNUMBER(L116),OR(L116&lt;0,L116&gt;95))),"Введите целое число от 0 до 95",IF(OR(AND(J116&lt;&gt;"",NOT(ISNUMBER(J116))),IFERROR(MOD(J116,1),1)&gt;0,AND(ISNUMBER(J116),OR(J116&lt;50,J116&gt;20000000))),"Введите целое число от 50 до 20000000",IF(NOT(ABS(IFERROR(VALUE(LEFT(M116,FIND("-",M116)-1)),M116)*100-(2500+2000000000)/2)&lt;=ABS(2500-2000000000)/2),"Цена со скидкой должна быть от 25 до 20000000",IF(AND(IFERROR(VALUE(LEFT(M116,FIND("-",M116)-1)),M116)*150&lt;=732795,IFERROR(VALUE(LEFT(M116,FIND("-",M116)-1)),M116)*200&gt;732795),"Вы уменьшили цену в несколько раз, товар попадет в карантин цен",IF(IFERROR(VALUE(LEFT(M116,FIND("-",M116)-1)),M116)*200&lt;=732795,"Не сохранили изменения, чтобы защитить от ошибки — новые цены меньше текущих более чем в 2 раза. Снижайте их постепенно",IF(AND(IFERROR(VALUE(I116),0)=0,ISNUMBER(J116),OR(J116&lt;448,ABS(IFERROR(VALUE(LEFT(M116,FIND("-",M116)-1)),M116))*100&lt;44800)),"Проверьте цену товара. Большинство товаров в выбранной категории стоят дороже 448","")))))),"")</f>
      </c>
    </row>
    <row r="117">
      <c r="A117" s="2" t="inlineStr">
        <is>
          <t/>
        </is>
      </c>
      <c r="B117" s="2" t="inlineStr">
        <is>
          <t>Швабры</t>
        </is>
      </c>
      <c r="C117" s="2">
        <v>618348462</v>
      </c>
      <c r="D117" s="2" t="inlineStr">
        <is>
          <t>512658</t>
        </is>
      </c>
      <c r="E117" s="2" t="inlineStr">
        <is>
          <t>2047308101518</t>
        </is>
      </c>
      <c r="F117" s="2">
        <v>0</v>
      </c>
      <c r="G117" s="2">
        <v>0</v>
      </c>
      <c r="H117" s="2" t="inlineStr">
        <is>
          <t/>
        </is>
      </c>
      <c r="I117" s="2" t="inlineStr">
        <is>
          <t>17909</t>
        </is>
      </c>
      <c r="J117" s="4"/>
      <c r="K117" s="2">
        <v>65</v>
      </c>
      <c r="L117" s="6"/>
      <c r="M117" s="2" t="str">
        <f>IF(J117="",ROUND(I117*(1-IF(ISBLANK(L117),K117,L117)/100),2),ROUND(J117*(1-IF(ISBLANK(L117),K117,L117)/100),2))</f>
      </c>
      <c r="N117" s="7" t="str">
        <f>IF(NOT(AND(J117="",L117="")),IF(OR(AND(L117&lt;&gt;"",NOT(ISNUMBER(L117))),IFERROR(MOD(L117,1),1)&gt;0,AND(ISNUMBER(L117),OR(L117&lt;0,L117&gt;95))),"Введите целое число от 0 до 95",IF(OR(AND(J117&lt;&gt;"",NOT(ISNUMBER(J117))),IFERROR(MOD(J117,1),1)&gt;0,AND(ISNUMBER(J117),OR(J117&lt;50,J117&gt;20000000))),"Введите целое число от 50 до 20000000",IF(NOT(ABS(IFERROR(VALUE(LEFT(M117,FIND("-",M117)-1)),M117)*100-(2500+2000000000)/2)&lt;=ABS(2500-2000000000)/2),"Цена со скидкой должна быть от 25 до 20000000",IF(AND(IFERROR(VALUE(LEFT(M117,FIND("-",M117)-1)),M117)*150&lt;=626815,IFERROR(VALUE(LEFT(M117,FIND("-",M117)-1)),M117)*200&gt;626815),"Вы уменьшили цену в несколько раз, товар попадет в карантин цен",IF(IFERROR(VALUE(LEFT(M117,FIND("-",M117)-1)),M117)*200&lt;=626815,"Не сохранили изменения, чтобы защитить от ошибки — новые цены меньше текущих более чем в 2 раза. Снижайте их постепенно",IF(AND(IFERROR(VALUE(I117),0)=0,ISNUMBER(J117),OR(J117&lt;448,ABS(IFERROR(VALUE(LEFT(M117,FIND("-",M117)-1)),M117))*100&lt;44800)),"Проверьте цену товара. Большинство товаров в выбранной категории стоят дороже 448","")))))),"")</f>
      </c>
    </row>
    <row r="118">
      <c r="A118" s="2" t="inlineStr">
        <is>
          <t/>
        </is>
      </c>
      <c r="B118" s="2" t="inlineStr">
        <is>
          <t>Елки искусственные</t>
        </is>
      </c>
      <c r="C118" s="2">
        <v>616129809</v>
      </c>
      <c r="D118" s="2" t="inlineStr">
        <is>
          <t>992532</t>
        </is>
      </c>
      <c r="E118" s="2" t="inlineStr">
        <is>
          <t>2047285466969</t>
        </is>
      </c>
      <c r="F118" s="2">
        <v>1</v>
      </c>
      <c r="G118" s="2">
        <v>0</v>
      </c>
      <c r="H118" s="2">
        <v>999</v>
      </c>
      <c r="I118" s="2" t="inlineStr">
        <is>
          <t>3328</t>
        </is>
      </c>
      <c r="J118" s="4"/>
      <c r="K118" s="2">
        <v>87</v>
      </c>
      <c r="L118" s="6"/>
      <c r="M118" s="2" t="str">
        <f>IF(J118="",ROUND(I118*(1-IF(ISBLANK(L118),K118,L118)/100),2),ROUND(J118*(1-IF(ISBLANK(L118),K118,L118)/100),2))</f>
      </c>
      <c r="N118" s="7" t="str">
        <f>IF(NOT(AND(J118="",L118="")),IF(OR(AND(L118&lt;&gt;"",NOT(ISNUMBER(L118))),IFERROR(MOD(L118,1),1)&gt;0,AND(ISNUMBER(L118),OR(L118&lt;0,L118&gt;95))),"Введите целое число от 0 до 95",IF(OR(AND(J118&lt;&gt;"",NOT(ISNUMBER(J118))),IFERROR(MOD(J118,1),1)&gt;0,AND(ISNUMBER(J118),OR(J118&lt;50,J118&gt;20000000))),"Введите целое число от 50 до 20000000",IF(NOT(ABS(IFERROR(VALUE(LEFT(M118,FIND("-",M118)-1)),M118)*100-(2500+2000000000)/2)&lt;=ABS(2500-2000000000)/2),"Цена со скидкой должна быть от 25 до 20000000",IF(AND(IFERROR(VALUE(LEFT(M118,FIND("-",M118)-1)),M118)*150&lt;=43264,IFERROR(VALUE(LEFT(M118,FIND("-",M118)-1)),M118)*200&gt;43264),"Вы уменьшили цену в несколько раз, товар попадет в карантин цен",IF(IFERROR(VALUE(LEFT(M118,FIND("-",M118)-1)),M118)*200&lt;=43264,"Не сохранили изменения, чтобы защитить от ошибки — новые цены меньше текущих более чем в 2 раза. Снижайте их постепенно",IF(AND(IFERROR(VALUE(I118),0)=0,ISNUMBER(J118),OR(J118&lt;269,ABS(IFERROR(VALUE(LEFT(M118,FIND("-",M118)-1)),M118))*100&lt;26900)),"Проверьте цену товара. Большинство товаров в выбранной категории стоят дороже 269","")))))),"")</f>
      </c>
    </row>
    <row r="119">
      <c r="A119" s="2" t="inlineStr">
        <is>
          <t/>
        </is>
      </c>
      <c r="B119" s="2" t="inlineStr">
        <is>
          <t>Чайники для плиты</t>
        </is>
      </c>
      <c r="C119" s="2">
        <v>729520792</v>
      </c>
      <c r="D119" s="2" t="inlineStr">
        <is>
          <t>821142</t>
        </is>
      </c>
      <c r="E119" s="2" t="inlineStr">
        <is>
          <t>2048082928711</t>
        </is>
      </c>
      <c r="F119" s="2">
        <v>0</v>
      </c>
      <c r="G119" s="2">
        <v>6</v>
      </c>
      <c r="H119" s="2" t="inlineStr">
        <is>
          <t/>
        </is>
      </c>
      <c r="I119" s="2" t="inlineStr">
        <is>
          <t>17831</t>
        </is>
      </c>
      <c r="J119" s="4"/>
      <c r="K119" s="2">
        <v>80</v>
      </c>
      <c r="L119" s="6"/>
      <c r="M119" s="2" t="str">
        <f>IF(J119="",ROUND(I119*(1-IF(ISBLANK(L119),K119,L119)/100),2),ROUND(J119*(1-IF(ISBLANK(L119),K119,L119)/100),2))</f>
      </c>
      <c r="N119" s="7" t="str">
        <f>IF(NOT(AND(J119="",L119="")),IF(OR(AND(L119&lt;&gt;"",NOT(ISNUMBER(L119))),IFERROR(MOD(L119,1),1)&gt;0,AND(ISNUMBER(L119),OR(L119&lt;0,L119&gt;95))),"Введите целое число от 0 до 95",IF(OR(AND(J119&lt;&gt;"",NOT(ISNUMBER(J119))),IFERROR(MOD(J119,1),1)&gt;0,AND(ISNUMBER(J119),OR(J119&lt;50,J119&gt;20000000))),"Введите целое число от 50 до 20000000",IF(NOT(ABS(IFERROR(VALUE(LEFT(M119,FIND("-",M119)-1)),M119)*100-(2500+2000000000)/2)&lt;=ABS(2500-2000000000)/2),"Цена со скидкой должна быть от 25 до 20000000",IF(AND(IFERROR(VALUE(LEFT(M119,FIND("-",M119)-1)),M119)*150&lt;=356619,IFERROR(VALUE(LEFT(M119,FIND("-",M119)-1)),M119)*200&gt;356619),"Вы уменьшили цену в несколько раз, товар попадет в карантин цен",IF(IFERROR(VALUE(LEFT(M119,FIND("-",M119)-1)),M119)*200&lt;=356619,"Не сохранили изменения, чтобы защитить от ошибки — новые цены меньше текущих более чем в 2 раза. Снижайте их постепенно",IF(AND(IFERROR(VALUE(I119),0)=0,ISNUMBER(J119),OR(J119&lt;468,ABS(IFERROR(VALUE(LEFT(M119,FIND("-",M119)-1)),M119))*100&lt;46800)),"Проверьте цену товара. Большинство товаров в выбранной категории стоят дороже 468","")))))),"")</f>
      </c>
    </row>
    <row r="120">
      <c r="A120" s="2" t="inlineStr">
        <is>
          <t/>
        </is>
      </c>
      <c r="B120" s="2" t="inlineStr">
        <is>
          <t>Сковороды</t>
        </is>
      </c>
      <c r="C120" s="2">
        <v>729286900</v>
      </c>
      <c r="D120" s="2" t="inlineStr">
        <is>
          <t>20352</t>
        </is>
      </c>
      <c r="E120" s="2" t="inlineStr">
        <is>
          <t>2048080629115</t>
        </is>
      </c>
      <c r="F120" s="2">
        <v>0</v>
      </c>
      <c r="G120" s="2">
        <v>5</v>
      </c>
      <c r="H120" s="2" t="inlineStr">
        <is>
          <t/>
        </is>
      </c>
      <c r="I120" s="2" t="inlineStr">
        <is>
          <t>19244</t>
        </is>
      </c>
      <c r="J120" s="4"/>
      <c r="K120" s="2">
        <v>80</v>
      </c>
      <c r="L120" s="6"/>
      <c r="M120" s="2" t="str">
        <f>IF(J120="",ROUND(I120*(1-IF(ISBLANK(L120),K120,L120)/100),2),ROUND(J120*(1-IF(ISBLANK(L120),K120,L120)/100),2))</f>
      </c>
      <c r="N120" s="7" t="str">
        <f>IF(NOT(AND(J120="",L120="")),IF(OR(AND(L120&lt;&gt;"",NOT(ISNUMBER(L120))),IFERROR(MOD(L120,1),1)&gt;0,AND(ISNUMBER(L120),OR(L120&lt;0,L120&gt;95))),"Введите целое число от 0 до 95",IF(OR(AND(J120&lt;&gt;"",NOT(ISNUMBER(J120))),IFERROR(MOD(J120,1),1)&gt;0,AND(ISNUMBER(J120),OR(J120&lt;50,J120&gt;20000000))),"Введите целое число от 50 до 20000000",IF(NOT(ABS(IFERROR(VALUE(LEFT(M120,FIND("-",M120)-1)),M120)*100-(2500+2000000000)/2)&lt;=ABS(2500-2000000000)/2),"Цена со скидкой должна быть от 25 до 20000000",IF(AND(IFERROR(VALUE(LEFT(M120,FIND("-",M120)-1)),M120)*150&lt;=384879,IFERROR(VALUE(LEFT(M120,FIND("-",M120)-1)),M120)*200&gt;384879),"Вы уменьшили цену в несколько раз, товар попадет в карантин цен",IF(IFERROR(VALUE(LEFT(M120,FIND("-",M120)-1)),M120)*200&lt;=384879,"Не сохранили изменения, чтобы защитить от ошибки — новые цены меньше текущих более чем в 2 раза. Снижайте их постепенно",IF(AND(IFERROR(VALUE(I120),0)=0,ISNUMBER(J120),OR(J120&lt;756,ABS(IFERROR(VALUE(LEFT(M120,FIND("-",M120)-1)),M120))*100&lt;75600)),"Проверьте цену товара. Большинство товаров в выбранной категории стоят дороже 756","")))))),"")</f>
      </c>
    </row>
    <row r="121">
      <c r="A121" s="2" t="inlineStr">
        <is>
          <t/>
        </is>
      </c>
      <c r="B121" s="2" t="inlineStr">
        <is>
          <t>Наборы кухонных принадлежностей</t>
        </is>
      </c>
      <c r="C121" s="2">
        <v>600639307</v>
      </c>
      <c r="D121" s="2" t="inlineStr">
        <is>
          <t>457545</t>
        </is>
      </c>
      <c r="E121" s="2" t="inlineStr">
        <is>
          <t>2047129194454</t>
        </is>
      </c>
      <c r="F121" s="2">
        <v>0</v>
      </c>
      <c r="G121" s="2">
        <v>0</v>
      </c>
      <c r="H121" s="2" t="inlineStr">
        <is>
          <t/>
        </is>
      </c>
      <c r="I121" s="2" t="inlineStr">
        <is>
          <t>12078</t>
        </is>
      </c>
      <c r="J121" s="4"/>
      <c r="K121" s="2">
        <v>69</v>
      </c>
      <c r="L121" s="6"/>
      <c r="M121" s="2" t="str">
        <f>IF(J121="",ROUND(I121*(1-IF(ISBLANK(L121),K121,L121)/100),2),ROUND(J121*(1-IF(ISBLANK(L121),K121,L121)/100),2))</f>
      </c>
      <c r="N121" s="7" t="str">
        <f>IF(NOT(AND(J121="",L121="")),IF(OR(AND(L121&lt;&gt;"",NOT(ISNUMBER(L121))),IFERROR(MOD(L121,1),1)&gt;0,AND(ISNUMBER(L121),OR(L121&lt;0,L121&gt;95))),"Введите целое число от 0 до 95",IF(OR(AND(J121&lt;&gt;"",NOT(ISNUMBER(J121))),IFERROR(MOD(J121,1),1)&gt;0,AND(ISNUMBER(J121),OR(J121&lt;50,J121&gt;20000000))),"Введите целое число от 50 до 20000000",IF(NOT(ABS(IFERROR(VALUE(LEFT(M121,FIND("-",M121)-1)),M121)*100-(2500+2000000000)/2)&lt;=ABS(2500-2000000000)/2),"Цена со скидкой должна быть от 25 до 20000000",IF(AND(IFERROR(VALUE(LEFT(M121,FIND("-",M121)-1)),M121)*150&lt;=374418,IFERROR(VALUE(LEFT(M121,FIND("-",M121)-1)),M121)*200&gt;374418),"Вы уменьшили цену в несколько раз, товар попадет в карантин цен",IF(IFERROR(VALUE(LEFT(M121,FIND("-",M121)-1)),M121)*200&lt;=374418,"Не сохранили изменения, чтобы защитить от ошибки — новые цены меньше текущих более чем в 2 раза. Снижайте их постепенно",IF(AND(IFERROR(VALUE(I121),0)=0,ISNUMBER(J121),OR(J121&lt;396,ABS(IFERROR(VALUE(LEFT(M121,FIND("-",M121)-1)),M121))*100&lt;39600)),"Проверьте цену товара. Большинство товаров в выбранной категории стоят дороже 396","")))))),"")</f>
      </c>
    </row>
    <row r="122">
      <c r="A122" s="2" t="inlineStr">
        <is>
          <t>Veloria</t>
        </is>
      </c>
      <c r="B122" s="2" t="inlineStr">
        <is>
          <t>Скатерти</t>
        </is>
      </c>
      <c r="C122" s="2">
        <v>727195055</v>
      </c>
      <c r="D122" s="2" t="inlineStr">
        <is>
          <t>435220</t>
        </is>
      </c>
      <c r="E122" s="2" t="inlineStr">
        <is>
          <t>2048060775931</t>
        </is>
      </c>
      <c r="F122" s="2">
        <v>0</v>
      </c>
      <c r="G122" s="2">
        <v>10</v>
      </c>
      <c r="H122" s="2" t="inlineStr">
        <is>
          <t/>
        </is>
      </c>
      <c r="I122" s="2" t="inlineStr">
        <is>
          <t>5572</t>
        </is>
      </c>
      <c r="J122" s="4"/>
      <c r="K122" s="2">
        <v>76</v>
      </c>
      <c r="L122" s="6"/>
      <c r="M122" s="2" t="str">
        <f>IF(J122="",ROUND(I122*(1-IF(ISBLANK(L122),K122,L122)/100),2),ROUND(J122*(1-IF(ISBLANK(L122),K122,L122)/100),2))</f>
      </c>
      <c r="N122" s="7" t="str">
        <f>IF(NOT(AND(J122="",L122="")),IF(OR(AND(L122&lt;&gt;"",NOT(ISNUMBER(L122))),IFERROR(MOD(L122,1),1)&gt;0,AND(ISNUMBER(L122),OR(L122&lt;0,L122&gt;95))),"Введите целое число от 0 до 95",IF(OR(AND(J122&lt;&gt;"",NOT(ISNUMBER(J122))),IFERROR(MOD(J122,1),1)&gt;0,AND(ISNUMBER(J122),OR(J122&lt;50,J122&gt;20000000))),"Введите целое число от 50 до 20000000",IF(NOT(ABS(IFERROR(VALUE(LEFT(M122,FIND("-",M122)-1)),M122)*100-(2500+2000000000)/2)&lt;=ABS(2500-2000000000)/2),"Цена со скидкой должна быть от 25 до 20000000",IF(AND(IFERROR(VALUE(LEFT(M122,FIND("-",M122)-1)),M122)*150&lt;=133728,IFERROR(VALUE(LEFT(M122,FIND("-",M122)-1)),M122)*200&gt;133728),"Вы уменьшили цену в несколько раз, товар попадет в карантин цен",IF(IFERROR(VALUE(LEFT(M122,FIND("-",M122)-1)),M122)*200&lt;=133728,"Не сохранили изменения, чтобы защитить от ошибки — новые цены меньше текущих более чем в 2 раза. Снижайте их постепенно",IF(AND(IFERROR(VALUE(I122),0)=0,ISNUMBER(J122),OR(J122&lt;385,ABS(IFERROR(VALUE(LEFT(M122,FIND("-",M122)-1)),M122))*100&lt;38500)),"Проверьте цену товара. Большинство товаров в выбранной категории стоят дороже 385","")))))),"")</f>
      </c>
    </row>
    <row r="123">
      <c r="A123" s="2" t="inlineStr">
        <is>
          <t/>
        </is>
      </c>
      <c r="B123" s="2" t="inlineStr">
        <is>
          <t>Чайники для плиты</t>
        </is>
      </c>
      <c r="C123" s="2">
        <v>729520721</v>
      </c>
      <c r="D123" s="2" t="inlineStr">
        <is>
          <t>280700</t>
        </is>
      </c>
      <c r="E123" s="2" t="inlineStr">
        <is>
          <t>2048082927905</t>
        </is>
      </c>
      <c r="F123" s="2">
        <v>0</v>
      </c>
      <c r="G123" s="2">
        <v>5</v>
      </c>
      <c r="H123" s="2" t="inlineStr">
        <is>
          <t/>
        </is>
      </c>
      <c r="I123" s="2" t="inlineStr">
        <is>
          <t>10400</t>
        </is>
      </c>
      <c r="J123" s="4"/>
      <c r="K123" s="2">
        <v>78</v>
      </c>
      <c r="L123" s="6"/>
      <c r="M123" s="2" t="str">
        <f>IF(J123="",ROUND(I123*(1-IF(ISBLANK(L123),K123,L123)/100),2),ROUND(J123*(1-IF(ISBLANK(L123),K123,L123)/100),2))</f>
      </c>
      <c r="N123" s="7" t="str">
        <f>IF(NOT(AND(J123="",L123="")),IF(OR(AND(L123&lt;&gt;"",NOT(ISNUMBER(L123))),IFERROR(MOD(L123,1),1)&gt;0,AND(ISNUMBER(L123),OR(L123&lt;0,L123&gt;95))),"Введите целое число от 0 до 95",IF(OR(AND(J123&lt;&gt;"",NOT(ISNUMBER(J123))),IFERROR(MOD(J123,1),1)&gt;0,AND(ISNUMBER(J123),OR(J123&lt;50,J123&gt;20000000))),"Введите целое число от 50 до 20000000",IF(NOT(ABS(IFERROR(VALUE(LEFT(M123,FIND("-",M123)-1)),M123)*100-(2500+2000000000)/2)&lt;=ABS(2500-2000000000)/2),"Цена со скидкой должна быть от 25 до 20000000",IF(AND(IFERROR(VALUE(LEFT(M123,FIND("-",M123)-1)),M123)*150&lt;=228799,IFERROR(VALUE(LEFT(M123,FIND("-",M123)-1)),M123)*200&gt;228799),"Вы уменьшили цену в несколько раз, товар попадет в карантин цен",IF(IFERROR(VALUE(LEFT(M123,FIND("-",M123)-1)),M123)*200&lt;=228799,"Не сохранили изменения, чтобы защитить от ошибки — новые цены меньше текущих более чем в 2 раза. Снижайте их постепенно",IF(AND(IFERROR(VALUE(I123),0)=0,ISNUMBER(J123),OR(J123&lt;468,ABS(IFERROR(VALUE(LEFT(M123,FIND("-",M123)-1)),M123))*100&lt;46800)),"Проверьте цену товара. Большинство товаров в выбранной категории стоят дороже 468","")))))),"")</f>
      </c>
    </row>
    <row r="124">
      <c r="A124" s="2" t="inlineStr">
        <is>
          <t/>
        </is>
      </c>
      <c r="B124" s="2" t="inlineStr">
        <is>
          <t>Лотки для приборов</t>
        </is>
      </c>
      <c r="C124" s="2">
        <v>619261004</v>
      </c>
      <c r="D124" s="2" t="inlineStr">
        <is>
          <t>454248</t>
        </is>
      </c>
      <c r="E124" s="2" t="inlineStr">
        <is>
          <t>2047320885533</t>
        </is>
      </c>
      <c r="F124" s="2">
        <v>0</v>
      </c>
      <c r="G124" s="2">
        <v>5</v>
      </c>
      <c r="H124" s="2" t="inlineStr">
        <is>
          <t/>
        </is>
      </c>
      <c r="I124" s="2" t="inlineStr">
        <is>
          <t>7016</t>
        </is>
      </c>
      <c r="J124" s="4"/>
      <c r="K124" s="2">
        <v>78</v>
      </c>
      <c r="L124" s="6"/>
      <c r="M124" s="2" t="str">
        <f>IF(J124="",ROUND(I124*(1-IF(ISBLANK(L124),K124,L124)/100),2),ROUND(J124*(1-IF(ISBLANK(L124),K124,L124)/100),2))</f>
      </c>
      <c r="N124" s="7" t="str">
        <f>IF(NOT(AND(J124="",L124="")),IF(OR(AND(L124&lt;&gt;"",NOT(ISNUMBER(L124))),IFERROR(MOD(L124,1),1)&gt;0,AND(ISNUMBER(L124),OR(L124&lt;0,L124&gt;95))),"Введите целое число от 0 до 95",IF(OR(AND(J124&lt;&gt;"",NOT(ISNUMBER(J124))),IFERROR(MOD(J124,1),1)&gt;0,AND(ISNUMBER(J124),OR(J124&lt;50,J124&gt;20000000))),"Введите целое число от 50 до 20000000",IF(NOT(ABS(IFERROR(VALUE(LEFT(M124,FIND("-",M124)-1)),M124)*100-(2500+2000000000)/2)&lt;=ABS(2500-2000000000)/2),"Цена со скидкой должна быть от 25 до 20000000",IF(AND(IFERROR(VALUE(LEFT(M124,FIND("-",M124)-1)),M124)*150&lt;=154351,IFERROR(VALUE(LEFT(M124,FIND("-",M124)-1)),M124)*200&gt;154351),"Вы уменьшили цену в несколько раз, товар попадет в карантин цен",IF(IFERROR(VALUE(LEFT(M124,FIND("-",M124)-1)),M124)*200&lt;=154351,"Не сохранили изменения, чтобы защитить от ошибки — новые цены меньше текущих более чем в 2 раза. Снижайте их постепенно",IF(AND(IFERROR(VALUE(I124),0)=0,ISNUMBER(J124),OR(J124&lt;242,ABS(IFERROR(VALUE(LEFT(M124,FIND("-",M124)-1)),M124))*100&lt;24200)),"Проверьте цену товара. Большинство товаров в выбранной категории стоят дороже 242","")))))),"")</f>
      </c>
    </row>
    <row r="125">
      <c r="A125" s="2" t="inlineStr">
        <is>
          <t/>
        </is>
      </c>
      <c r="B125" s="2" t="inlineStr">
        <is>
          <t>Сковороды</t>
        </is>
      </c>
      <c r="C125" s="2">
        <v>729401486</v>
      </c>
      <c r="D125" s="2" t="inlineStr">
        <is>
          <t>27150</t>
        </is>
      </c>
      <c r="E125" s="2" t="inlineStr">
        <is>
          <t>2048081743131</t>
        </is>
      </c>
      <c r="F125" s="2">
        <v>0</v>
      </c>
      <c r="G125" s="2">
        <v>0</v>
      </c>
      <c r="H125" s="2" t="inlineStr">
        <is>
          <t/>
        </is>
      </c>
      <c r="I125" s="2" t="inlineStr">
        <is>
          <t>23936</t>
        </is>
      </c>
      <c r="J125" s="4"/>
      <c r="K125" s="2">
        <v>78</v>
      </c>
      <c r="L125" s="6"/>
      <c r="M125" s="2" t="str">
        <f>IF(J125="",ROUND(I125*(1-IF(ISBLANK(L125),K125,L125)/100),2),ROUND(J125*(1-IF(ISBLANK(L125),K125,L125)/100),2))</f>
      </c>
      <c r="N125" s="7" t="str">
        <f>IF(NOT(AND(J125="",L125="")),IF(OR(AND(L125&lt;&gt;"",NOT(ISNUMBER(L125))),IFERROR(MOD(L125,1),1)&gt;0,AND(ISNUMBER(L125),OR(L125&lt;0,L125&gt;95))),"Введите целое число от 0 до 95",IF(OR(AND(J125&lt;&gt;"",NOT(ISNUMBER(J125))),IFERROR(MOD(J125,1),1)&gt;0,AND(ISNUMBER(J125),OR(J125&lt;50,J125&gt;20000000))),"Введите целое число от 50 до 20000000",IF(NOT(ABS(IFERROR(VALUE(LEFT(M125,FIND("-",M125)-1)),M125)*100-(2500+2000000000)/2)&lt;=ABS(2500-2000000000)/2),"Цена со скидкой должна быть от 25 до 20000000",IF(AND(IFERROR(VALUE(LEFT(M125,FIND("-",M125)-1)),M125)*150&lt;=526591,IFERROR(VALUE(LEFT(M125,FIND("-",M125)-1)),M125)*200&gt;526591),"Вы уменьшили цену в несколько раз, товар попадет в карантин цен",IF(IFERROR(VALUE(LEFT(M125,FIND("-",M125)-1)),M125)*200&lt;=526591,"Не сохранили изменения, чтобы защитить от ошибки — новые цены меньше текущих более чем в 2 раза. Снижайте их постепенно",IF(AND(IFERROR(VALUE(I125),0)=0,ISNUMBER(J125),OR(J125&lt;756,ABS(IFERROR(VALUE(LEFT(M125,FIND("-",M125)-1)),M125))*100&lt;75600)),"Проверьте цену товара. Большинство товаров в выбранной категории стоят дороже 756","")))))),"")</f>
      </c>
    </row>
    <row r="126">
      <c r="A126" s="2" t="inlineStr">
        <is>
          <t/>
        </is>
      </c>
      <c r="B126" s="2" t="inlineStr">
        <is>
          <t>Чайники для плиты</t>
        </is>
      </c>
      <c r="C126" s="2">
        <v>729520751</v>
      </c>
      <c r="D126" s="2" t="inlineStr">
        <is>
          <t>821462</t>
        </is>
      </c>
      <c r="E126" s="2" t="inlineStr">
        <is>
          <t>2048082928278</t>
        </is>
      </c>
      <c r="F126" s="2">
        <v>0</v>
      </c>
      <c r="G126" s="2">
        <v>0</v>
      </c>
      <c r="H126" s="2" t="inlineStr">
        <is>
          <t/>
        </is>
      </c>
      <c r="I126" s="2" t="inlineStr">
        <is>
          <t>19078</t>
        </is>
      </c>
      <c r="J126" s="4"/>
      <c r="K126" s="2">
        <v>65</v>
      </c>
      <c r="L126" s="6"/>
      <c r="M126" s="2" t="str">
        <f>IF(J126="",ROUND(I126*(1-IF(ISBLANK(L126),K126,L126)/100),2),ROUND(J126*(1-IF(ISBLANK(L126),K126,L126)/100),2))</f>
      </c>
      <c r="N126" s="7" t="str">
        <f>IF(NOT(AND(J126="",L126="")),IF(OR(AND(L126&lt;&gt;"",NOT(ISNUMBER(L126))),IFERROR(MOD(L126,1),1)&gt;0,AND(ISNUMBER(L126),OR(L126&lt;0,L126&gt;95))),"Введите целое число от 0 до 95",IF(OR(AND(J126&lt;&gt;"",NOT(ISNUMBER(J126))),IFERROR(MOD(J126,1),1)&gt;0,AND(ISNUMBER(J126),OR(J126&lt;50,J126&gt;20000000))),"Введите целое число от 50 до 20000000",IF(NOT(ABS(IFERROR(VALUE(LEFT(M126,FIND("-",M126)-1)),M126)*100-(2500+2000000000)/2)&lt;=ABS(2500-2000000000)/2),"Цена со скидкой должна быть от 25 до 20000000",IF(AND(IFERROR(VALUE(LEFT(M126,FIND("-",M126)-1)),M126)*150&lt;=667729,IFERROR(VALUE(LEFT(M126,FIND("-",M126)-1)),M126)*200&gt;667729),"Вы уменьшили цену в несколько раз, товар попадет в карантин цен",IF(IFERROR(VALUE(LEFT(M126,FIND("-",M126)-1)),M126)*200&lt;=667729,"Не сохранили изменения, чтобы защитить от ошибки — новые цены меньше текущих более чем в 2 раза. Снижайте их постепенно",IF(AND(IFERROR(VALUE(I126),0)=0,ISNUMBER(J126),OR(J126&lt;468,ABS(IFERROR(VALUE(LEFT(M126,FIND("-",M126)-1)),M126))*100&lt;46800)),"Проверьте цену товара. Большинство товаров в выбранной категории стоят дороже 468","")))))),"")</f>
      </c>
    </row>
    <row r="127">
      <c r="A127" s="2" t="inlineStr">
        <is>
          <t/>
        </is>
      </c>
      <c r="B127" s="2" t="inlineStr">
        <is>
          <t>Чайники заварочные</t>
        </is>
      </c>
      <c r="C127" s="2">
        <v>729548704</v>
      </c>
      <c r="D127" s="2" t="inlineStr">
        <is>
          <t>28782</t>
        </is>
      </c>
      <c r="E127" s="2" t="inlineStr">
        <is>
          <t>2048083257773</t>
        </is>
      </c>
      <c r="F127" s="2">
        <v>0</v>
      </c>
      <c r="G127" s="2">
        <v>14</v>
      </c>
      <c r="H127" s="2" t="inlineStr">
        <is>
          <t/>
        </is>
      </c>
      <c r="I127" s="2" t="inlineStr">
        <is>
          <t>7920</t>
        </is>
      </c>
      <c r="J127" s="4"/>
      <c r="K127" s="2">
        <v>78</v>
      </c>
      <c r="L127" s="6"/>
      <c r="M127" s="2" t="str">
        <f>IF(J127="",ROUND(I127*(1-IF(ISBLANK(L127),K127,L127)/100),2),ROUND(J127*(1-IF(ISBLANK(L127),K127,L127)/100),2))</f>
      </c>
      <c r="N127" s="7" t="str">
        <f>IF(NOT(AND(J127="",L127="")),IF(OR(AND(L127&lt;&gt;"",NOT(ISNUMBER(L127))),IFERROR(MOD(L127,1),1)&gt;0,AND(ISNUMBER(L127),OR(L127&lt;0,L127&gt;95))),"Введите целое число от 0 до 95",IF(OR(AND(J127&lt;&gt;"",NOT(ISNUMBER(J127))),IFERROR(MOD(J127,1),1)&gt;0,AND(ISNUMBER(J127),OR(J127&lt;50,J127&gt;20000000))),"Введите целое число от 50 до 20000000",IF(NOT(ABS(IFERROR(VALUE(LEFT(M127,FIND("-",M127)-1)),M127)*100-(2500+2000000000)/2)&lt;=ABS(2500-2000000000)/2),"Цена со скидкой должна быть от 25 до 20000000",IF(AND(IFERROR(VALUE(LEFT(M127,FIND("-",M127)-1)),M127)*150&lt;=174240,IFERROR(VALUE(LEFT(M127,FIND("-",M127)-1)),M127)*200&gt;174240),"Вы уменьшили цену в несколько раз, товар попадет в карантин цен",IF(IFERROR(VALUE(LEFT(M127,FIND("-",M127)-1)),M127)*200&lt;=174240,"Не сохранили изменения, чтобы защитить от ошибки — новые цены меньше текущих более чем в 2 раза. Снижайте их постепенно",IF(AND(IFERROR(VALUE(I127),0)=0,ISNUMBER(J127),OR(J127&lt;681,ABS(IFERROR(VALUE(LEFT(M127,FIND("-",M127)-1)),M127))*100&lt;68100)),"Проверьте цену товара. Большинство товаров в выбранной категории стоят дороже 681","")))))),"")</f>
      </c>
    </row>
    <row r="128">
      <c r="A128" s="2" t="inlineStr">
        <is>
          <t/>
        </is>
      </c>
      <c r="B128" s="2" t="inlineStr">
        <is>
          <t>Сковороды</t>
        </is>
      </c>
      <c r="C128" s="2">
        <v>729286681</v>
      </c>
      <c r="D128" s="2" t="inlineStr">
        <is>
          <t>32367</t>
        </is>
      </c>
      <c r="E128" s="2" t="inlineStr">
        <is>
          <t>2048080624776</t>
        </is>
      </c>
      <c r="F128" s="2">
        <v>0</v>
      </c>
      <c r="G128" s="2">
        <v>0</v>
      </c>
      <c r="H128" s="2" t="inlineStr">
        <is>
          <t/>
        </is>
      </c>
      <c r="I128" s="2" t="inlineStr">
        <is>
          <t>7272</t>
        </is>
      </c>
      <c r="J128" s="4"/>
      <c r="K128" s="2">
        <v>65</v>
      </c>
      <c r="L128" s="6"/>
      <c r="M128" s="2" t="str">
        <f>IF(J128="",ROUND(I128*(1-IF(ISBLANK(L128),K128,L128)/100),2),ROUND(J128*(1-IF(ISBLANK(L128),K128,L128)/100),2))</f>
      </c>
      <c r="N128" s="7" t="str">
        <f>IF(NOT(AND(J128="",L128="")),IF(OR(AND(L128&lt;&gt;"",NOT(ISNUMBER(L128))),IFERROR(MOD(L128,1),1)&gt;0,AND(ISNUMBER(L128),OR(L128&lt;0,L128&gt;95))),"Введите целое число от 0 до 95",IF(OR(AND(J128&lt;&gt;"",NOT(ISNUMBER(J128))),IFERROR(MOD(J128,1),1)&gt;0,AND(ISNUMBER(J128),OR(J128&lt;50,J128&gt;20000000))),"Введите целое число от 50 до 20000000",IF(NOT(ABS(IFERROR(VALUE(LEFT(M128,FIND("-",M128)-1)),M128)*100-(2500+2000000000)/2)&lt;=ABS(2500-2000000000)/2),"Цена со скидкой должна быть от 25 до 20000000",IF(AND(IFERROR(VALUE(LEFT(M128,FIND("-",M128)-1)),M128)*150&lt;=254519,IFERROR(VALUE(LEFT(M128,FIND("-",M128)-1)),M128)*200&gt;254519),"Вы уменьшили цену в несколько раз, товар попадет в карантин цен",IF(IFERROR(VALUE(LEFT(M128,FIND("-",M128)-1)),M128)*200&lt;=254519,"Не сохранили изменения, чтобы защитить от ошибки — новые цены меньше текущих более чем в 2 раза. Снижайте их постепенно",IF(AND(IFERROR(VALUE(I128),0)=0,ISNUMBER(J128),OR(J128&lt;756,ABS(IFERROR(VALUE(LEFT(M128,FIND("-",M128)-1)),M128))*100&lt;75600)),"Проверьте цену товара. Большинство товаров в выбранной категории стоят дороже 756","")))))),"")</f>
      </c>
    </row>
    <row r="129">
      <c r="A129" s="2" t="inlineStr">
        <is>
          <t/>
        </is>
      </c>
      <c r="B129" s="2" t="inlineStr">
        <is>
          <t>Блендеры</t>
        </is>
      </c>
      <c r="C129" s="2">
        <v>725226631</v>
      </c>
      <c r="D129" s="2" t="inlineStr">
        <is>
          <t>19783</t>
        </is>
      </c>
      <c r="E129" s="2" t="inlineStr">
        <is>
          <t>2048046287304</t>
        </is>
      </c>
      <c r="F129" s="2">
        <v>0</v>
      </c>
      <c r="G129" s="2">
        <v>0</v>
      </c>
      <c r="H129" s="2" t="inlineStr">
        <is>
          <t/>
        </is>
      </c>
      <c r="I129" s="2" t="inlineStr">
        <is>
          <t>13712</t>
        </is>
      </c>
      <c r="J129" s="4"/>
      <c r="K129" s="2">
        <v>65</v>
      </c>
      <c r="L129" s="6"/>
      <c r="M129" s="2" t="str">
        <f>IF(J129="",ROUND(I129*(1-IF(ISBLANK(L129),K129,L129)/100),2),ROUND(J129*(1-IF(ISBLANK(L129),K129,L129)/100),2))</f>
      </c>
      <c r="N129" s="7" t="str">
        <f>IF(NOT(AND(J129="",L129="")),IF(OR(AND(L129&lt;&gt;"",NOT(ISNUMBER(L129))),IFERROR(MOD(L129,1),1)&gt;0,AND(ISNUMBER(L129),OR(L129&lt;0,L129&gt;95))),"Введите целое число от 0 до 95",IF(OR(AND(J129&lt;&gt;"",NOT(ISNUMBER(J129))),IFERROR(MOD(J129,1),1)&gt;0,AND(ISNUMBER(J129),OR(J129&lt;50,J129&gt;20000000))),"Введите целое число от 50 до 20000000",IF(NOT(ABS(IFERROR(VALUE(LEFT(M129,FIND("-",M129)-1)),M129)*100-(2500+2000000000)/2)&lt;=ABS(2500-2000000000)/2),"Цена со скидкой должна быть от 25 до 20000000",IF(AND(IFERROR(VALUE(LEFT(M129,FIND("-",M129)-1)),M129)*150&lt;=479920,IFERROR(VALUE(LEFT(M129,FIND("-",M129)-1)),M129)*200&gt;479920),"Вы уменьшили цену в несколько раз, товар попадет в карантин цен",IF(IFERROR(VALUE(LEFT(M129,FIND("-",M129)-1)),M129)*200&lt;=479920,"Не сохранили изменения, чтобы защитить от ошибки — новые цены меньше текущих более чем в 2 раза. Снижайте их постепенно",IF(AND(IFERROR(VALUE(I129),0)=0,ISNUMBER(J129),OR(J129&lt;361,ABS(IFERROR(VALUE(LEFT(M129,FIND("-",M129)-1)),M129))*100&lt;36100)),"Проверьте цену товара. Большинство товаров в выбранной категории стоят дороже 361","")))))),"")</f>
      </c>
    </row>
    <row r="130">
      <c r="A130" s="2" t="inlineStr">
        <is>
          <t/>
        </is>
      </c>
      <c r="B130" s="2" t="inlineStr">
        <is>
          <t>Весы</t>
        </is>
      </c>
      <c r="C130" s="2">
        <v>600650218</v>
      </c>
      <c r="D130" s="2" t="inlineStr">
        <is>
          <t>191902</t>
        </is>
      </c>
      <c r="E130" s="2" t="inlineStr">
        <is>
          <t>2047106057772</t>
        </is>
      </c>
      <c r="F130" s="2">
        <v>0</v>
      </c>
      <c r="G130" s="2">
        <v>1</v>
      </c>
      <c r="H130" s="2">
        <v>1</v>
      </c>
      <c r="I130" s="2" t="inlineStr">
        <is>
          <t>9983</t>
        </is>
      </c>
      <c r="J130" s="4"/>
      <c r="K130" s="2">
        <v>77</v>
      </c>
      <c r="L130" s="6"/>
      <c r="M130" s="2" t="str">
        <f>IF(J130="",ROUND(I130*(1-IF(ISBLANK(L130),K130,L130)/100),2),ROUND(J130*(1-IF(ISBLANK(L130),K130,L130)/100),2))</f>
      </c>
      <c r="N130" s="7" t="str">
        <f>IF(NOT(AND(J130="",L130="")),IF(OR(AND(L130&lt;&gt;"",NOT(ISNUMBER(L130))),IFERROR(MOD(L130,1),1)&gt;0,AND(ISNUMBER(L130),OR(L130&lt;0,L130&gt;95))),"Введите целое число от 0 до 95",IF(OR(AND(J130&lt;&gt;"",NOT(ISNUMBER(J130))),IFERROR(MOD(J130,1),1)&gt;0,AND(ISNUMBER(J130),OR(J130&lt;50,J130&gt;20000000))),"Введите целое число от 50 до 20000000",IF(NOT(ABS(IFERROR(VALUE(LEFT(M130,FIND("-",M130)-1)),M130)*100-(2500+2000000000)/2)&lt;=ABS(2500-2000000000)/2),"Цена со скидкой должна быть от 25 до 20000000",IF(AND(IFERROR(VALUE(LEFT(M130,FIND("-",M130)-1)),M130)*150&lt;=229608,IFERROR(VALUE(LEFT(M130,FIND("-",M130)-1)),M130)*200&gt;229608),"Вы уменьшили цену в несколько раз, товар попадет в карантин цен",IF(IFERROR(VALUE(LEFT(M130,FIND("-",M130)-1)),M130)*200&lt;=229608,"Не сохранили изменения, чтобы защитить от ошибки — новые цены меньше текущих более чем в 2 раза. Снижайте их постепенно",IF(AND(IFERROR(VALUE(I130),0)=0,ISNUMBER(J130),OR(J130&lt;354,ABS(IFERROR(VALUE(LEFT(M130,FIND("-",M130)-1)),M130))*100&lt;35400)),"Проверьте цену товара. Большинство товаров в выбранной категории стоят дороже 354","")))))),"")</f>
      </c>
    </row>
    <row r="131">
      <c r="A131" s="2" t="inlineStr">
        <is>
          <t/>
        </is>
      </c>
      <c r="B131" s="2" t="inlineStr">
        <is>
          <t>Сумки хозяйственные</t>
        </is>
      </c>
      <c r="C131" s="2">
        <v>607797378</v>
      </c>
      <c r="D131" s="2" t="inlineStr">
        <is>
          <t>521463</t>
        </is>
      </c>
      <c r="E131" s="2" t="inlineStr">
        <is>
          <t>2047198412862</t>
        </is>
      </c>
      <c r="F131" s="2">
        <v>0</v>
      </c>
      <c r="G131" s="2">
        <v>0</v>
      </c>
      <c r="H131" s="2">
        <v>20</v>
      </c>
      <c r="I131" s="2" t="inlineStr">
        <is>
          <t>2456</t>
        </is>
      </c>
      <c r="J131" s="4"/>
      <c r="K131" s="2">
        <v>78</v>
      </c>
      <c r="L131" s="6"/>
      <c r="M131" s="2" t="str">
        <f>IF(J131="",ROUND(I131*(1-IF(ISBLANK(L131),K131,L131)/100),2),ROUND(J131*(1-IF(ISBLANK(L131),K131,L131)/100),2))</f>
      </c>
      <c r="N131" s="7" t="str">
        <f>IF(NOT(AND(J131="",L131="")),IF(OR(AND(L131&lt;&gt;"",NOT(ISNUMBER(L131))),IFERROR(MOD(L131,1),1)&gt;0,AND(ISNUMBER(L131),OR(L131&lt;0,L131&gt;95))),"Введите целое число от 0 до 95",IF(OR(AND(J131&lt;&gt;"",NOT(ISNUMBER(J131))),IFERROR(MOD(J131,1),1)&gt;0,AND(ISNUMBER(J131),OR(J131&lt;50,J131&gt;20000000))),"Введите целое число от 50 до 20000000",IF(NOT(ABS(IFERROR(VALUE(LEFT(M131,FIND("-",M131)-1)),M131)*100-(2500+2000000000)/2)&lt;=ABS(2500-2000000000)/2),"Цена со скидкой должна быть от 25 до 20000000",IF(AND(IFERROR(VALUE(LEFT(M131,FIND("-",M131)-1)),M131)*150&lt;=54031,IFERROR(VALUE(LEFT(M131,FIND("-",M131)-1)),M131)*200&gt;54031),"Вы уменьшили цену в несколько раз, товар попадет в карантин цен",IF(IFERROR(VALUE(LEFT(M131,FIND("-",M131)-1)),M131)*200&lt;=54031,"Не сохранили изменения, чтобы защитить от ошибки — новые цены меньше текущих более чем в 2 раза. Снижайте их постепенно",IF(AND(IFERROR(VALUE(I131),0)=0,ISNUMBER(J131),OR(J131&lt;281,ABS(IFERROR(VALUE(LEFT(M131,FIND("-",M131)-1)),M131))*100&lt;28100)),"Проверьте цену товара. Большинство товаров в выбранной категории стоят дороже 281","")))))),"")</f>
      </c>
    </row>
    <row r="132">
      <c r="A132" s="2" t="inlineStr">
        <is>
          <t/>
        </is>
      </c>
      <c r="B132" s="2" t="inlineStr">
        <is>
          <t>Сковороды</t>
        </is>
      </c>
      <c r="C132" s="2">
        <v>729286327</v>
      </c>
      <c r="D132" s="2" t="inlineStr">
        <is>
          <t>200209</t>
        </is>
      </c>
      <c r="E132" s="2" t="inlineStr">
        <is>
          <t>2048080622826</t>
        </is>
      </c>
      <c r="F132" s="2">
        <v>2</v>
      </c>
      <c r="G132" s="2">
        <v>2</v>
      </c>
      <c r="H132" s="2">
        <v>999</v>
      </c>
      <c r="I132" s="2" t="inlineStr">
        <is>
          <t>25020</t>
        </is>
      </c>
      <c r="J132" s="4"/>
      <c r="K132" s="2">
        <v>81</v>
      </c>
      <c r="L132" s="6"/>
      <c r="M132" s="2" t="str">
        <f>IF(J132="",ROUND(I132*(1-IF(ISBLANK(L132),K132,L132)/100),2),ROUND(J132*(1-IF(ISBLANK(L132),K132,L132)/100),2))</f>
      </c>
      <c r="N132" s="7" t="str">
        <f>IF(NOT(AND(J132="",L132="")),IF(OR(AND(L132&lt;&gt;"",NOT(ISNUMBER(L132))),IFERROR(MOD(L132,1),1)&gt;0,AND(ISNUMBER(L132),OR(L132&lt;0,L132&gt;95))),"Введите целое число от 0 до 95",IF(OR(AND(J132&lt;&gt;"",NOT(ISNUMBER(J132))),IFERROR(MOD(J132,1),1)&gt;0,AND(ISNUMBER(J132),OR(J132&lt;50,J132&gt;20000000))),"Введите целое число от 50 до 20000000",IF(NOT(ABS(IFERROR(VALUE(LEFT(M132,FIND("-",M132)-1)),M132)*100-(2500+2000000000)/2)&lt;=ABS(2500-2000000000)/2),"Цена со скидкой должна быть от 25 до 20000000",IF(AND(IFERROR(VALUE(LEFT(M132,FIND("-",M132)-1)),M132)*150&lt;=475379,IFERROR(VALUE(LEFT(M132,FIND("-",M132)-1)),M132)*200&gt;475379),"Вы уменьшили цену в несколько раз, товар попадет в карантин цен",IF(IFERROR(VALUE(LEFT(M132,FIND("-",M132)-1)),M132)*200&lt;=475379,"Не сохранили изменения, чтобы защитить от ошибки — новые цены меньше текущих более чем в 2 раза. Снижайте их постепенно",IF(AND(IFERROR(VALUE(I132),0)=0,ISNUMBER(J132),OR(J132&lt;756,ABS(IFERROR(VALUE(LEFT(M132,FIND("-",M132)-1)),M132))*100&lt;75600)),"Проверьте цену товара. Большинство товаров в выбранной категории стоят дороже 756","")))))),"")</f>
      </c>
    </row>
    <row r="133">
      <c r="A133" s="2" t="inlineStr">
        <is>
          <t/>
        </is>
      </c>
      <c r="B133" s="2" t="inlineStr">
        <is>
          <t>Кастрюли</t>
        </is>
      </c>
      <c r="C133" s="2">
        <v>729143933</v>
      </c>
      <c r="D133" s="2" t="inlineStr">
        <is>
          <t>200092</t>
        </is>
      </c>
      <c r="E133" s="2" t="inlineStr">
        <is>
          <t>2048079087674</t>
        </is>
      </c>
      <c r="F133" s="2">
        <v>5</v>
      </c>
      <c r="G133" s="2">
        <v>0</v>
      </c>
      <c r="H133" s="2">
        <v>999</v>
      </c>
      <c r="I133" s="2" t="inlineStr">
        <is>
          <t>25783</t>
        </is>
      </c>
      <c r="J133" s="4"/>
      <c r="K133" s="2">
        <v>80</v>
      </c>
      <c r="L133" s="6"/>
      <c r="M133" s="2" t="str">
        <f>IF(J133="",ROUND(I133*(1-IF(ISBLANK(L133),K133,L133)/100),2),ROUND(J133*(1-IF(ISBLANK(L133),K133,L133)/100),2))</f>
      </c>
      <c r="N133" s="7" t="str">
        <f>IF(NOT(AND(J133="",L133="")),IF(OR(AND(L133&lt;&gt;"",NOT(ISNUMBER(L133))),IFERROR(MOD(L133,1),1)&gt;0,AND(ISNUMBER(L133),OR(L133&lt;0,L133&gt;95))),"Введите целое число от 0 до 95",IF(OR(AND(J133&lt;&gt;"",NOT(ISNUMBER(J133))),IFERROR(MOD(J133,1),1)&gt;0,AND(ISNUMBER(J133),OR(J133&lt;50,J133&gt;20000000))),"Введите целое число от 50 до 20000000",IF(NOT(ABS(IFERROR(VALUE(LEFT(M133,FIND("-",M133)-1)),M133)*100-(2500+2000000000)/2)&lt;=ABS(2500-2000000000)/2),"Цена со скидкой должна быть от 25 до 20000000",IF(AND(IFERROR(VALUE(LEFT(M133,FIND("-",M133)-1)),M133)*150&lt;=515659,IFERROR(VALUE(LEFT(M133,FIND("-",M133)-1)),M133)*200&gt;515659),"Вы уменьшили цену в несколько раз, товар попадет в карантин цен",IF(IFERROR(VALUE(LEFT(M133,FIND("-",M133)-1)),M133)*200&lt;=515659,"Не сохранили изменения, чтобы защитить от ошибки — новые цены меньше текущих более чем в 2 раза. Снижайте их постепенно",IF(AND(IFERROR(VALUE(I133),0)=0,ISNUMBER(J133),OR(J133&lt;523,ABS(IFERROR(VALUE(LEFT(M133,FIND("-",M133)-1)),M133))*100&lt;52300)),"Проверьте цену товара. Большинство товаров в выбранной категории стоят дороже 523","")))))),"")</f>
      </c>
    </row>
    <row r="134">
      <c r="A134" s="2" t="inlineStr">
        <is>
          <t/>
        </is>
      </c>
      <c r="B134" s="2" t="inlineStr">
        <is>
          <t>Сковороды</t>
        </is>
      </c>
      <c r="C134" s="2">
        <v>729286964</v>
      </c>
      <c r="D134" s="2" t="inlineStr">
        <is>
          <t>200392</t>
        </is>
      </c>
      <c r="E134" s="2" t="inlineStr">
        <is>
          <t>2048080629856</t>
        </is>
      </c>
      <c r="F134" s="2">
        <v>0</v>
      </c>
      <c r="G134" s="2">
        <v>3</v>
      </c>
      <c r="H134" s="2" t="inlineStr">
        <is>
          <t/>
        </is>
      </c>
      <c r="I134" s="2" t="inlineStr">
        <is>
          <t>19834</t>
        </is>
      </c>
      <c r="J134" s="4"/>
      <c r="K134" s="2">
        <v>80</v>
      </c>
      <c r="L134" s="6"/>
      <c r="M134" s="2" t="str">
        <f>IF(J134="",ROUND(I134*(1-IF(ISBLANK(L134),K134,L134)/100),2),ROUND(J134*(1-IF(ISBLANK(L134),K134,L134)/100),2))</f>
      </c>
      <c r="N134" s="7" t="str">
        <f>IF(NOT(AND(J134="",L134="")),IF(OR(AND(L134&lt;&gt;"",NOT(ISNUMBER(L134))),IFERROR(MOD(L134,1),1)&gt;0,AND(ISNUMBER(L134),OR(L134&lt;0,L134&gt;95))),"Введите целое число от 0 до 95",IF(OR(AND(J134&lt;&gt;"",NOT(ISNUMBER(J134))),IFERROR(MOD(J134,1),1)&gt;0,AND(ISNUMBER(J134),OR(J134&lt;50,J134&gt;20000000))),"Введите целое число от 50 до 20000000",IF(NOT(ABS(IFERROR(VALUE(LEFT(M134,FIND("-",M134)-1)),M134)*100-(2500+2000000000)/2)&lt;=ABS(2500-2000000000)/2),"Цена со скидкой должна быть от 25 до 20000000",IF(AND(IFERROR(VALUE(LEFT(M134,FIND("-",M134)-1)),M134)*150&lt;=396679,IFERROR(VALUE(LEFT(M134,FIND("-",M134)-1)),M134)*200&gt;396679),"Вы уменьшили цену в несколько раз, товар попадет в карантин цен",IF(IFERROR(VALUE(LEFT(M134,FIND("-",M134)-1)),M134)*200&lt;=396679,"Не сохранили изменения, чтобы защитить от ошибки — новые цены меньше текущих более чем в 2 раза. Снижайте их постепенно",IF(AND(IFERROR(VALUE(I134),0)=0,ISNUMBER(J134),OR(J134&lt;756,ABS(IFERROR(VALUE(LEFT(M134,FIND("-",M134)-1)),M134))*100&lt;75600)),"Проверьте цену товара. Большинство товаров в выбранной категории стоят дороже 756","")))))),"")</f>
      </c>
    </row>
    <row r="135">
      <c r="A135" s="2" t="inlineStr">
        <is>
          <t>Luxaro</t>
        </is>
      </c>
      <c r="B135" s="2" t="inlineStr">
        <is>
          <t>Подставки кухонные</t>
        </is>
      </c>
      <c r="C135" s="2">
        <v>765898357</v>
      </c>
      <c r="D135" s="2" t="inlineStr">
        <is>
          <t>82013</t>
        </is>
      </c>
      <c r="E135" s="2" t="inlineStr">
        <is>
          <t>2048428541703</t>
        </is>
      </c>
      <c r="F135" s="2">
        <v>8</v>
      </c>
      <c r="G135" s="2">
        <v>44</v>
      </c>
      <c r="H135" s="2">
        <v>999</v>
      </c>
      <c r="I135" s="2" t="inlineStr">
        <is>
          <t>6050</t>
        </is>
      </c>
      <c r="J135" s="4"/>
      <c r="K135" s="2">
        <v>81</v>
      </c>
      <c r="L135" s="6"/>
      <c r="M135" s="2" t="str">
        <f>IF(J135="",ROUND(I135*(1-IF(ISBLANK(L135),K135,L135)/100),2),ROUND(J135*(1-IF(ISBLANK(L135),K135,L135)/100),2))</f>
      </c>
      <c r="N135" s="7" t="str">
        <f>IF(NOT(AND(J135="",L135="")),IF(OR(AND(L135&lt;&gt;"",NOT(ISNUMBER(L135))),IFERROR(MOD(L135,1),1)&gt;0,AND(ISNUMBER(L135),OR(L135&lt;0,L135&gt;95))),"Введите целое число от 0 до 95",IF(OR(AND(J135&lt;&gt;"",NOT(ISNUMBER(J135))),IFERROR(MOD(J135,1),1)&gt;0,AND(ISNUMBER(J135),OR(J135&lt;50,J135&gt;20000000))),"Введите целое число от 50 до 20000000",IF(NOT(ABS(IFERROR(VALUE(LEFT(M135,FIND("-",M135)-1)),M135)*100-(2500+2000000000)/2)&lt;=ABS(2500-2000000000)/2),"Цена со скидкой должна быть от 25 до 20000000",IF(AND(IFERROR(VALUE(LEFT(M135,FIND("-",M135)-1)),M135)*150&lt;=114949,IFERROR(VALUE(LEFT(M135,FIND("-",M135)-1)),M135)*200&gt;114949),"Вы уменьшили цену в несколько раз, товар попадет в карантин цен",IF(IFERROR(VALUE(LEFT(M135,FIND("-",M135)-1)),M135)*200&lt;=114949,"Не сохранили изменения, чтобы защитить от ошибки — новые цены меньше текущих более чем в 2 раза. Снижайте их постепенно",IF(AND(IFERROR(VALUE(I135),0)=0,ISNUMBER(J135),OR(J135&lt;411,ABS(IFERROR(VALUE(LEFT(M135,FIND("-",M135)-1)),M135))*100&lt;41100)),"Проверьте цену товара. Большинство товаров в выбранной категории стоят дороже 411","")))))),"")</f>
      </c>
    </row>
    <row r="136">
      <c r="A136" s="2" t="inlineStr">
        <is>
          <t/>
        </is>
      </c>
      <c r="B136" s="2" t="inlineStr">
        <is>
          <t>Кастрюли</t>
        </is>
      </c>
      <c r="C136" s="2">
        <v>729145118</v>
      </c>
      <c r="D136" s="2" t="inlineStr">
        <is>
          <t>280098</t>
        </is>
      </c>
      <c r="E136" s="2" t="inlineStr">
        <is>
          <t>2048079111232</t>
        </is>
      </c>
      <c r="F136" s="2">
        <v>3</v>
      </c>
      <c r="G136" s="2">
        <v>0</v>
      </c>
      <c r="H136" s="2">
        <v>999</v>
      </c>
      <c r="I136" s="2" t="inlineStr">
        <is>
          <t>31278</t>
        </is>
      </c>
      <c r="J136" s="4"/>
      <c r="K136" s="2">
        <v>80</v>
      </c>
      <c r="L136" s="6"/>
      <c r="M136" s="2" t="str">
        <f>IF(J136="",ROUND(I136*(1-IF(ISBLANK(L136),K136,L136)/100),2),ROUND(J136*(1-IF(ISBLANK(L136),K136,L136)/100),2))</f>
      </c>
      <c r="N136" s="7" t="str">
        <f>IF(NOT(AND(J136="",L136="")),IF(OR(AND(L136&lt;&gt;"",NOT(ISNUMBER(L136))),IFERROR(MOD(L136,1),1)&gt;0,AND(ISNUMBER(L136),OR(L136&lt;0,L136&gt;95))),"Введите целое число от 0 до 95",IF(OR(AND(J136&lt;&gt;"",NOT(ISNUMBER(J136))),IFERROR(MOD(J136,1),1)&gt;0,AND(ISNUMBER(J136),OR(J136&lt;50,J136&gt;20000000))),"Введите целое число от 50 до 20000000",IF(NOT(ABS(IFERROR(VALUE(LEFT(M136,FIND("-",M136)-1)),M136)*100-(2500+2000000000)/2)&lt;=ABS(2500-2000000000)/2),"Цена со скидкой должна быть от 25 до 20000000",IF(AND(IFERROR(VALUE(LEFT(M136,FIND("-",M136)-1)),M136)*150&lt;=625559,IFERROR(VALUE(LEFT(M136,FIND("-",M136)-1)),M136)*200&gt;625559),"Вы уменьшили цену в несколько раз, товар попадет в карантин цен",IF(IFERROR(VALUE(LEFT(M136,FIND("-",M136)-1)),M136)*200&lt;=625559,"Не сохранили изменения, чтобы защитить от ошибки — новые цены меньше текущих более чем в 2 раза. Снижайте их постепенно",IF(AND(IFERROR(VALUE(I136),0)=0,ISNUMBER(J136),OR(J136&lt;523,ABS(IFERROR(VALUE(LEFT(M136,FIND("-",M136)-1)),M136))*100&lt;52300)),"Проверьте цену товара. Большинство товаров в выбранной категории стоят дороже 523","")))))),"")</f>
      </c>
    </row>
    <row r="137">
      <c r="A137" s="2" t="inlineStr">
        <is>
          <t/>
        </is>
      </c>
      <c r="B137" s="2" t="inlineStr">
        <is>
          <t>Чайники для плиты</t>
        </is>
      </c>
      <c r="C137" s="2">
        <v>729520731</v>
      </c>
      <c r="D137" s="2" t="inlineStr">
        <is>
          <t>283461</t>
        </is>
      </c>
      <c r="E137" s="2" t="inlineStr">
        <is>
          <t>2048082928018</t>
        </is>
      </c>
      <c r="F137" s="2">
        <v>0</v>
      </c>
      <c r="G137" s="2">
        <v>0</v>
      </c>
      <c r="H137" s="2" t="inlineStr">
        <is>
          <t/>
        </is>
      </c>
      <c r="I137" s="2" t="inlineStr">
        <is>
          <t>11421</t>
        </is>
      </c>
      <c r="J137" s="4"/>
      <c r="K137" s="2">
        <v>65</v>
      </c>
      <c r="L137" s="6"/>
      <c r="M137" s="2" t="str">
        <f>IF(J137="",ROUND(I137*(1-IF(ISBLANK(L137),K137,L137)/100),2),ROUND(J137*(1-IF(ISBLANK(L137),K137,L137)/100),2))</f>
      </c>
      <c r="N137" s="7" t="str">
        <f>IF(NOT(AND(J137="",L137="")),IF(OR(AND(L137&lt;&gt;"",NOT(ISNUMBER(L137))),IFERROR(MOD(L137,1),1)&gt;0,AND(ISNUMBER(L137),OR(L137&lt;0,L137&gt;95))),"Введите целое число от 0 до 95",IF(OR(AND(J137&lt;&gt;"",NOT(ISNUMBER(J137))),IFERROR(MOD(J137,1),1)&gt;0,AND(ISNUMBER(J137),OR(J137&lt;50,J137&gt;20000000))),"Введите целое число от 50 до 20000000",IF(NOT(ABS(IFERROR(VALUE(LEFT(M137,FIND("-",M137)-1)),M137)*100-(2500+2000000000)/2)&lt;=ABS(2500-2000000000)/2),"Цена со скидкой должна быть от 25 до 20000000",IF(AND(IFERROR(VALUE(LEFT(M137,FIND("-",M137)-1)),M137)*150&lt;=399735,IFERROR(VALUE(LEFT(M137,FIND("-",M137)-1)),M137)*200&gt;399735),"Вы уменьшили цену в несколько раз, товар попадет в карантин цен",IF(IFERROR(VALUE(LEFT(M137,FIND("-",M137)-1)),M137)*200&lt;=399735,"Не сохранили изменения, чтобы защитить от ошибки — новые цены меньше текущих более чем в 2 раза. Снижайте их постепенно",IF(AND(IFERROR(VALUE(I137),0)=0,ISNUMBER(J137),OR(J137&lt;468,ABS(IFERROR(VALUE(LEFT(M137,FIND("-",M137)-1)),M137))*100&lt;46800)),"Проверьте цену товара. Большинство товаров в выбранной категории стоят дороже 468","")))))),"")</f>
      </c>
    </row>
    <row r="138">
      <c r="A138" s="2" t="inlineStr">
        <is>
          <t>Veloria</t>
        </is>
      </c>
      <c r="B138" s="2" t="inlineStr">
        <is>
          <t>Рулетки</t>
        </is>
      </c>
      <c r="C138" s="2">
        <v>250781175</v>
      </c>
      <c r="D138" s="2" t="inlineStr">
        <is>
          <t>891074</t>
        </is>
      </c>
      <c r="E138" s="2" t="inlineStr">
        <is>
          <t>4680093961325</t>
        </is>
      </c>
      <c r="F138" s="2">
        <v>0</v>
      </c>
      <c r="G138" s="2">
        <v>0</v>
      </c>
      <c r="H138" s="2">
        <v>1</v>
      </c>
      <c r="I138" s="2" t="inlineStr">
        <is>
          <t>1708</t>
        </is>
      </c>
      <c r="J138" s="4"/>
      <c r="K138" s="2">
        <v>65</v>
      </c>
      <c r="L138" s="6"/>
      <c r="M138" s="2" t="str">
        <f>IF(J138="",ROUND(I138*(1-IF(ISBLANK(L138),K138,L138)/100),2),ROUND(J138*(1-IF(ISBLANK(L138),K138,L138)/100),2))</f>
      </c>
      <c r="N138" s="7" t="str">
        <f>IF(NOT(AND(J138="",L138="")),IF(OR(AND(L138&lt;&gt;"",NOT(ISNUMBER(L138))),IFERROR(MOD(L138,1),1)&gt;0,AND(ISNUMBER(L138),OR(L138&lt;0,L138&gt;95))),"Введите целое число от 0 до 95",IF(OR(AND(J138&lt;&gt;"",NOT(ISNUMBER(J138))),IFERROR(MOD(J138,1),1)&gt;0,AND(ISNUMBER(J138),OR(J138&lt;50,J138&gt;20000000))),"Введите целое число от 50 до 20000000",IF(NOT(ABS(IFERROR(VALUE(LEFT(M138,FIND("-",M138)-1)),M138)*100-(2500+2000000000)/2)&lt;=ABS(2500-2000000000)/2),"Цена со скидкой должна быть от 25 до 20000000",IF(AND(IFERROR(VALUE(LEFT(M138,FIND("-",M138)-1)),M138)*150&lt;=59779,IFERROR(VALUE(LEFT(M138,FIND("-",M138)-1)),M138)*200&gt;59779),"Вы уменьшили цену в несколько раз, товар попадет в карантин цен",IF(IFERROR(VALUE(LEFT(M138,FIND("-",M138)-1)),M138)*200&lt;=59779,"Не сохранили изменения, чтобы защитить от ошибки — новые цены меньше текущих более чем в 2 раза. Снижайте их постепенно",IF(AND(IFERROR(VALUE(I138),0)=0,ISNUMBER(J138),OR(J138&lt;275,ABS(IFERROR(VALUE(LEFT(M138,FIND("-",M138)-1)),M138))*100&lt;27500)),"Проверьте цену товара. Большинство товаров в выбранной категории стоят дороже 275","")))))),"")</f>
      </c>
    </row>
    <row r="139">
      <c r="A139" s="2" t="inlineStr">
        <is>
          <t/>
        </is>
      </c>
      <c r="B139" s="2" t="inlineStr">
        <is>
          <t>Подставки кухонные</t>
        </is>
      </c>
      <c r="C139" s="2">
        <v>727240993</v>
      </c>
      <c r="D139" s="2" t="inlineStr">
        <is>
          <t>281042</t>
        </is>
      </c>
      <c r="E139" s="2" t="inlineStr">
        <is>
          <t>2048061219564</t>
        </is>
      </c>
      <c r="F139" s="2">
        <v>30</v>
      </c>
      <c r="G139" s="2">
        <v>30</v>
      </c>
      <c r="H139" s="2">
        <v>999</v>
      </c>
      <c r="I139" s="2" t="inlineStr">
        <is>
          <t>3864</t>
        </is>
      </c>
      <c r="J139" s="4"/>
      <c r="K139" s="2">
        <v>80</v>
      </c>
      <c r="L139" s="6"/>
      <c r="M139" s="2" t="str">
        <f>IF(J139="",ROUND(I139*(1-IF(ISBLANK(L139),K139,L139)/100),2),ROUND(J139*(1-IF(ISBLANK(L139),K139,L139)/100),2))</f>
      </c>
      <c r="N139" s="7" t="str">
        <f>IF(NOT(AND(J139="",L139="")),IF(OR(AND(L139&lt;&gt;"",NOT(ISNUMBER(L139))),IFERROR(MOD(L139,1),1)&gt;0,AND(ISNUMBER(L139),OR(L139&lt;0,L139&gt;95))),"Введите целое число от 0 до 95",IF(OR(AND(J139&lt;&gt;"",NOT(ISNUMBER(J139))),IFERROR(MOD(J139,1),1)&gt;0,AND(ISNUMBER(J139),OR(J139&lt;50,J139&gt;20000000))),"Введите целое число от 50 до 20000000",IF(NOT(ABS(IFERROR(VALUE(LEFT(M139,FIND("-",M139)-1)),M139)*100-(2500+2000000000)/2)&lt;=ABS(2500-2000000000)/2),"Цена со скидкой должна быть от 25 до 20000000",IF(AND(IFERROR(VALUE(LEFT(M139,FIND("-",M139)-1)),M139)*150&lt;=77279,IFERROR(VALUE(LEFT(M139,FIND("-",M139)-1)),M139)*200&gt;77279),"Вы уменьшили цену в несколько раз, товар попадет в карантин цен",IF(IFERROR(VALUE(LEFT(M139,FIND("-",M139)-1)),M139)*200&lt;=77279,"Не сохранили изменения, чтобы защитить от ошибки — новые цены меньше текущих более чем в 2 раза. Снижайте их постепенно",IF(AND(IFERROR(VALUE(I139),0)=0,ISNUMBER(J139),OR(J139&lt;411,ABS(IFERROR(VALUE(LEFT(M139,FIND("-",M139)-1)),M139))*100&lt;41100)),"Проверьте цену товара. Большинство товаров в выбранной категории стоят дороже 411","")))))),"")</f>
      </c>
    </row>
    <row r="140">
      <c r="A140" s="2" t="inlineStr">
        <is>
          <t/>
        </is>
      </c>
      <c r="B140" s="2" t="inlineStr">
        <is>
          <t>Сковороды</t>
        </is>
      </c>
      <c r="C140" s="2">
        <v>729285929</v>
      </c>
      <c r="D140" s="2" t="inlineStr">
        <is>
          <t>200525</t>
        </is>
      </c>
      <c r="E140" s="2" t="inlineStr">
        <is>
          <t>2048080618416</t>
        </is>
      </c>
      <c r="F140" s="2">
        <v>0</v>
      </c>
      <c r="G140" s="2">
        <v>4</v>
      </c>
      <c r="H140" s="2" t="inlineStr">
        <is>
          <t/>
        </is>
      </c>
      <c r="I140" s="2" t="inlineStr">
        <is>
          <t>28892</t>
        </is>
      </c>
      <c r="J140" s="4"/>
      <c r="K140" s="2">
        <v>77</v>
      </c>
      <c r="L140" s="6"/>
      <c r="M140" s="2" t="str">
        <f>IF(J140="",ROUND(I140*(1-IF(ISBLANK(L140),K140,L140)/100),2),ROUND(J140*(1-IF(ISBLANK(L140),K140,L140)/100),2))</f>
      </c>
      <c r="N140" s="7" t="str">
        <f>IF(NOT(AND(J140="",L140="")),IF(OR(AND(L140&lt;&gt;"",NOT(ISNUMBER(L140))),IFERROR(MOD(L140,1),1)&gt;0,AND(ISNUMBER(L140),OR(L140&lt;0,L140&gt;95))),"Введите целое число от 0 до 95",IF(OR(AND(J140&lt;&gt;"",NOT(ISNUMBER(J140))),IFERROR(MOD(J140,1),1)&gt;0,AND(ISNUMBER(J140),OR(J140&lt;50,J140&gt;20000000))),"Введите целое число от 50 до 20000000",IF(NOT(ABS(IFERROR(VALUE(LEFT(M140,FIND("-",M140)-1)),M140)*100-(2500+2000000000)/2)&lt;=ABS(2500-2000000000)/2),"Цена со скидкой должна быть от 25 до 20000000",IF(AND(IFERROR(VALUE(LEFT(M140,FIND("-",M140)-1)),M140)*150&lt;=664516,IFERROR(VALUE(LEFT(M140,FIND("-",M140)-1)),M140)*200&gt;664516),"Вы уменьшили цену в несколько раз, товар попадет в карантин цен",IF(IFERROR(VALUE(LEFT(M140,FIND("-",M140)-1)),M140)*200&lt;=664516,"Не сохранили изменения, чтобы защитить от ошибки — новые цены меньше текущих более чем в 2 раза. Снижайте их постепенно",IF(AND(IFERROR(VALUE(I140),0)=0,ISNUMBER(J140),OR(J140&lt;756,ABS(IFERROR(VALUE(LEFT(M140,FIND("-",M140)-1)),M140))*100&lt;75600)),"Проверьте цену товара. Большинство товаров в выбранной категории стоят дороже 756","")))))),"")</f>
      </c>
    </row>
    <row r="141">
      <c r="A141" s="2" t="inlineStr">
        <is>
          <t/>
        </is>
      </c>
      <c r="B141" s="2" t="inlineStr">
        <is>
          <t>Шейкеры барные</t>
        </is>
      </c>
      <c r="C141" s="2">
        <v>329992638</v>
      </c>
      <c r="D141" s="2" t="inlineStr">
        <is>
          <t>456851</t>
        </is>
      </c>
      <c r="E141" s="2" t="inlineStr">
        <is>
          <t>4670294453989</t>
        </is>
      </c>
      <c r="F141" s="2">
        <v>0</v>
      </c>
      <c r="G141" s="2">
        <v>0</v>
      </c>
      <c r="H141" s="2">
        <v>1</v>
      </c>
      <c r="I141" s="2" t="inlineStr">
        <is>
          <t>3153</t>
        </is>
      </c>
      <c r="J141" s="4"/>
      <c r="K141" s="2">
        <v>65</v>
      </c>
      <c r="L141" s="6"/>
      <c r="M141" s="2" t="str">
        <f>IF(J141="",ROUND(I141*(1-IF(ISBLANK(L141),K141,L141)/100),2),ROUND(J141*(1-IF(ISBLANK(L141),K141,L141)/100),2))</f>
      </c>
      <c r="N141" s="7" t="str">
        <f>IF(NOT(AND(J141="",L141="")),IF(OR(AND(L141&lt;&gt;"",NOT(ISNUMBER(L141))),IFERROR(MOD(L141,1),1)&gt;0,AND(ISNUMBER(L141),OR(L141&lt;0,L141&gt;95))),"Введите целое число от 0 до 95",IF(OR(AND(J141&lt;&gt;"",NOT(ISNUMBER(J141))),IFERROR(MOD(J141,1),1)&gt;0,AND(ISNUMBER(J141),OR(J141&lt;50,J141&gt;20000000))),"Введите целое число от 50 до 20000000",IF(NOT(ABS(IFERROR(VALUE(LEFT(M141,FIND("-",M141)-1)),M141)*100-(2500+2000000000)/2)&lt;=ABS(2500-2000000000)/2),"Цена со скидкой должна быть от 25 до 20000000",IF(AND(IFERROR(VALUE(LEFT(M141,FIND("-",M141)-1)),M141)*150&lt;=110355,IFERROR(VALUE(LEFT(M141,FIND("-",M141)-1)),M141)*200&gt;110355),"Вы уменьшили цену в несколько раз, товар попадет в карантин цен",IF(IFERROR(VALUE(LEFT(M141,FIND("-",M141)-1)),M141)*200&lt;=110355,"Не сохранили изменения, чтобы защитить от ошибки — новые цены меньше текущих более чем в 2 раза. Снижайте их постепенно",IF(AND(IFERROR(VALUE(I141),0)=0,ISNUMBER(J141),OR(J141&lt;361,ABS(IFERROR(VALUE(LEFT(M141,FIND("-",M141)-1)),M141))*100&lt;36100)),"Проверьте цену товара. Большинство товаров в выбранной категории стоят дороже 361","")))))),"")</f>
      </c>
    </row>
    <row r="142">
      <c r="A142" s="2" t="inlineStr">
        <is>
          <t>Luxaro</t>
        </is>
      </c>
      <c r="B142" s="2" t="inlineStr">
        <is>
          <t>Подставки кухонные</t>
        </is>
      </c>
      <c r="C142" s="2">
        <v>543589416</v>
      </c>
      <c r="D142" s="2" t="inlineStr">
        <is>
          <t>283386</t>
        </is>
      </c>
      <c r="E142" s="2" t="inlineStr">
        <is>
          <t>4670294456102</t>
        </is>
      </c>
      <c r="F142" s="2">
        <v>50</v>
      </c>
      <c r="G142" s="2">
        <v>312</v>
      </c>
      <c r="H142" s="2">
        <v>728</v>
      </c>
      <c r="I142" s="2" t="inlineStr">
        <is>
          <t>3972</t>
        </is>
      </c>
      <c r="J142" s="4"/>
      <c r="K142" s="2">
        <v>75</v>
      </c>
      <c r="L142" s="6"/>
      <c r="M142" s="2" t="str">
        <f>IF(J142="",ROUND(I142*(1-IF(ISBLANK(L142),K142,L142)/100),2),ROUND(J142*(1-IF(ISBLANK(L142),K142,L142)/100),2))</f>
      </c>
      <c r="N142" s="7" t="str">
        <f>IF(NOT(AND(J142="",L142="")),IF(OR(AND(L142&lt;&gt;"",NOT(ISNUMBER(L142))),IFERROR(MOD(L142,1),1)&gt;0,AND(ISNUMBER(L142),OR(L142&lt;0,L142&gt;95))),"Введите целое число от 0 до 95",IF(OR(AND(J142&lt;&gt;"",NOT(ISNUMBER(J142))),IFERROR(MOD(J142,1),1)&gt;0,AND(ISNUMBER(J142),OR(J142&lt;50,J142&gt;20000000))),"Введите целое число от 50 до 20000000",IF(NOT(ABS(IFERROR(VALUE(LEFT(M142,FIND("-",M142)-1)),M142)*100-(2500+2000000000)/2)&lt;=ABS(2500-2000000000)/2),"Цена со скидкой должна быть от 25 до 20000000",IF(AND(IFERROR(VALUE(LEFT(M142,FIND("-",M142)-1)),M142)*150&lt;=99300,IFERROR(VALUE(LEFT(M142,FIND("-",M142)-1)),M142)*200&gt;99300),"Вы уменьшили цену в несколько раз, товар попадет в карантин цен",IF(IFERROR(VALUE(LEFT(M142,FIND("-",M142)-1)),M142)*200&lt;=99300,"Не сохранили изменения, чтобы защитить от ошибки — новые цены меньше текущих более чем в 2 раза. Снижайте их постепенно",IF(AND(IFERROR(VALUE(I142),0)=0,ISNUMBER(J142),OR(J142&lt;411,ABS(IFERROR(VALUE(LEFT(M142,FIND("-",M142)-1)),M142))*100&lt;41100)),"Проверьте цену товара. Большинство товаров в выбранной категории стоят дороже 411","")))))),"")</f>
      </c>
    </row>
    <row r="143">
      <c r="A143" s="2" t="inlineStr">
        <is>
          <t/>
        </is>
      </c>
      <c r="B143" s="2" t="inlineStr">
        <is>
          <t>Наборы кухонных принадлежностей</t>
        </is>
      </c>
      <c r="C143" s="2">
        <v>600639309</v>
      </c>
      <c r="D143" s="2" t="inlineStr">
        <is>
          <t>523514</t>
        </is>
      </c>
      <c r="E143" s="2" t="inlineStr">
        <is>
          <t>2047129194478</t>
        </is>
      </c>
      <c r="F143" s="2">
        <v>0</v>
      </c>
      <c r="G143" s="2">
        <v>0</v>
      </c>
      <c r="H143" s="2" t="inlineStr">
        <is>
          <t/>
        </is>
      </c>
      <c r="I143" s="2" t="inlineStr">
        <is>
          <t>9694</t>
        </is>
      </c>
      <c r="J143" s="4"/>
      <c r="K143" s="2">
        <v>65</v>
      </c>
      <c r="L143" s="6"/>
      <c r="M143" s="2" t="str">
        <f>IF(J143="",ROUND(I143*(1-IF(ISBLANK(L143),K143,L143)/100),2),ROUND(J143*(1-IF(ISBLANK(L143),K143,L143)/100),2))</f>
      </c>
      <c r="N143" s="7" t="str">
        <f>IF(NOT(AND(J143="",L143="")),IF(OR(AND(L143&lt;&gt;"",NOT(ISNUMBER(L143))),IFERROR(MOD(L143,1),1)&gt;0,AND(ISNUMBER(L143),OR(L143&lt;0,L143&gt;95))),"Введите целое число от 0 до 95",IF(OR(AND(J143&lt;&gt;"",NOT(ISNUMBER(J143))),IFERROR(MOD(J143,1),1)&gt;0,AND(ISNUMBER(J143),OR(J143&lt;50,J143&gt;20000000))),"Введите целое число от 50 до 20000000",IF(NOT(ABS(IFERROR(VALUE(LEFT(M143,FIND("-",M143)-1)),M143)*100-(2500+2000000000)/2)&lt;=ABS(2500-2000000000)/2),"Цена со скидкой должна быть от 25 до 20000000",IF(AND(IFERROR(VALUE(LEFT(M143,FIND("-",M143)-1)),M143)*150&lt;=339289,IFERROR(VALUE(LEFT(M143,FIND("-",M143)-1)),M143)*200&gt;339289),"Вы уменьшили цену в несколько раз, товар попадет в карантин цен",IF(IFERROR(VALUE(LEFT(M143,FIND("-",M143)-1)),M143)*200&lt;=339289,"Не сохранили изменения, чтобы защитить от ошибки — новые цены меньше текущих более чем в 2 раза. Снижайте их постепенно",IF(AND(IFERROR(VALUE(I143),0)=0,ISNUMBER(J143),OR(J143&lt;396,ABS(IFERROR(VALUE(LEFT(M143,FIND("-",M143)-1)),M143))*100&lt;39600)),"Проверьте цену товара. Большинство товаров в выбранной категории стоят дороже 396","")))))),"")</f>
      </c>
    </row>
    <row r="144">
      <c r="A144" s="2" t="inlineStr">
        <is>
          <t/>
        </is>
      </c>
      <c r="B144" s="2" t="inlineStr">
        <is>
          <t>Лотки для приборов</t>
        </is>
      </c>
      <c r="C144" s="2">
        <v>619261002</v>
      </c>
      <c r="D144" s="2" t="inlineStr">
        <is>
          <t>457070</t>
        </is>
      </c>
      <c r="E144" s="2" t="inlineStr">
        <is>
          <t>2047320885502</t>
        </is>
      </c>
      <c r="F144" s="2">
        <v>24</v>
      </c>
      <c r="G144" s="2">
        <v>13</v>
      </c>
      <c r="H144" s="2">
        <v>199</v>
      </c>
      <c r="I144" s="2" t="inlineStr">
        <is>
          <t>7572</t>
        </is>
      </c>
      <c r="J144" s="4"/>
      <c r="K144" s="2">
        <v>83</v>
      </c>
      <c r="L144" s="6"/>
      <c r="M144" s="2" t="str">
        <f>IF(J144="",ROUND(I144*(1-IF(ISBLANK(L144),K144,L144)/100),2),ROUND(J144*(1-IF(ISBLANK(L144),K144,L144)/100),2))</f>
      </c>
      <c r="N144" s="7" t="str">
        <f>IF(NOT(AND(J144="",L144="")),IF(OR(AND(L144&lt;&gt;"",NOT(ISNUMBER(L144))),IFERROR(MOD(L144,1),1)&gt;0,AND(ISNUMBER(L144),OR(L144&lt;0,L144&gt;95))),"Введите целое число от 0 до 95",IF(OR(AND(J144&lt;&gt;"",NOT(ISNUMBER(J144))),IFERROR(MOD(J144,1),1)&gt;0,AND(ISNUMBER(J144),OR(J144&lt;50,J144&gt;20000000))),"Введите целое число от 50 до 20000000",IF(NOT(ABS(IFERROR(VALUE(LEFT(M144,FIND("-",M144)-1)),M144)*100-(2500+2000000000)/2)&lt;=ABS(2500-2000000000)/2),"Цена со скидкой должна быть от 25 до 20000000",IF(AND(IFERROR(VALUE(LEFT(M144,FIND("-",M144)-1)),M144)*150&lt;=128724,IFERROR(VALUE(LEFT(M144,FIND("-",M144)-1)),M144)*200&gt;128724),"Вы уменьшили цену в несколько раз, товар попадет в карантин цен",IF(IFERROR(VALUE(LEFT(M144,FIND("-",M144)-1)),M144)*200&lt;=128724,"Не сохранили изменения, чтобы защитить от ошибки — новые цены меньше текущих более чем в 2 раза. Снижайте их постепенно",IF(AND(IFERROR(VALUE(I144),0)=0,ISNUMBER(J144),OR(J144&lt;242,ABS(IFERROR(VALUE(LEFT(M144,FIND("-",M144)-1)),M144))*100&lt;24200)),"Проверьте цену товара. Большинство товаров в выбранной категории стоят дороже 242","")))))),"")</f>
      </c>
    </row>
    <row r="145">
      <c r="A145" s="2" t="inlineStr">
        <is>
          <t/>
        </is>
      </c>
      <c r="B145" s="2" t="inlineStr">
        <is>
          <t>Шейкеры барные</t>
        </is>
      </c>
      <c r="C145" s="2">
        <v>329992637</v>
      </c>
      <c r="D145" s="2" t="inlineStr">
        <is>
          <t>456850</t>
        </is>
      </c>
      <c r="E145" s="2" t="inlineStr">
        <is>
          <t>4670294453972</t>
        </is>
      </c>
      <c r="F145" s="2">
        <v>0</v>
      </c>
      <c r="G145" s="2">
        <v>0</v>
      </c>
      <c r="H145" s="2">
        <v>1</v>
      </c>
      <c r="I145" s="2" t="inlineStr">
        <is>
          <t>2241</t>
        </is>
      </c>
      <c r="J145" s="4"/>
      <c r="K145" s="2">
        <v>65</v>
      </c>
      <c r="L145" s="6"/>
      <c r="M145" s="2" t="str">
        <f>IF(J145="",ROUND(I145*(1-IF(ISBLANK(L145),K145,L145)/100),2),ROUND(J145*(1-IF(ISBLANK(L145),K145,L145)/100),2))</f>
      </c>
      <c r="N145" s="7" t="str">
        <f>IF(NOT(AND(J145="",L145="")),IF(OR(AND(L145&lt;&gt;"",NOT(ISNUMBER(L145))),IFERROR(MOD(L145,1),1)&gt;0,AND(ISNUMBER(L145),OR(L145&lt;0,L145&gt;95))),"Введите целое число от 0 до 95",IF(OR(AND(J145&lt;&gt;"",NOT(ISNUMBER(J145))),IFERROR(MOD(J145,1),1)&gt;0,AND(ISNUMBER(J145),OR(J145&lt;50,J145&gt;20000000))),"Введите целое число от 50 до 20000000",IF(NOT(ABS(IFERROR(VALUE(LEFT(M145,FIND("-",M145)-1)),M145)*100-(2500+2000000000)/2)&lt;=ABS(2500-2000000000)/2),"Цена со скидкой должна быть от 25 до 20000000",IF(AND(IFERROR(VALUE(LEFT(M145,FIND("-",M145)-1)),M145)*150&lt;=78434,IFERROR(VALUE(LEFT(M145,FIND("-",M145)-1)),M145)*200&gt;78434),"Вы уменьшили цену в несколько раз, товар попадет в карантин цен",IF(IFERROR(VALUE(LEFT(M145,FIND("-",M145)-1)),M145)*200&lt;=78434,"Не сохранили изменения, чтобы защитить от ошибки — новые цены меньше текущих более чем в 2 раза. Снижайте их постепенно",IF(AND(IFERROR(VALUE(I145),0)=0,ISNUMBER(J145),OR(J145&lt;361,ABS(IFERROR(VALUE(LEFT(M145,FIND("-",M145)-1)),M145))*100&lt;36100)),"Проверьте цену товара. Большинство товаров в выбранной категории стоят дороже 361","")))))),"")</f>
      </c>
    </row>
    <row r="146">
      <c r="A146" s="2" t="inlineStr">
        <is>
          <t>Laly Бижутерия</t>
        </is>
      </c>
      <c r="B146" s="2" t="inlineStr">
        <is>
          <t>Чокеры</t>
        </is>
      </c>
      <c r="C146" s="2">
        <v>277128006</v>
      </c>
      <c r="D146" s="2" t="inlineStr">
        <is>
          <t>55795</t>
        </is>
      </c>
      <c r="E146" s="2" t="inlineStr">
        <is>
          <t>4670294453637</t>
        </is>
      </c>
      <c r="F146" s="2">
        <v>1</v>
      </c>
      <c r="G146" s="2">
        <v>1</v>
      </c>
      <c r="H146" s="2">
        <v>30</v>
      </c>
      <c r="I146" s="2" t="inlineStr">
        <is>
          <t>4757</t>
        </is>
      </c>
      <c r="J146" s="4"/>
      <c r="K146" s="2">
        <v>81</v>
      </c>
      <c r="L146" s="6"/>
      <c r="M146" s="2" t="str">
        <f>IF(J146="",ROUND(I146*(1-IF(ISBLANK(L146),K146,L146)/100),2),ROUND(J146*(1-IF(ISBLANK(L146),K146,L146)/100),2))</f>
      </c>
      <c r="N146" s="7" t="str">
        <f>IF(NOT(AND(J146="",L146="")),IF(OR(AND(L146&lt;&gt;"",NOT(ISNUMBER(L146))),IFERROR(MOD(L146,1),1)&gt;0,AND(ISNUMBER(L146),OR(L146&lt;0,L146&gt;95))),"Введите целое число от 0 до 95",IF(OR(AND(J146&lt;&gt;"",NOT(ISNUMBER(J146))),IFERROR(MOD(J146,1),1)&gt;0,AND(ISNUMBER(J146),OR(J146&lt;50,J146&gt;20000000))),"Введите целое число от 50 до 20000000",IF(NOT(ABS(IFERROR(VALUE(LEFT(M146,FIND("-",M146)-1)),M146)*100-(2500+2000000000)/2)&lt;=ABS(2500-2000000000)/2),"Цена со скидкой должна быть от 25 до 20000000",IF(AND(IFERROR(VALUE(LEFT(M146,FIND("-",M146)-1)),M146)*150&lt;=90382,IFERROR(VALUE(LEFT(M146,FIND("-",M146)-1)),M146)*200&gt;90382),"Вы уменьшили цену в несколько раз, товар попадет в карантин цен",IF(IFERROR(VALUE(LEFT(M146,FIND("-",M146)-1)),M146)*200&lt;=90382,"Не сохранили изменения, чтобы защитить от ошибки — новые цены меньше текущих более чем в 2 раза. Снижайте их постепенно",IF(AND(IFERROR(VALUE(I146),0)=0,ISNUMBER(J146),OR(J146&lt;197,ABS(IFERROR(VALUE(LEFT(M146,FIND("-",M146)-1)),M146))*100&lt;19700)),"Проверьте цену товара. Большинство товаров в выбранной категории стоят дороже 197","")))))),"")</f>
      </c>
    </row>
    <row r="147">
      <c r="A147" s="2" t="inlineStr">
        <is>
          <t/>
        </is>
      </c>
      <c r="B147" s="2" t="inlineStr">
        <is>
          <t>Массажеры электрические</t>
        </is>
      </c>
      <c r="C147" s="2">
        <v>932760687</v>
      </c>
      <c r="D147" s="2" t="inlineStr">
        <is>
          <t>192669</t>
        </is>
      </c>
      <c r="E147" s="2" t="inlineStr">
        <is>
          <t>4670294457161</t>
        </is>
      </c>
      <c r="F147" s="2">
        <v>0</v>
      </c>
      <c r="G147" s="2">
        <v>56</v>
      </c>
      <c r="H147" s="2" t="inlineStr">
        <is>
          <t/>
        </is>
      </c>
      <c r="I147" s="2" t="inlineStr">
        <is>
          <t>7998</t>
        </is>
      </c>
      <c r="J147" s="4"/>
      <c r="K147" s="2">
        <v>78</v>
      </c>
      <c r="L147" s="6"/>
      <c r="M147" s="2" t="str">
        <f>IF(J147="",ROUND(I147*(1-IF(ISBLANK(L147),K147,L147)/100),2),ROUND(J147*(1-IF(ISBLANK(L147),K147,L147)/100),2))</f>
      </c>
      <c r="N147" s="7" t="str">
        <f>IF(NOT(AND(J147="",L147="")),IF(OR(AND(L147&lt;&gt;"",NOT(ISNUMBER(L147))),IFERROR(MOD(L147,1),1)&gt;0,AND(ISNUMBER(L147),OR(L147&lt;0,L147&gt;95))),"Введите целое число от 0 до 95",IF(OR(AND(J147&lt;&gt;"",NOT(ISNUMBER(J147))),IFERROR(MOD(J147,1),1)&gt;0,AND(ISNUMBER(J147),OR(J147&lt;50,J147&gt;20000000))),"Введите целое число от 50 до 20000000",IF(NOT(ABS(IFERROR(VALUE(LEFT(M147,FIND("-",M147)-1)),M147)*100-(2500+2000000000)/2)&lt;=ABS(2500-2000000000)/2),"Цена со скидкой должна быть от 25 до 20000000",IF(AND(IFERROR(VALUE(LEFT(M147,FIND("-",M147)-1)),M147)*150&lt;=175955,IFERROR(VALUE(LEFT(M147,FIND("-",M147)-1)),M147)*200&gt;175955),"Вы уменьшили цену в несколько раз, товар попадет в карантин цен",IF(IFERROR(VALUE(LEFT(M147,FIND("-",M147)-1)),M147)*200&lt;=175955,"Не сохранили изменения, чтобы защитить от ошибки — новые цены меньше текущих более чем в 2 раза. Снижайте их постепенно",IF(AND(IFERROR(VALUE(I147),0)=0,ISNUMBER(J147),OR(J147&lt;378,ABS(IFERROR(VALUE(LEFT(M147,FIND("-",M147)-1)),M147))*100&lt;37800)),"Проверьте цену товара. Большинство товаров в выбранной категории стоят дороже 378","")))))),"")</f>
      </c>
    </row>
    <row r="148">
      <c r="A148" s="2" t="inlineStr">
        <is>
          <t/>
        </is>
      </c>
      <c r="B148" s="2" t="inlineStr">
        <is>
          <t>Чайники для плиты</t>
        </is>
      </c>
      <c r="C148" s="2">
        <v>729520836</v>
      </c>
      <c r="D148" s="2" t="inlineStr">
        <is>
          <t>283535</t>
        </is>
      </c>
      <c r="E148" s="2" t="inlineStr">
        <is>
          <t>2048082929084</t>
        </is>
      </c>
      <c r="F148" s="2">
        <v>0</v>
      </c>
      <c r="G148" s="2">
        <v>10</v>
      </c>
      <c r="H148" s="2" t="inlineStr">
        <is>
          <t/>
        </is>
      </c>
      <c r="I148" s="2" t="inlineStr">
        <is>
          <t>18397</t>
        </is>
      </c>
      <c r="J148" s="4"/>
      <c r="K148" s="2">
        <v>80</v>
      </c>
      <c r="L148" s="6"/>
      <c r="M148" s="2" t="str">
        <f>IF(J148="",ROUND(I148*(1-IF(ISBLANK(L148),K148,L148)/100),2),ROUND(J148*(1-IF(ISBLANK(L148),K148,L148)/100),2))</f>
      </c>
      <c r="N148" s="7" t="str">
        <f>IF(NOT(AND(J148="",L148="")),IF(OR(AND(L148&lt;&gt;"",NOT(ISNUMBER(L148))),IFERROR(MOD(L148,1),1)&gt;0,AND(ISNUMBER(L148),OR(L148&lt;0,L148&gt;95))),"Введите целое число от 0 до 95",IF(OR(AND(J148&lt;&gt;"",NOT(ISNUMBER(J148))),IFERROR(MOD(J148,1),1)&gt;0,AND(ISNUMBER(J148),OR(J148&lt;50,J148&gt;20000000))),"Введите целое число от 50 до 20000000",IF(NOT(ABS(IFERROR(VALUE(LEFT(M148,FIND("-",M148)-1)),M148)*100-(2500+2000000000)/2)&lt;=ABS(2500-2000000000)/2),"Цена со скидкой должна быть от 25 до 20000000",IF(AND(IFERROR(VALUE(LEFT(M148,FIND("-",M148)-1)),M148)*150&lt;=367939,IFERROR(VALUE(LEFT(M148,FIND("-",M148)-1)),M148)*200&gt;367939),"Вы уменьшили цену в несколько раз, товар попадет в карантин цен",IF(IFERROR(VALUE(LEFT(M148,FIND("-",M148)-1)),M148)*200&lt;=367939,"Не сохранили изменения, чтобы защитить от ошибки — новые цены меньше текущих более чем в 2 раза. Снижайте их постепенно",IF(AND(IFERROR(VALUE(I148),0)=0,ISNUMBER(J148),OR(J148&lt;468,ABS(IFERROR(VALUE(LEFT(M148,FIND("-",M148)-1)),M148))*100&lt;46800)),"Проверьте цену товара. Большинство товаров в выбранной категории стоят дороже 468","")))))),"")</f>
      </c>
    </row>
    <row r="149">
      <c r="A149" s="2" t="inlineStr">
        <is>
          <t>Luxaro</t>
        </is>
      </c>
      <c r="B149" s="2" t="inlineStr">
        <is>
          <t>Контейнеры для корма</t>
        </is>
      </c>
      <c r="C149" s="2">
        <v>303718709</v>
      </c>
      <c r="D149" s="2" t="inlineStr">
        <is>
          <t>456454</t>
        </is>
      </c>
      <c r="E149" s="2" t="inlineStr">
        <is>
          <t>4680638702451</t>
        </is>
      </c>
      <c r="F149" s="2">
        <v>30</v>
      </c>
      <c r="G149" s="2">
        <v>417</v>
      </c>
      <c r="H149" s="2">
        <v>66</v>
      </c>
      <c r="I149" s="2" t="inlineStr">
        <is>
          <t>7634</t>
        </is>
      </c>
      <c r="J149" s="4"/>
      <c r="K149" s="2">
        <v>76</v>
      </c>
      <c r="L149" s="6"/>
      <c r="M149" s="2" t="str">
        <f>IF(J149="",ROUND(I149*(1-IF(ISBLANK(L149),K149,L149)/100),2),ROUND(J149*(1-IF(ISBLANK(L149),K149,L149)/100),2))</f>
      </c>
      <c r="N149" s="7" t="str">
        <f>IF(NOT(AND(J149="",L149="")),IF(OR(AND(L149&lt;&gt;"",NOT(ISNUMBER(L149))),IFERROR(MOD(L149,1),1)&gt;0,AND(ISNUMBER(L149),OR(L149&lt;0,L149&gt;95))),"Введите целое число от 0 до 95",IF(OR(AND(J149&lt;&gt;"",NOT(ISNUMBER(J149))),IFERROR(MOD(J149,1),1)&gt;0,AND(ISNUMBER(J149),OR(J149&lt;50,J149&gt;20000000))),"Введите целое число от 50 до 20000000",IF(NOT(ABS(IFERROR(VALUE(LEFT(M149,FIND("-",M149)-1)),M149)*100-(2500+2000000000)/2)&lt;=ABS(2500-2000000000)/2),"Цена со скидкой должна быть от 25 до 20000000",IF(AND(IFERROR(VALUE(LEFT(M149,FIND("-",M149)-1)),M149)*150&lt;=183216,IFERROR(VALUE(LEFT(M149,FIND("-",M149)-1)),M149)*200&gt;183216),"Вы уменьшили цену в несколько раз, товар попадет в карантин цен",IF(IFERROR(VALUE(LEFT(M149,FIND("-",M149)-1)),M149)*200&lt;=183216,"Не сохранили изменения, чтобы защитить от ошибки — новые цены меньше текущих более чем в 2 раза. Снижайте их постепенно",IF(AND(IFERROR(VALUE(I149),0)=0,ISNUMBER(J149),OR(J149&lt;200,ABS(IFERROR(VALUE(LEFT(M149,FIND("-",M149)-1)),M149))*100&lt;20000)),"Проверьте цену товара. Большинство товаров в выбранной категории стоят дороже 200","")))))),"")</f>
      </c>
    </row>
    <row r="150">
      <c r="A150" s="2" t="inlineStr">
        <is>
          <t/>
        </is>
      </c>
      <c r="B150" s="2" t="inlineStr">
        <is>
          <t>Массажеры электрические</t>
        </is>
      </c>
      <c r="C150" s="2">
        <v>932760686</v>
      </c>
      <c r="D150" s="2" t="inlineStr">
        <is>
          <t>192801</t>
        </is>
      </c>
      <c r="E150" s="2" t="inlineStr">
        <is>
          <t>4670294457147</t>
        </is>
      </c>
      <c r="F150" s="2">
        <v>0</v>
      </c>
      <c r="G150" s="2">
        <v>39</v>
      </c>
      <c r="H150" s="2" t="inlineStr">
        <is>
          <t/>
        </is>
      </c>
      <c r="I150" s="2" t="inlineStr">
        <is>
          <t>6128</t>
        </is>
      </c>
      <c r="J150" s="4"/>
      <c r="K150" s="2">
        <v>78</v>
      </c>
      <c r="L150" s="6"/>
      <c r="M150" s="2" t="str">
        <f>IF(J150="",ROUND(I150*(1-IF(ISBLANK(L150),K150,L150)/100),2),ROUND(J150*(1-IF(ISBLANK(L150),K150,L150)/100),2))</f>
      </c>
      <c r="N150" s="7" t="str">
        <f>IF(NOT(AND(J150="",L150="")),IF(OR(AND(L150&lt;&gt;"",NOT(ISNUMBER(L150))),IFERROR(MOD(L150,1),1)&gt;0,AND(ISNUMBER(L150),OR(L150&lt;0,L150&gt;95))),"Введите целое число от 0 до 95",IF(OR(AND(J150&lt;&gt;"",NOT(ISNUMBER(J150))),IFERROR(MOD(J150,1),1)&gt;0,AND(ISNUMBER(J150),OR(J150&lt;50,J150&gt;20000000))),"Введите целое число от 50 до 20000000",IF(NOT(ABS(IFERROR(VALUE(LEFT(M150,FIND("-",M150)-1)),M150)*100-(2500+2000000000)/2)&lt;=ABS(2500-2000000000)/2),"Цена со скидкой должна быть от 25 до 20000000",IF(AND(IFERROR(VALUE(LEFT(M150,FIND("-",M150)-1)),M150)*150&lt;=134816,IFERROR(VALUE(LEFT(M150,FIND("-",M150)-1)),M150)*200&gt;134816),"Вы уменьшили цену в несколько раз, товар попадет в карантин цен",IF(IFERROR(VALUE(LEFT(M150,FIND("-",M150)-1)),M150)*200&lt;=134816,"Не сохранили изменения, чтобы защитить от ошибки — новые цены меньше текущих более чем в 2 раза. Снижайте их постепенно",IF(AND(IFERROR(VALUE(I150),0)=0,ISNUMBER(J150),OR(J150&lt;378,ABS(IFERROR(VALUE(LEFT(M150,FIND("-",M150)-1)),M150))*100&lt;37800)),"Проверьте цену товара. Большинство товаров в выбранной категории стоят дороже 378","")))))),"")</f>
      </c>
    </row>
    <row r="151">
      <c r="A151" s="2" t="inlineStr">
        <is>
          <t>Luxaro</t>
        </is>
      </c>
      <c r="B151" s="2" t="inlineStr">
        <is>
          <t>Сахарницы</t>
        </is>
      </c>
      <c r="C151" s="2">
        <v>278847277</v>
      </c>
      <c r="D151" s="2" t="inlineStr">
        <is>
          <t>121697</t>
        </is>
      </c>
      <c r="E151" s="2" t="inlineStr">
        <is>
          <t>2041687915803</t>
        </is>
      </c>
      <c r="F151" s="2">
        <v>8</v>
      </c>
      <c r="G151" s="2">
        <v>0</v>
      </c>
      <c r="H151" s="2">
        <v>254</v>
      </c>
      <c r="I151" s="2" t="inlineStr">
        <is>
          <t>2148</t>
        </is>
      </c>
      <c r="J151" s="4"/>
      <c r="K151" s="2">
        <v>80</v>
      </c>
      <c r="L151" s="6"/>
      <c r="M151" s="2" t="str">
        <f>IF(J151="",ROUND(I151*(1-IF(ISBLANK(L151),K151,L151)/100),2),ROUND(J151*(1-IF(ISBLANK(L151),K151,L151)/100),2))</f>
      </c>
      <c r="N151" s="7" t="str">
        <f>IF(NOT(AND(J151="",L151="")),IF(OR(AND(L151&lt;&gt;"",NOT(ISNUMBER(L151))),IFERROR(MOD(L151,1),1)&gt;0,AND(ISNUMBER(L151),OR(L151&lt;0,L151&gt;95))),"Введите целое число от 0 до 95",IF(OR(AND(J151&lt;&gt;"",NOT(ISNUMBER(J151))),IFERROR(MOD(J151,1),1)&gt;0,AND(ISNUMBER(J151),OR(J151&lt;50,J151&gt;20000000))),"Введите целое число от 50 до 20000000",IF(NOT(ABS(IFERROR(VALUE(LEFT(M151,FIND("-",M151)-1)),M151)*100-(2500+2000000000)/2)&lt;=ABS(2500-2000000000)/2),"Цена со скидкой должна быть от 25 до 20000000",IF(AND(IFERROR(VALUE(LEFT(M151,FIND("-",M151)-1)),M151)*150&lt;=42959,IFERROR(VALUE(LEFT(M151,FIND("-",M151)-1)),M151)*200&gt;42959),"Вы уменьшили цену в несколько раз, товар попадет в карантин цен",IF(IFERROR(VALUE(LEFT(M151,FIND("-",M151)-1)),M151)*200&lt;=42959,"Не сохранили изменения, чтобы защитить от ошибки — новые цены меньше текущих более чем в 2 раза. Снижайте их постепенно",IF(AND(IFERROR(VALUE(I151),0)=0,ISNUMBER(J151),OR(J151&lt;417,ABS(IFERROR(VALUE(LEFT(M151,FIND("-",M151)-1)),M151))*100&lt;41700)),"Проверьте цену товара. Большинство товаров в выбранной категории стоят дороже 417","")))))),"")</f>
      </c>
    </row>
    <row r="152">
      <c r="A152" s="2" t="inlineStr">
        <is>
          <t/>
        </is>
      </c>
      <c r="B152" s="2" t="inlineStr">
        <is>
          <t>Чайники для плиты</t>
        </is>
      </c>
      <c r="C152" s="2">
        <v>729520800</v>
      </c>
      <c r="D152" s="2" t="inlineStr">
        <is>
          <t>821563</t>
        </is>
      </c>
      <c r="E152" s="2" t="inlineStr">
        <is>
          <t>2048082928759</t>
        </is>
      </c>
      <c r="F152" s="2">
        <v>0</v>
      </c>
      <c r="G152" s="2">
        <v>8</v>
      </c>
      <c r="H152" s="2" t="inlineStr">
        <is>
          <t/>
        </is>
      </c>
      <c r="I152" s="2" t="inlineStr">
        <is>
          <t>18893</t>
        </is>
      </c>
      <c r="J152" s="4"/>
      <c r="K152" s="2">
        <v>80</v>
      </c>
      <c r="L152" s="6"/>
      <c r="M152" s="2" t="str">
        <f>IF(J152="",ROUND(I152*(1-IF(ISBLANK(L152),K152,L152)/100),2),ROUND(J152*(1-IF(ISBLANK(L152),K152,L152)/100),2))</f>
      </c>
      <c r="N152" s="7" t="str">
        <f>IF(NOT(AND(J152="",L152="")),IF(OR(AND(L152&lt;&gt;"",NOT(ISNUMBER(L152))),IFERROR(MOD(L152,1),1)&gt;0,AND(ISNUMBER(L152),OR(L152&lt;0,L152&gt;95))),"Введите целое число от 0 до 95",IF(OR(AND(J152&lt;&gt;"",NOT(ISNUMBER(J152))),IFERROR(MOD(J152,1),1)&gt;0,AND(ISNUMBER(J152),OR(J152&lt;50,J152&gt;20000000))),"Введите целое число от 50 до 20000000",IF(NOT(ABS(IFERROR(VALUE(LEFT(M152,FIND("-",M152)-1)),M152)*100-(2500+2000000000)/2)&lt;=ABS(2500-2000000000)/2),"Цена со скидкой должна быть от 25 до 20000000",IF(AND(IFERROR(VALUE(LEFT(M152,FIND("-",M152)-1)),M152)*150&lt;=377859,IFERROR(VALUE(LEFT(M152,FIND("-",M152)-1)),M152)*200&gt;377859),"Вы уменьшили цену в несколько раз, товар попадет в карантин цен",IF(IFERROR(VALUE(LEFT(M152,FIND("-",M152)-1)),M152)*200&lt;=377859,"Не сохранили изменения, чтобы защитить от ошибки — новые цены меньше текущих более чем в 2 раза. Снижайте их постепенно",IF(AND(IFERROR(VALUE(I152),0)=0,ISNUMBER(J152),OR(J152&lt;468,ABS(IFERROR(VALUE(LEFT(M152,FIND("-",M152)-1)),M152))*100&lt;46800)),"Проверьте цену товара. Большинство товаров в выбранной категории стоят дороже 468","")))))),"")</f>
      </c>
    </row>
    <row r="153">
      <c r="A153" s="2" t="inlineStr">
        <is>
          <t>Luxaro</t>
        </is>
      </c>
      <c r="B153" s="2" t="inlineStr">
        <is>
          <t>Сахарницы</t>
        </is>
      </c>
      <c r="C153" s="2">
        <v>278847276</v>
      </c>
      <c r="D153" s="2" t="inlineStr">
        <is>
          <t>121851</t>
        </is>
      </c>
      <c r="E153" s="2" t="inlineStr">
        <is>
          <t>2041687903893</t>
        </is>
      </c>
      <c r="F153" s="2">
        <v>8</v>
      </c>
      <c r="G153" s="2">
        <v>0</v>
      </c>
      <c r="H153" s="2">
        <v>999</v>
      </c>
      <c r="I153" s="2" t="inlineStr">
        <is>
          <t>3072</t>
        </is>
      </c>
      <c r="J153" s="4"/>
      <c r="K153" s="2">
        <v>78</v>
      </c>
      <c r="L153" s="6"/>
      <c r="M153" s="2" t="str">
        <f>IF(J153="",ROUND(I153*(1-IF(ISBLANK(L153),K153,L153)/100),2),ROUND(J153*(1-IF(ISBLANK(L153),K153,L153)/100),2))</f>
      </c>
      <c r="N153" s="7" t="str">
        <f>IF(NOT(AND(J153="",L153="")),IF(OR(AND(L153&lt;&gt;"",NOT(ISNUMBER(L153))),IFERROR(MOD(L153,1),1)&gt;0,AND(ISNUMBER(L153),OR(L153&lt;0,L153&gt;95))),"Введите целое число от 0 до 95",IF(OR(AND(J153&lt;&gt;"",NOT(ISNUMBER(J153))),IFERROR(MOD(J153,1),1)&gt;0,AND(ISNUMBER(J153),OR(J153&lt;50,J153&gt;20000000))),"Введите целое число от 50 до 20000000",IF(NOT(ABS(IFERROR(VALUE(LEFT(M153,FIND("-",M153)-1)),M153)*100-(2500+2000000000)/2)&lt;=ABS(2500-2000000000)/2),"Цена со скидкой должна быть от 25 до 20000000",IF(AND(IFERROR(VALUE(LEFT(M153,FIND("-",M153)-1)),M153)*150&lt;=67583,IFERROR(VALUE(LEFT(M153,FIND("-",M153)-1)),M153)*200&gt;67583),"Вы уменьшили цену в несколько раз, товар попадет в карантин цен",IF(IFERROR(VALUE(LEFT(M153,FIND("-",M153)-1)),M153)*200&lt;=67583,"Не сохранили изменения, чтобы защитить от ошибки — новые цены меньше текущих более чем в 2 раза. Снижайте их постепенно",IF(AND(IFERROR(VALUE(I153),0)=0,ISNUMBER(J153),OR(J153&lt;417,ABS(IFERROR(VALUE(LEFT(M153,FIND("-",M153)-1)),M153))*100&lt;41700)),"Проверьте цену товара. Большинство товаров в выбранной категории стоят дороже 417","")))))),"")</f>
      </c>
    </row>
    <row r="154">
      <c r="A154" s="2" t="inlineStr">
        <is>
          <t>Luxaro</t>
        </is>
      </c>
      <c r="B154" s="2" t="inlineStr">
        <is>
          <t>Сахарницы</t>
        </is>
      </c>
      <c r="C154" s="2">
        <v>278847278</v>
      </c>
      <c r="D154" s="2" t="inlineStr">
        <is>
          <t>121852</t>
        </is>
      </c>
      <c r="E154" s="2" t="inlineStr">
        <is>
          <t>2041687916596</t>
        </is>
      </c>
      <c r="F154" s="2">
        <v>10</v>
      </c>
      <c r="G154" s="2">
        <v>14</v>
      </c>
      <c r="H154" s="2">
        <v>999</v>
      </c>
      <c r="I154" s="2" t="inlineStr">
        <is>
          <t>2916</t>
        </is>
      </c>
      <c r="J154" s="4"/>
      <c r="K154" s="2">
        <v>78</v>
      </c>
      <c r="L154" s="6"/>
      <c r="M154" s="2" t="str">
        <f>IF(J154="",ROUND(I154*(1-IF(ISBLANK(L154),K154,L154)/100),2),ROUND(J154*(1-IF(ISBLANK(L154),K154,L154)/100),2))</f>
      </c>
      <c r="N154" s="7" t="str">
        <f>IF(NOT(AND(J154="",L154="")),IF(OR(AND(L154&lt;&gt;"",NOT(ISNUMBER(L154))),IFERROR(MOD(L154,1),1)&gt;0,AND(ISNUMBER(L154),OR(L154&lt;0,L154&gt;95))),"Введите целое число от 0 до 95",IF(OR(AND(J154&lt;&gt;"",NOT(ISNUMBER(J154))),IFERROR(MOD(J154,1),1)&gt;0,AND(ISNUMBER(J154),OR(J154&lt;50,J154&gt;20000000))),"Введите целое число от 50 до 20000000",IF(NOT(ABS(IFERROR(VALUE(LEFT(M154,FIND("-",M154)-1)),M154)*100-(2500+2000000000)/2)&lt;=ABS(2500-2000000000)/2),"Цена со скидкой должна быть от 25 до 20000000",IF(AND(IFERROR(VALUE(LEFT(M154,FIND("-",M154)-1)),M154)*150&lt;=64151,IFERROR(VALUE(LEFT(M154,FIND("-",M154)-1)),M154)*200&gt;64151),"Вы уменьшили цену в несколько раз, товар попадет в карантин цен",IF(IFERROR(VALUE(LEFT(M154,FIND("-",M154)-1)),M154)*200&lt;=64151,"Не сохранили изменения, чтобы защитить от ошибки — новые цены меньше текущих более чем в 2 раза. Снижайте их постепенно",IF(AND(IFERROR(VALUE(I154),0)=0,ISNUMBER(J154),OR(J154&lt;417,ABS(IFERROR(VALUE(LEFT(M154,FIND("-",M154)-1)),M154))*100&lt;41700)),"Проверьте цену товара. Большинство товаров в выбранной категории стоят дороже 417","")))))),"")</f>
      </c>
    </row>
    <row r="155">
      <c r="A155" s="2" t="inlineStr">
        <is>
          <t>Luxaro</t>
        </is>
      </c>
      <c r="B155" s="2" t="inlineStr">
        <is>
          <t>Молочники</t>
        </is>
      </c>
      <c r="C155" s="2">
        <v>253243316</v>
      </c>
      <c r="D155" s="2" t="inlineStr">
        <is>
          <t>120397</t>
        </is>
      </c>
      <c r="E155" s="2" t="inlineStr">
        <is>
          <t>2040948886913</t>
        </is>
      </c>
      <c r="F155" s="2">
        <v>85</v>
      </c>
      <c r="G155" s="2">
        <v>28</v>
      </c>
      <c r="H155" s="2">
        <v>644</v>
      </c>
      <c r="I155" s="2" t="inlineStr">
        <is>
          <t>2922</t>
        </is>
      </c>
      <c r="J155" s="4"/>
      <c r="K155" s="2">
        <v>77</v>
      </c>
      <c r="L155" s="6"/>
      <c r="M155" s="2" t="str">
        <f>IF(J155="",ROUND(I155*(1-IF(ISBLANK(L155),K155,L155)/100),2),ROUND(J155*(1-IF(ISBLANK(L155),K155,L155)/100),2))</f>
      </c>
      <c r="N155" s="7" t="str">
        <f>IF(NOT(AND(J155="",L155="")),IF(OR(AND(L155&lt;&gt;"",NOT(ISNUMBER(L155))),IFERROR(MOD(L155,1),1)&gt;0,AND(ISNUMBER(L155),OR(L155&lt;0,L155&gt;95))),"Введите целое число от 0 до 95",IF(OR(AND(J155&lt;&gt;"",NOT(ISNUMBER(J155))),IFERROR(MOD(J155,1),1)&gt;0,AND(ISNUMBER(J155),OR(J155&lt;50,J155&gt;20000000))),"Введите целое число от 50 до 20000000",IF(NOT(ABS(IFERROR(VALUE(LEFT(M155,FIND("-",M155)-1)),M155)*100-(2500+2000000000)/2)&lt;=ABS(2500-2000000000)/2),"Цена со скидкой должна быть от 25 до 20000000",IF(AND(IFERROR(VALUE(LEFT(M155,FIND("-",M155)-1)),M155)*150&lt;=67206,IFERROR(VALUE(LEFT(M155,FIND("-",M155)-1)),M155)*200&gt;67206),"Вы уменьшили цену в несколько раз, товар попадет в карантин цен",IF(IFERROR(VALUE(LEFT(M155,FIND("-",M155)-1)),M155)*200&lt;=67206,"Не сохранили изменения, чтобы защитить от ошибки — новые цены меньше текущих более чем в 2 раза. Снижайте их постепенно",IF(AND(IFERROR(VALUE(I155),0)=0,ISNUMBER(J155),OR(J155&lt;454,ABS(IFERROR(VALUE(LEFT(M155,FIND("-",M155)-1)),M155))*100&lt;45400)),"Проверьте цену товара. Большинство товаров в выбранной категории стоят дороже 454","")))))),"")</f>
      </c>
    </row>
    <row r="156">
      <c r="A156" s="2" t="inlineStr">
        <is>
          <t>Veloria</t>
        </is>
      </c>
      <c r="B156" s="2" t="inlineStr">
        <is>
          <t>Органайзеры в багажник</t>
        </is>
      </c>
      <c r="C156" s="2">
        <v>242968325</v>
      </c>
      <c r="D156" s="2" t="inlineStr">
        <is>
          <t>456455</t>
        </is>
      </c>
      <c r="E156" s="2" t="inlineStr">
        <is>
          <t>2040615771986</t>
        </is>
      </c>
      <c r="F156" s="2">
        <v>0</v>
      </c>
      <c r="G156" s="2">
        <v>0</v>
      </c>
      <c r="H156" s="2">
        <v>1</v>
      </c>
      <c r="I156" s="2" t="inlineStr">
        <is>
          <t>5578</t>
        </is>
      </c>
      <c r="J156" s="4"/>
      <c r="K156" s="2">
        <v>65</v>
      </c>
      <c r="L156" s="6"/>
      <c r="M156" s="2" t="str">
        <f>IF(J156="",ROUND(I156*(1-IF(ISBLANK(L156),K156,L156)/100),2),ROUND(J156*(1-IF(ISBLANK(L156),K156,L156)/100),2))</f>
      </c>
      <c r="N156" s="7" t="str">
        <f>IF(NOT(AND(J156="",L156="")),IF(OR(AND(L156&lt;&gt;"",NOT(ISNUMBER(L156))),IFERROR(MOD(L156,1),1)&gt;0,AND(ISNUMBER(L156),OR(L156&lt;0,L156&gt;95))),"Введите целое число от 0 до 95",IF(OR(AND(J156&lt;&gt;"",NOT(ISNUMBER(J156))),IFERROR(MOD(J156,1),1)&gt;0,AND(ISNUMBER(J156),OR(J156&lt;50,J156&gt;20000000))),"Введите целое число от 50 до 20000000",IF(NOT(ABS(IFERROR(VALUE(LEFT(M156,FIND("-",M156)-1)),M156)*100-(2500+2000000000)/2)&lt;=ABS(2500-2000000000)/2),"Цена со скидкой должна быть от 25 до 20000000",IF(AND(IFERROR(VALUE(LEFT(M156,FIND("-",M156)-1)),M156)*150&lt;=195230,IFERROR(VALUE(LEFT(M156,FIND("-",M156)-1)),M156)*200&gt;195230),"Вы уменьшили цену в несколько раз, товар попадет в карантин цен",IF(IFERROR(VALUE(LEFT(M156,FIND("-",M156)-1)),M156)*200&lt;=195230,"Не сохранили изменения, чтобы защитить от ошибки — новые цены меньше текущих более чем в 2 раза. Снижайте их постепенно",IF(AND(IFERROR(VALUE(I156),0)=0,ISNUMBER(J156),OR(J156&lt;450,ABS(IFERROR(VALUE(LEFT(M156,FIND("-",M156)-1)),M156))*100&lt;45000)),"Проверьте цену товара. Большинство товаров в выбранной категории стоят дороже 450","")))))),"")</f>
      </c>
    </row>
    <row r="157">
      <c r="A157" s="2" t="inlineStr">
        <is>
          <t>Pasabahce</t>
        </is>
      </c>
      <c r="B157" s="2" t="inlineStr">
        <is>
          <t>Графины</t>
        </is>
      </c>
      <c r="C157" s="2">
        <v>251836512</v>
      </c>
      <c r="D157" s="2" t="inlineStr">
        <is>
          <t>121816</t>
        </is>
      </c>
      <c r="E157" s="2" t="inlineStr">
        <is>
          <t>2040909212379</t>
        </is>
      </c>
      <c r="F157" s="2">
        <v>0</v>
      </c>
      <c r="G157" s="2">
        <v>0</v>
      </c>
      <c r="H157" s="2">
        <v>1</v>
      </c>
      <c r="I157" s="2" t="inlineStr">
        <is>
          <t>3123</t>
        </is>
      </c>
      <c r="J157" s="4"/>
      <c r="K157" s="2">
        <v>66</v>
      </c>
      <c r="L157" s="6"/>
      <c r="M157" s="2" t="str">
        <f>IF(J157="",ROUND(I157*(1-IF(ISBLANK(L157),K157,L157)/100),2),ROUND(J157*(1-IF(ISBLANK(L157),K157,L157)/100),2))</f>
      </c>
      <c r="N157" s="7" t="str">
        <f>IF(NOT(AND(J157="",L157="")),IF(OR(AND(L157&lt;&gt;"",NOT(ISNUMBER(L157))),IFERROR(MOD(L157,1),1)&gt;0,AND(ISNUMBER(L157),OR(L157&lt;0,L157&gt;95))),"Введите целое число от 0 до 95",IF(OR(AND(J157&lt;&gt;"",NOT(ISNUMBER(J157))),IFERROR(MOD(J157,1),1)&gt;0,AND(ISNUMBER(J157),OR(J157&lt;50,J157&gt;20000000))),"Введите целое число от 50 до 20000000",IF(NOT(ABS(IFERROR(VALUE(LEFT(M157,FIND("-",M157)-1)),M157)*100-(2500+2000000000)/2)&lt;=ABS(2500-2000000000)/2),"Цена со скидкой должна быть от 25 до 20000000",IF(AND(IFERROR(VALUE(LEFT(M157,FIND("-",M157)-1)),M157)*150&lt;=106182,IFERROR(VALUE(LEFT(M157,FIND("-",M157)-1)),M157)*200&gt;106182),"Вы уменьшили цену в несколько раз, товар попадет в карантин цен",IF(IFERROR(VALUE(LEFT(M157,FIND("-",M157)-1)),M157)*200&lt;=106182,"Не сохранили изменения, чтобы защитить от ошибки — новые цены меньше текущих более чем в 2 раза. Снижайте их постепенно",IF(AND(IFERROR(VALUE(I157),0)=0,ISNUMBER(J157),OR(J157&lt;458,ABS(IFERROR(VALUE(LEFT(M157,FIND("-",M157)-1)),M157))*100&lt;45800)),"Проверьте цену товара. Большинство товаров в выбранной категории стоят дороже 458","")))))),"")</f>
      </c>
    </row>
    <row r="158">
      <c r="A158" s="2" t="inlineStr">
        <is>
          <t/>
        </is>
      </c>
      <c r="B158" s="2" t="inlineStr">
        <is>
          <t>Креманки</t>
        </is>
      </c>
      <c r="C158" s="2">
        <v>331585785</v>
      </c>
      <c r="D158" s="2" t="inlineStr">
        <is>
          <t>100623</t>
        </is>
      </c>
      <c r="E158" s="2" t="inlineStr">
        <is>
          <t>4670294454078</t>
        </is>
      </c>
      <c r="F158" s="2">
        <v>0</v>
      </c>
      <c r="G158" s="2">
        <v>0</v>
      </c>
      <c r="H158" s="2" t="inlineStr">
        <is>
          <t/>
        </is>
      </c>
      <c r="I158" s="2" t="inlineStr">
        <is>
          <t>7626</t>
        </is>
      </c>
      <c r="J158" s="4"/>
      <c r="K158" s="2">
        <v>65</v>
      </c>
      <c r="L158" s="6"/>
      <c r="M158" s="2" t="str">
        <f>IF(J158="",ROUND(I158*(1-IF(ISBLANK(L158),K158,L158)/100),2),ROUND(J158*(1-IF(ISBLANK(L158),K158,L158)/100),2))</f>
      </c>
      <c r="N158" s="7" t="str">
        <f>IF(NOT(AND(J158="",L158="")),IF(OR(AND(L158&lt;&gt;"",NOT(ISNUMBER(L158))),IFERROR(MOD(L158,1),1)&gt;0,AND(ISNUMBER(L158),OR(L158&lt;0,L158&gt;95))),"Введите целое число от 0 до 95",IF(OR(AND(J158&lt;&gt;"",NOT(ISNUMBER(J158))),IFERROR(MOD(J158,1),1)&gt;0,AND(ISNUMBER(J158),OR(J158&lt;50,J158&gt;20000000))),"Введите целое число от 50 до 20000000",IF(NOT(ABS(IFERROR(VALUE(LEFT(M158,FIND("-",M158)-1)),M158)*100-(2500+2000000000)/2)&lt;=ABS(2500-2000000000)/2),"Цена со скидкой должна быть от 25 до 20000000",IF(AND(IFERROR(VALUE(LEFT(M158,FIND("-",M158)-1)),M158)*150&lt;=266910,IFERROR(VALUE(LEFT(M158,FIND("-",M158)-1)),M158)*200&gt;266910),"Вы уменьшили цену в несколько раз, товар попадет в карантин цен",IF(IFERROR(VALUE(LEFT(M158,FIND("-",M158)-1)),M158)*200&lt;=266910,"Не сохранили изменения, чтобы защитить от ошибки — новые цены меньше текущих более чем в 2 раза. Снижайте их постепенно",IF(AND(IFERROR(VALUE(I158),0)=0,ISNUMBER(J158),OR(J158&lt;345,ABS(IFERROR(VALUE(LEFT(M158,FIND("-",M158)-1)),M158))*100&lt;34500)),"Проверьте цену товара. Большинство товаров в выбранной категории стоят дороже 345","")))))),"")</f>
      </c>
    </row>
    <row r="159">
      <c r="A159" s="2" t="inlineStr">
        <is>
          <t/>
        </is>
      </c>
      <c r="B159" s="2" t="inlineStr">
        <is>
          <t>Корзины сервировочные</t>
        </is>
      </c>
      <c r="C159" s="2">
        <v>252918051</v>
      </c>
      <c r="D159" s="2" t="inlineStr">
        <is>
          <t>410995</t>
        </is>
      </c>
      <c r="E159" s="2" t="inlineStr">
        <is>
          <t>2040937224313</t>
        </is>
      </c>
      <c r="F159" s="2">
        <v>0</v>
      </c>
      <c r="G159" s="2">
        <v>0</v>
      </c>
      <c r="H159" s="2">
        <v>1</v>
      </c>
      <c r="I159" s="2" t="inlineStr">
        <is>
          <t>1548</t>
        </is>
      </c>
      <c r="J159" s="4"/>
      <c r="K159" s="2">
        <v>65</v>
      </c>
      <c r="L159" s="6"/>
      <c r="M159" s="2" t="str">
        <f>IF(J159="",ROUND(I159*(1-IF(ISBLANK(L159),K159,L159)/100),2),ROUND(J159*(1-IF(ISBLANK(L159),K159,L159)/100),2))</f>
      </c>
      <c r="N159" s="7" t="str">
        <f>IF(NOT(AND(J159="",L159="")),IF(OR(AND(L159&lt;&gt;"",NOT(ISNUMBER(L159))),IFERROR(MOD(L159,1),1)&gt;0,AND(ISNUMBER(L159),OR(L159&lt;0,L159&gt;95))),"Введите целое число от 0 до 95",IF(OR(AND(J159&lt;&gt;"",NOT(ISNUMBER(J159))),IFERROR(MOD(J159,1),1)&gt;0,AND(ISNUMBER(J159),OR(J159&lt;50,J159&gt;20000000))),"Введите целое число от 50 до 20000000",IF(NOT(ABS(IFERROR(VALUE(LEFT(M159,FIND("-",M159)-1)),M159)*100-(2500+2000000000)/2)&lt;=ABS(2500-2000000000)/2),"Цена со скидкой должна быть от 25 до 20000000",IF(AND(IFERROR(VALUE(LEFT(M159,FIND("-",M159)-1)),M159)*150&lt;=54179,IFERROR(VALUE(LEFT(M159,FIND("-",M159)-1)),M159)*200&gt;54179),"Вы уменьшили цену в несколько раз, товар попадет в карантин цен",IF(IFERROR(VALUE(LEFT(M159,FIND("-",M159)-1)),M159)*200&lt;=54179,"Не сохранили изменения, чтобы защитить от ошибки — новые цены меньше текущих более чем в 2 раза. Снижайте их постепенно",IF(AND(IFERROR(VALUE(I159),0)=0,ISNUMBER(J159),OR(J159&lt;528,ABS(IFERROR(VALUE(LEFT(M159,FIND("-",M159)-1)),M159))*100&lt;52800)),"Проверьте цену товара. Большинство товаров в выбранной категории стоят дороже 528","")))))),"")</f>
      </c>
    </row>
    <row r="160">
      <c r="A160" s="2" t="inlineStr">
        <is>
          <t>Pasabahce</t>
        </is>
      </c>
      <c r="B160" s="2" t="inlineStr">
        <is>
          <t>Графины</t>
        </is>
      </c>
      <c r="C160" s="2">
        <v>251246093</v>
      </c>
      <c r="D160" s="2" t="inlineStr">
        <is>
          <t>13447</t>
        </is>
      </c>
      <c r="E160" s="2" t="inlineStr">
        <is>
          <t>2040892631157</t>
        </is>
      </c>
      <c r="F160" s="2">
        <v>17</v>
      </c>
      <c r="G160" s="2">
        <v>74</v>
      </c>
      <c r="H160" s="2">
        <v>192</v>
      </c>
      <c r="I160" s="2" t="inlineStr">
        <is>
          <t>5760</t>
        </is>
      </c>
      <c r="J160" s="4"/>
      <c r="K160" s="2">
        <v>81</v>
      </c>
      <c r="L160" s="6"/>
      <c r="M160" s="2" t="str">
        <f>IF(J160="",ROUND(I160*(1-IF(ISBLANK(L160),K160,L160)/100),2),ROUND(J160*(1-IF(ISBLANK(L160),K160,L160)/100),2))</f>
      </c>
      <c r="N160" s="7" t="str">
        <f>IF(NOT(AND(J160="",L160="")),IF(OR(AND(L160&lt;&gt;"",NOT(ISNUMBER(L160))),IFERROR(MOD(L160,1),1)&gt;0,AND(ISNUMBER(L160),OR(L160&lt;0,L160&gt;95))),"Введите целое число от 0 до 95",IF(OR(AND(J160&lt;&gt;"",NOT(ISNUMBER(J160))),IFERROR(MOD(J160,1),1)&gt;0,AND(ISNUMBER(J160),OR(J160&lt;50,J160&gt;20000000))),"Введите целое число от 50 до 20000000",IF(NOT(ABS(IFERROR(VALUE(LEFT(M160,FIND("-",M160)-1)),M160)*100-(2500+2000000000)/2)&lt;=ABS(2500-2000000000)/2),"Цена со скидкой должна быть от 25 до 20000000",IF(AND(IFERROR(VALUE(LEFT(M160,FIND("-",M160)-1)),M160)*150&lt;=109439,IFERROR(VALUE(LEFT(M160,FIND("-",M160)-1)),M160)*200&gt;109439),"Вы уменьшили цену в несколько раз, товар попадет в карантин цен",IF(IFERROR(VALUE(LEFT(M160,FIND("-",M160)-1)),M160)*200&lt;=109439,"Не сохранили изменения, чтобы защитить от ошибки — новые цены меньше текущих более чем в 2 раза. Снижайте их постепенно",IF(AND(IFERROR(VALUE(I160),0)=0,ISNUMBER(J160),OR(J160&lt;458,ABS(IFERROR(VALUE(LEFT(M160,FIND("-",M160)-1)),M160))*100&lt;45800)),"Проверьте цену товара. Большинство товаров в выбранной категории стоят дороже 458","")))))),"")</f>
      </c>
    </row>
    <row r="161">
      <c r="A161" s="2" t="inlineStr">
        <is>
          <t>Pasabahce</t>
        </is>
      </c>
      <c r="B161" s="2" t="inlineStr">
        <is>
          <t>Графины</t>
        </is>
      </c>
      <c r="C161" s="2">
        <v>270885255</v>
      </c>
      <c r="D161" s="2" t="inlineStr">
        <is>
          <t>12227</t>
        </is>
      </c>
      <c r="E161" s="2" t="inlineStr">
        <is>
          <t>2041463945314</t>
        </is>
      </c>
      <c r="F161" s="2">
        <v>0</v>
      </c>
      <c r="G161" s="2">
        <v>0</v>
      </c>
      <c r="H161" s="2">
        <v>1</v>
      </c>
      <c r="I161" s="2" t="inlineStr">
        <is>
          <t>4791</t>
        </is>
      </c>
      <c r="J161" s="4"/>
      <c r="K161" s="2">
        <v>65</v>
      </c>
      <c r="L161" s="6"/>
      <c r="M161" s="2" t="str">
        <f>IF(J161="",ROUND(I161*(1-IF(ISBLANK(L161),K161,L161)/100),2),ROUND(J161*(1-IF(ISBLANK(L161),K161,L161)/100),2))</f>
      </c>
      <c r="N161" s="7" t="str">
        <f>IF(NOT(AND(J161="",L161="")),IF(OR(AND(L161&lt;&gt;"",NOT(ISNUMBER(L161))),IFERROR(MOD(L161,1),1)&gt;0,AND(ISNUMBER(L161),OR(L161&lt;0,L161&gt;95))),"Введите целое число от 0 до 95",IF(OR(AND(J161&lt;&gt;"",NOT(ISNUMBER(J161))),IFERROR(MOD(J161,1),1)&gt;0,AND(ISNUMBER(J161),OR(J161&lt;50,J161&gt;20000000))),"Введите целое число от 50 до 20000000",IF(NOT(ABS(IFERROR(VALUE(LEFT(M161,FIND("-",M161)-1)),M161)*100-(2500+2000000000)/2)&lt;=ABS(2500-2000000000)/2),"Цена со скидкой должна быть от 25 до 20000000",IF(AND(IFERROR(VALUE(LEFT(M161,FIND("-",M161)-1)),M161)*150&lt;=167685,IFERROR(VALUE(LEFT(M161,FIND("-",M161)-1)),M161)*200&gt;167685),"Вы уменьшили цену в несколько раз, товар попадет в карантин цен",IF(IFERROR(VALUE(LEFT(M161,FIND("-",M161)-1)),M161)*200&lt;=167685,"Не сохранили изменения, чтобы защитить от ошибки — новые цены меньше текущих более чем в 2 раза. Снижайте их постепенно",IF(AND(IFERROR(VALUE(I161),0)=0,ISNUMBER(J161),OR(J161&lt;458,ABS(IFERROR(VALUE(LEFT(M161,FIND("-",M161)-1)),M161))*100&lt;45800)),"Проверьте цену товара. Большинство товаров в выбранной категории стоят дороже 458","")))))),"")</f>
      </c>
    </row>
    <row r="162">
      <c r="A162" s="2" t="inlineStr">
        <is>
          <t/>
        </is>
      </c>
      <c r="B162" s="2" t="inlineStr">
        <is>
          <t>Графины</t>
        </is>
      </c>
      <c r="C162" s="2">
        <v>727362669</v>
      </c>
      <c r="D162" s="2" t="inlineStr">
        <is>
          <t>122087</t>
        </is>
      </c>
      <c r="E162" s="2" t="inlineStr">
        <is>
          <t>4670294458885</t>
        </is>
      </c>
      <c r="F162" s="2">
        <v>85</v>
      </c>
      <c r="G162" s="2">
        <v>71</v>
      </c>
      <c r="H162" s="2">
        <v>999</v>
      </c>
      <c r="I162" s="2" t="inlineStr">
        <is>
          <t>6590</t>
        </is>
      </c>
      <c r="J162" s="4"/>
      <c r="K162" s="2">
        <v>79</v>
      </c>
      <c r="L162" s="6"/>
      <c r="M162" s="2" t="str">
        <f>IF(J162="",ROUND(I162*(1-IF(ISBLANK(L162),K162,L162)/100),2),ROUND(J162*(1-IF(ISBLANK(L162),K162,L162)/100),2))</f>
      </c>
      <c r="N162" s="7" t="str">
        <f>IF(NOT(AND(J162="",L162="")),IF(OR(AND(L162&lt;&gt;"",NOT(ISNUMBER(L162))),IFERROR(MOD(L162,1),1)&gt;0,AND(ISNUMBER(L162),OR(L162&lt;0,L162&gt;95))),"Введите целое число от 0 до 95",IF(OR(AND(J162&lt;&gt;"",NOT(ISNUMBER(J162))),IFERROR(MOD(J162,1),1)&gt;0,AND(ISNUMBER(J162),OR(J162&lt;50,J162&gt;20000000))),"Введите целое число от 50 до 20000000",IF(NOT(ABS(IFERROR(VALUE(LEFT(M162,FIND("-",M162)-1)),M162)*100-(2500+2000000000)/2)&lt;=ABS(2500-2000000000)/2),"Цена со скидкой должна быть от 25 до 20000000",IF(AND(IFERROR(VALUE(LEFT(M162,FIND("-",M162)-1)),M162)*150&lt;=138390,IFERROR(VALUE(LEFT(M162,FIND("-",M162)-1)),M162)*200&gt;138390),"Вы уменьшили цену в несколько раз, товар попадет в карантин цен",IF(IFERROR(VALUE(LEFT(M162,FIND("-",M162)-1)),M162)*200&lt;=138390,"Не сохранили изменения, чтобы защитить от ошибки — новые цены меньше текущих более чем в 2 раза. Снижайте их постепенно",IF(AND(IFERROR(VALUE(I162),0)=0,ISNUMBER(J162),OR(J162&lt;458,ABS(IFERROR(VALUE(LEFT(M162,FIND("-",M162)-1)),M162))*100&lt;45800)),"Проверьте цену товара. Большинство товаров в выбранной категории стоят дороже 458","")))))),"")</f>
      </c>
    </row>
    <row r="163">
      <c r="A163" s="2" t="inlineStr">
        <is>
          <t/>
        </is>
      </c>
      <c r="B163" s="2" t="inlineStr">
        <is>
          <t>Графины</t>
        </is>
      </c>
      <c r="C163" s="2">
        <v>859289392</v>
      </c>
      <c r="D163" s="2" t="inlineStr">
        <is>
          <t>122047</t>
        </is>
      </c>
      <c r="E163" s="2" t="inlineStr">
        <is>
          <t>4670294458861</t>
        </is>
      </c>
      <c r="F163" s="2">
        <v>85</v>
      </c>
      <c r="G163" s="2">
        <v>14</v>
      </c>
      <c r="H163" s="2">
        <v>260</v>
      </c>
      <c r="I163" s="2" t="inlineStr">
        <is>
          <t>4809</t>
        </is>
      </c>
      <c r="J163" s="4"/>
      <c r="K163" s="2">
        <v>79</v>
      </c>
      <c r="L163" s="6"/>
      <c r="M163" s="2" t="str">
        <f>IF(J163="",ROUND(I163*(1-IF(ISBLANK(L163),K163,L163)/100),2),ROUND(J163*(1-IF(ISBLANK(L163),K163,L163)/100),2))</f>
      </c>
      <c r="N163" s="7" t="str">
        <f>IF(NOT(AND(J163="",L163="")),IF(OR(AND(L163&lt;&gt;"",NOT(ISNUMBER(L163))),IFERROR(MOD(L163,1),1)&gt;0,AND(ISNUMBER(L163),OR(L163&lt;0,L163&gt;95))),"Введите целое число от 0 до 95",IF(OR(AND(J163&lt;&gt;"",NOT(ISNUMBER(J163))),IFERROR(MOD(J163,1),1)&gt;0,AND(ISNUMBER(J163),OR(J163&lt;50,J163&gt;20000000))),"Введите целое число от 50 до 20000000",IF(NOT(ABS(IFERROR(VALUE(LEFT(M163,FIND("-",M163)-1)),M163)*100-(2500+2000000000)/2)&lt;=ABS(2500-2000000000)/2),"Цена со скидкой должна быть от 25 до 20000000",IF(AND(IFERROR(VALUE(LEFT(M163,FIND("-",M163)-1)),M163)*150&lt;=100988,IFERROR(VALUE(LEFT(M163,FIND("-",M163)-1)),M163)*200&gt;100988),"Вы уменьшили цену в несколько раз, товар попадет в карантин цен",IF(IFERROR(VALUE(LEFT(M163,FIND("-",M163)-1)),M163)*200&lt;=100988,"Не сохранили изменения, чтобы защитить от ошибки — новые цены меньше текущих более чем в 2 раза. Снижайте их постепенно",IF(AND(IFERROR(VALUE(I163),0)=0,ISNUMBER(J163),OR(J163&lt;458,ABS(IFERROR(VALUE(LEFT(M163,FIND("-",M163)-1)),M163))*100&lt;45800)),"Проверьте цену товара. Большинство товаров в выбранной категории стоят дороже 458","")))))),"")</f>
      </c>
    </row>
    <row r="164">
      <c r="A164" s="2" t="inlineStr">
        <is>
          <t/>
        </is>
      </c>
      <c r="B164" s="2" t="inlineStr">
        <is>
          <t>Графины</t>
        </is>
      </c>
      <c r="C164" s="2">
        <v>765931946</v>
      </c>
      <c r="D164" s="2" t="inlineStr">
        <is>
          <t>122115</t>
        </is>
      </c>
      <c r="E164" s="2" t="inlineStr">
        <is>
          <t>2048428757234</t>
        </is>
      </c>
      <c r="F164" s="2">
        <v>31</v>
      </c>
      <c r="G164" s="2">
        <v>39</v>
      </c>
      <c r="H164" s="2">
        <v>127</v>
      </c>
      <c r="I164" s="2" t="inlineStr">
        <is>
          <t>7694</t>
        </is>
      </c>
      <c r="J164" s="4"/>
      <c r="K164" s="2">
        <v>81</v>
      </c>
      <c r="L164" s="6"/>
      <c r="M164" s="2" t="str">
        <f>IF(J164="",ROUND(I164*(1-IF(ISBLANK(L164),K164,L164)/100),2),ROUND(J164*(1-IF(ISBLANK(L164),K164,L164)/100),2))</f>
      </c>
      <c r="N164" s="7" t="str">
        <f>IF(NOT(AND(J164="",L164="")),IF(OR(AND(L164&lt;&gt;"",NOT(ISNUMBER(L164))),IFERROR(MOD(L164,1),1)&gt;0,AND(ISNUMBER(L164),OR(L164&lt;0,L164&gt;95))),"Введите целое число от 0 до 95",IF(OR(AND(J164&lt;&gt;"",NOT(ISNUMBER(J164))),IFERROR(MOD(J164,1),1)&gt;0,AND(ISNUMBER(J164),OR(J164&lt;50,J164&gt;20000000))),"Введите целое число от 50 до 20000000",IF(NOT(ABS(IFERROR(VALUE(LEFT(M164,FIND("-",M164)-1)),M164)*100-(2500+2000000000)/2)&lt;=ABS(2500-2000000000)/2),"Цена со скидкой должна быть от 25 до 20000000",IF(AND(IFERROR(VALUE(LEFT(M164,FIND("-",M164)-1)),M164)*150&lt;=146185,IFERROR(VALUE(LEFT(M164,FIND("-",M164)-1)),M164)*200&gt;146185),"Вы уменьшили цену в несколько раз, товар попадет в карантин цен",IF(IFERROR(VALUE(LEFT(M164,FIND("-",M164)-1)),M164)*200&lt;=146185,"Не сохранили изменения, чтобы защитить от ошибки — новые цены меньше текущих более чем в 2 раза. Снижайте их постепенно",IF(AND(IFERROR(VALUE(I164),0)=0,ISNUMBER(J164),OR(J164&lt;458,ABS(IFERROR(VALUE(LEFT(M164,FIND("-",M164)-1)),M164))*100&lt;45800)),"Проверьте цену товара. Большинство товаров в выбранной категории стоят дороже 458","")))))),"")</f>
      </c>
    </row>
    <row r="165">
      <c r="A165" s="2" t="inlineStr">
        <is>
          <t/>
        </is>
      </c>
      <c r="B165" s="2" t="inlineStr">
        <is>
          <t>Чайники электрические</t>
        </is>
      </c>
      <c r="C165" s="2">
        <v>725312308</v>
      </c>
      <c r="D165" s="2" t="inlineStr">
        <is>
          <t>191564</t>
        </is>
      </c>
      <c r="E165" s="2" t="inlineStr">
        <is>
          <t>2048047081635</t>
        </is>
      </c>
      <c r="F165" s="2">
        <v>0</v>
      </c>
      <c r="G165" s="2">
        <v>8</v>
      </c>
      <c r="H165" s="2" t="inlineStr">
        <is>
          <t/>
        </is>
      </c>
      <c r="I165" s="2" t="inlineStr">
        <is>
          <t>10821</t>
        </is>
      </c>
      <c r="J165" s="4"/>
      <c r="K165" s="2">
        <v>78</v>
      </c>
      <c r="L165" s="6"/>
      <c r="M165" s="2" t="str">
        <f>IF(J165="",ROUND(I165*(1-IF(ISBLANK(L165),K165,L165)/100),2),ROUND(J165*(1-IF(ISBLANK(L165),K165,L165)/100),2))</f>
      </c>
      <c r="N165" s="7" t="str">
        <f>IF(NOT(AND(J165="",L165="")),IF(OR(AND(L165&lt;&gt;"",NOT(ISNUMBER(L165))),IFERROR(MOD(L165,1),1)&gt;0,AND(ISNUMBER(L165),OR(L165&lt;0,L165&gt;95))),"Введите целое число от 0 до 95",IF(OR(AND(J165&lt;&gt;"",NOT(ISNUMBER(J165))),IFERROR(MOD(J165,1),1)&gt;0,AND(ISNUMBER(J165),OR(J165&lt;50,J165&gt;20000000))),"Введите целое число от 50 до 20000000",IF(NOT(ABS(IFERROR(VALUE(LEFT(M165,FIND("-",M165)-1)),M165)*100-(2500+2000000000)/2)&lt;=ABS(2500-2000000000)/2),"Цена со скидкой должна быть от 25 до 20000000",IF(AND(IFERROR(VALUE(LEFT(M165,FIND("-",M165)-1)),M165)*150&lt;=238062,IFERROR(VALUE(LEFT(M165,FIND("-",M165)-1)),M165)*200&gt;238062),"Вы уменьшили цену в несколько раз, товар попадет в карантин цен",IF(IFERROR(VALUE(LEFT(M165,FIND("-",M165)-1)),M165)*200&lt;=238062,"Не сохранили изменения, чтобы защитить от ошибки — новые цены меньше текущих более чем в 2 раза. Снижайте их постепенно",IF(AND(IFERROR(VALUE(I165),0)=0,ISNUMBER(J165),OR(J165&lt;496,ABS(IFERROR(VALUE(LEFT(M165,FIND("-",M165)-1)),M165))*100&lt;49600)),"Проверьте цену товара. Большинство товаров в выбранной категории стоят дороже 496","")))))),"")</f>
      </c>
    </row>
    <row r="166">
      <c r="A166" s="2" t="inlineStr">
        <is>
          <t/>
        </is>
      </c>
      <c r="B166" s="2" t="inlineStr">
        <is>
          <t>Графины</t>
        </is>
      </c>
      <c r="C166" s="2">
        <v>859289391</v>
      </c>
      <c r="D166" s="2" t="inlineStr">
        <is>
          <t>100738</t>
        </is>
      </c>
      <c r="E166" s="2" t="inlineStr">
        <is>
          <t>4670294458854</t>
        </is>
      </c>
      <c r="F166" s="2">
        <v>58</v>
      </c>
      <c r="G166" s="2">
        <v>0</v>
      </c>
      <c r="H166" s="2">
        <v>999</v>
      </c>
      <c r="I166" s="2" t="inlineStr">
        <is>
          <t>6040</t>
        </is>
      </c>
      <c r="J166" s="4"/>
      <c r="K166" s="2">
        <v>75</v>
      </c>
      <c r="L166" s="6"/>
      <c r="M166" s="2" t="str">
        <f>IF(J166="",ROUND(I166*(1-IF(ISBLANK(L166),K166,L166)/100),2),ROUND(J166*(1-IF(ISBLANK(L166),K166,L166)/100),2))</f>
      </c>
      <c r="N166" s="7" t="str">
        <f>IF(NOT(AND(J166="",L166="")),IF(OR(AND(L166&lt;&gt;"",NOT(ISNUMBER(L166))),IFERROR(MOD(L166,1),1)&gt;0,AND(ISNUMBER(L166),OR(L166&lt;0,L166&gt;95))),"Введите целое число от 0 до 95",IF(OR(AND(J166&lt;&gt;"",NOT(ISNUMBER(J166))),IFERROR(MOD(J166,1),1)&gt;0,AND(ISNUMBER(J166),OR(J166&lt;50,J166&gt;20000000))),"Введите целое число от 50 до 20000000",IF(NOT(ABS(IFERROR(VALUE(LEFT(M166,FIND("-",M166)-1)),M166)*100-(2500+2000000000)/2)&lt;=ABS(2500-2000000000)/2),"Цена со скидкой должна быть от 25 до 20000000",IF(AND(IFERROR(VALUE(LEFT(M166,FIND("-",M166)-1)),M166)*150&lt;=151000,IFERROR(VALUE(LEFT(M166,FIND("-",M166)-1)),M166)*200&gt;151000),"Вы уменьшили цену в несколько раз, товар попадет в карантин цен",IF(IFERROR(VALUE(LEFT(M166,FIND("-",M166)-1)),M166)*200&lt;=151000,"Не сохранили изменения, чтобы защитить от ошибки — новые цены меньше текущих более чем в 2 раза. Снижайте их постепенно",IF(AND(IFERROR(VALUE(I166),0)=0,ISNUMBER(J166),OR(J166&lt;458,ABS(IFERROR(VALUE(LEFT(M166,FIND("-",M166)-1)),M166))*100&lt;45800)),"Проверьте цену товара. Большинство товаров в выбранной категории стоят дороже 458","")))))),"")</f>
      </c>
    </row>
    <row r="167">
      <c r="A167" s="2" t="inlineStr">
        <is>
          <t/>
        </is>
      </c>
      <c r="B167" s="2" t="inlineStr">
        <is>
          <t>Чайники электрические</t>
        </is>
      </c>
      <c r="C167" s="2">
        <v>725312317</v>
      </c>
      <c r="D167" s="2" t="inlineStr">
        <is>
          <t>192446</t>
        </is>
      </c>
      <c r="E167" s="2" t="inlineStr">
        <is>
          <t>2048047081727</t>
        </is>
      </c>
      <c r="F167" s="2">
        <v>0</v>
      </c>
      <c r="G167" s="2">
        <v>0</v>
      </c>
      <c r="H167" s="2" t="inlineStr">
        <is>
          <t/>
        </is>
      </c>
      <c r="I167" s="2" t="inlineStr">
        <is>
          <t>22781</t>
        </is>
      </c>
      <c r="J167" s="4"/>
      <c r="K167" s="2">
        <v>79</v>
      </c>
      <c r="L167" s="6"/>
      <c r="M167" s="2" t="str">
        <f>IF(J167="",ROUND(I167*(1-IF(ISBLANK(L167),K167,L167)/100),2),ROUND(J167*(1-IF(ISBLANK(L167),K167,L167)/100),2))</f>
      </c>
      <c r="N167" s="7" t="str">
        <f>IF(NOT(AND(J167="",L167="")),IF(OR(AND(L167&lt;&gt;"",NOT(ISNUMBER(L167))),IFERROR(MOD(L167,1),1)&gt;0,AND(ISNUMBER(L167),OR(L167&lt;0,L167&gt;95))),"Введите целое число от 0 до 95",IF(OR(AND(J167&lt;&gt;"",NOT(ISNUMBER(J167))),IFERROR(MOD(J167,1),1)&gt;0,AND(ISNUMBER(J167),OR(J167&lt;50,J167&gt;20000000))),"Введите целое число от 50 до 20000000",IF(NOT(ABS(IFERROR(VALUE(LEFT(M167,FIND("-",M167)-1)),M167)*100-(2500+2000000000)/2)&lt;=ABS(2500-2000000000)/2),"Цена со скидкой должна быть от 25 до 20000000",IF(AND(IFERROR(VALUE(LEFT(M167,FIND("-",M167)-1)),M167)*150&lt;=478400,IFERROR(VALUE(LEFT(M167,FIND("-",M167)-1)),M167)*200&gt;478400),"Вы уменьшили цену в несколько раз, товар попадет в карантин цен",IF(IFERROR(VALUE(LEFT(M167,FIND("-",M167)-1)),M167)*200&lt;=478400,"Не сохранили изменения, чтобы защитить от ошибки — новые цены меньше текущих более чем в 2 раза. Снижайте их постепенно",IF(AND(IFERROR(VALUE(I167),0)=0,ISNUMBER(J167),OR(J167&lt;496,ABS(IFERROR(VALUE(LEFT(M167,FIND("-",M167)-1)),M167))*100&lt;49600)),"Проверьте цену товара. Большинство товаров в выбранной категории стоят дороже 496","")))))),"")</f>
      </c>
    </row>
    <row r="168">
      <c r="A168" s="2" t="inlineStr">
        <is>
          <t/>
        </is>
      </c>
      <c r="B168" s="2" t="inlineStr">
        <is>
          <t>Чайники электрические</t>
        </is>
      </c>
      <c r="C168" s="2">
        <v>765820369</v>
      </c>
      <c r="D168" s="2" t="inlineStr">
        <is>
          <t>192682</t>
        </is>
      </c>
      <c r="E168" s="2" t="inlineStr">
        <is>
          <t>2048427567902</t>
        </is>
      </c>
      <c r="F168" s="2">
        <v>3</v>
      </c>
      <c r="G168" s="2">
        <v>0</v>
      </c>
      <c r="H168" s="2">
        <v>999</v>
      </c>
      <c r="I168" s="2" t="inlineStr">
        <is>
          <t>14822</t>
        </is>
      </c>
      <c r="J168" s="4"/>
      <c r="K168" s="2">
        <v>81</v>
      </c>
      <c r="L168" s="6"/>
      <c r="M168" s="2" t="str">
        <f>IF(J168="",ROUND(I168*(1-IF(ISBLANK(L168),K168,L168)/100),2),ROUND(J168*(1-IF(ISBLANK(L168),K168,L168)/100),2))</f>
      </c>
      <c r="N168" s="7" t="str">
        <f>IF(NOT(AND(J168="",L168="")),IF(OR(AND(L168&lt;&gt;"",NOT(ISNUMBER(L168))),IFERROR(MOD(L168,1),1)&gt;0,AND(ISNUMBER(L168),OR(L168&lt;0,L168&gt;95))),"Введите целое число от 0 до 95",IF(OR(AND(J168&lt;&gt;"",NOT(ISNUMBER(J168))),IFERROR(MOD(J168,1),1)&gt;0,AND(ISNUMBER(J168),OR(J168&lt;50,J168&gt;20000000))),"Введите целое число от 50 до 20000000",IF(NOT(ABS(IFERROR(VALUE(LEFT(M168,FIND("-",M168)-1)),M168)*100-(2500+2000000000)/2)&lt;=ABS(2500-2000000000)/2),"Цена со скидкой должна быть от 25 до 20000000",IF(AND(IFERROR(VALUE(LEFT(M168,FIND("-",M168)-1)),M168)*150&lt;=281617,IFERROR(VALUE(LEFT(M168,FIND("-",M168)-1)),M168)*200&gt;281617),"Вы уменьшили цену в несколько раз, товар попадет в карантин цен",IF(IFERROR(VALUE(LEFT(M168,FIND("-",M168)-1)),M168)*200&lt;=281617,"Не сохранили изменения, чтобы защитить от ошибки — новые цены меньше текущих более чем в 2 раза. Снижайте их постепенно",IF(AND(IFERROR(VALUE(I168),0)=0,ISNUMBER(J168),OR(J168&lt;496,ABS(IFERROR(VALUE(LEFT(M168,FIND("-",M168)-1)),M168))*100&lt;49600)),"Проверьте цену товара. Большинство товаров в выбранной категории стоят дороже 496","")))))),"")</f>
      </c>
    </row>
    <row r="169">
      <c r="A169" s="2" t="inlineStr">
        <is>
          <t>Pasabahce</t>
        </is>
      </c>
      <c r="B169" s="2" t="inlineStr">
        <is>
          <t>Графины</t>
        </is>
      </c>
      <c r="C169" s="2">
        <v>251258617</v>
      </c>
      <c r="D169" s="2" t="inlineStr">
        <is>
          <t>121594</t>
        </is>
      </c>
      <c r="E169" s="2" t="inlineStr">
        <is>
          <t>2040892841648</t>
        </is>
      </c>
      <c r="F169" s="2">
        <v>0</v>
      </c>
      <c r="G169" s="2">
        <v>0</v>
      </c>
      <c r="H169" s="2">
        <v>1</v>
      </c>
      <c r="I169" s="2" t="inlineStr">
        <is>
          <t>5665</t>
        </is>
      </c>
      <c r="J169" s="4"/>
      <c r="K169" s="2">
        <v>65</v>
      </c>
      <c r="L169" s="6"/>
      <c r="M169" s="2" t="str">
        <f>IF(J169="",ROUND(I169*(1-IF(ISBLANK(L169),K169,L169)/100),2),ROUND(J169*(1-IF(ISBLANK(L169),K169,L169)/100),2))</f>
      </c>
      <c r="N169" s="7" t="str">
        <f>IF(NOT(AND(J169="",L169="")),IF(OR(AND(L169&lt;&gt;"",NOT(ISNUMBER(L169))),IFERROR(MOD(L169,1),1)&gt;0,AND(ISNUMBER(L169),OR(L169&lt;0,L169&gt;95))),"Введите целое число от 0 до 95",IF(OR(AND(J169&lt;&gt;"",NOT(ISNUMBER(J169))),IFERROR(MOD(J169,1),1)&gt;0,AND(ISNUMBER(J169),OR(J169&lt;50,J169&gt;20000000))),"Введите целое число от 50 до 20000000",IF(NOT(ABS(IFERROR(VALUE(LEFT(M169,FIND("-",M169)-1)),M169)*100-(2500+2000000000)/2)&lt;=ABS(2500-2000000000)/2),"Цена со скидкой должна быть от 25 до 20000000",IF(AND(IFERROR(VALUE(LEFT(M169,FIND("-",M169)-1)),M169)*150&lt;=198274,IFERROR(VALUE(LEFT(M169,FIND("-",M169)-1)),M169)*200&gt;198274),"Вы уменьшили цену в несколько раз, товар попадет в карантин цен",IF(IFERROR(VALUE(LEFT(M169,FIND("-",M169)-1)),M169)*200&lt;=198274,"Не сохранили изменения, чтобы защитить от ошибки — новые цены меньше текущих более чем в 2 раза. Снижайте их постепенно",IF(AND(IFERROR(VALUE(I169),0)=0,ISNUMBER(J169),OR(J169&lt;458,ABS(IFERROR(VALUE(LEFT(M169,FIND("-",M169)-1)),M169))*100&lt;45800)),"Проверьте цену товара. Большинство товаров в выбранной категории стоят дороже 458","")))))),"")</f>
      </c>
    </row>
    <row r="170">
      <c r="A170" s="2" t="inlineStr">
        <is>
          <t>Pasabahce</t>
        </is>
      </c>
      <c r="B170" s="2" t="inlineStr">
        <is>
          <t>Вазы</t>
        </is>
      </c>
      <c r="C170" s="2">
        <v>313895685</v>
      </c>
      <c r="D170" s="2" t="inlineStr">
        <is>
          <t>12064</t>
        </is>
      </c>
      <c r="E170" s="2" t="inlineStr">
        <is>
          <t>2042525956774</t>
        </is>
      </c>
      <c r="F170" s="2">
        <v>117</v>
      </c>
      <c r="G170" s="2">
        <v>0</v>
      </c>
      <c r="H170" s="2">
        <v>999</v>
      </c>
      <c r="I170" s="2" t="inlineStr">
        <is>
          <t>3892</t>
        </is>
      </c>
      <c r="J170" s="4"/>
      <c r="K170" s="2">
        <v>80</v>
      </c>
      <c r="L170" s="6"/>
      <c r="M170" s="2" t="str">
        <f>IF(J170="",ROUND(I170*(1-IF(ISBLANK(L170),K170,L170)/100),2),ROUND(J170*(1-IF(ISBLANK(L170),K170,L170)/100),2))</f>
      </c>
      <c r="N170" s="7" t="str">
        <f>IF(NOT(AND(J170="",L170="")),IF(OR(AND(L170&lt;&gt;"",NOT(ISNUMBER(L170))),IFERROR(MOD(L170,1),1)&gt;0,AND(ISNUMBER(L170),OR(L170&lt;0,L170&gt;95))),"Введите целое число от 0 до 95",IF(OR(AND(J170&lt;&gt;"",NOT(ISNUMBER(J170))),IFERROR(MOD(J170,1),1)&gt;0,AND(ISNUMBER(J170),OR(J170&lt;50,J170&gt;20000000))),"Введите целое число от 50 до 20000000",IF(NOT(ABS(IFERROR(VALUE(LEFT(M170,FIND("-",M170)-1)),M170)*100-(2500+2000000000)/2)&lt;=ABS(2500-2000000000)/2),"Цена со скидкой должна быть от 25 до 20000000",IF(AND(IFERROR(VALUE(LEFT(M170,FIND("-",M170)-1)),M170)*150&lt;=77839,IFERROR(VALUE(LEFT(M170,FIND("-",M170)-1)),M170)*200&gt;77839),"Вы уменьшили цену в несколько раз, товар попадет в карантин цен",IF(IFERROR(VALUE(LEFT(M170,FIND("-",M170)-1)),M170)*200&lt;=77839,"Не сохранили изменения, чтобы защитить от ошибки — новые цены меньше текущих более чем в 2 раза. Снижайте их постепенно",IF(AND(IFERROR(VALUE(I170),0)=0,ISNUMBER(J170),OR(J170&lt;296,ABS(IFERROR(VALUE(LEFT(M170,FIND("-",M170)-1)),M170))*100&lt;29600)),"Проверьте цену товара. Большинство товаров в выбранной категории стоят дороже 296","")))))),"")</f>
      </c>
    </row>
    <row r="171">
      <c r="A171" s="2" t="inlineStr">
        <is>
          <t>Veloria</t>
        </is>
      </c>
      <c r="B171" s="2" t="inlineStr">
        <is>
          <t>Рулонные шторы</t>
        </is>
      </c>
      <c r="C171" s="2">
        <v>423136499</v>
      </c>
      <c r="D171" s="2" t="inlineStr">
        <is>
          <t>420557</t>
        </is>
      </c>
      <c r="E171" s="2" t="inlineStr">
        <is>
          <t>2044121275129</t>
        </is>
      </c>
      <c r="F171" s="2">
        <v>0</v>
      </c>
      <c r="G171" s="2">
        <v>6</v>
      </c>
      <c r="H171" s="2" t="inlineStr">
        <is>
          <t/>
        </is>
      </c>
      <c r="I171" s="2" t="inlineStr">
        <is>
          <t>11925</t>
        </is>
      </c>
      <c r="J171" s="4"/>
      <c r="K171" s="2">
        <v>78</v>
      </c>
      <c r="L171" s="6"/>
      <c r="M171" s="2" t="str">
        <f>IF(J171="",ROUND(I171*(1-IF(ISBLANK(L171),K171,L171)/100),2),ROUND(J171*(1-IF(ISBLANK(L171),K171,L171)/100),2))</f>
      </c>
      <c r="N171" s="7" t="str">
        <f>IF(NOT(AND(J171="",L171="")),IF(OR(AND(L171&lt;&gt;"",NOT(ISNUMBER(L171))),IFERROR(MOD(L171,1),1)&gt;0,AND(ISNUMBER(L171),OR(L171&lt;0,L171&gt;95))),"Введите целое число от 0 до 95",IF(OR(AND(J171&lt;&gt;"",NOT(ISNUMBER(J171))),IFERROR(MOD(J171,1),1)&gt;0,AND(ISNUMBER(J171),OR(J171&lt;50,J171&gt;20000000))),"Введите целое число от 50 до 20000000",IF(NOT(ABS(IFERROR(VALUE(LEFT(M171,FIND("-",M171)-1)),M171)*100-(2500+2000000000)/2)&lt;=ABS(2500-2000000000)/2),"Цена со скидкой должна быть от 25 до 20000000",IF(AND(IFERROR(VALUE(LEFT(M171,FIND("-",M171)-1)),M171)*150&lt;=262349,IFERROR(VALUE(LEFT(M171,FIND("-",M171)-1)),M171)*200&gt;262349),"Вы уменьшили цену в несколько раз, товар попадет в карантин цен",IF(IFERROR(VALUE(LEFT(M171,FIND("-",M171)-1)),M171)*200&lt;=262349,"Не сохранили изменения, чтобы защитить от ошибки — новые цены меньше текущих более чем в 2 раза. Снижайте их постепенно",IF(AND(IFERROR(VALUE(I171),0)=0,ISNUMBER(J171),OR(J171&lt;611,ABS(IFERROR(VALUE(LEFT(M171,FIND("-",M171)-1)),M171))*100&lt;61100)),"Проверьте цену товара. Большинство товаров в выбранной категории стоят дороже 611","")))))),"")</f>
      </c>
    </row>
    <row r="172">
      <c r="A172" s="2" t="inlineStr">
        <is>
          <t>Luxaro</t>
        </is>
      </c>
      <c r="B172" s="2" t="inlineStr">
        <is>
          <t>Тарелки</t>
        </is>
      </c>
      <c r="C172" s="2">
        <v>300342775</v>
      </c>
      <c r="D172" s="2" t="inlineStr">
        <is>
          <t>457035</t>
        </is>
      </c>
      <c r="E172" s="2" t="inlineStr">
        <is>
          <t>2042202104191</t>
        </is>
      </c>
      <c r="F172" s="2">
        <v>0</v>
      </c>
      <c r="G172" s="2">
        <v>0</v>
      </c>
      <c r="H172" s="2" t="inlineStr">
        <is>
          <t/>
        </is>
      </c>
      <c r="I172" s="2" t="inlineStr">
        <is>
          <t>3113</t>
        </is>
      </c>
      <c r="J172" s="4"/>
      <c r="K172" s="2">
        <v>65</v>
      </c>
      <c r="L172" s="6"/>
      <c r="M172" s="2" t="str">
        <f>IF(J172="",ROUND(I172*(1-IF(ISBLANK(L172),K172,L172)/100),2),ROUND(J172*(1-IF(ISBLANK(L172),K172,L172)/100),2))</f>
      </c>
      <c r="N172" s="7" t="str">
        <f>IF(NOT(AND(J172="",L172="")),IF(OR(AND(L172&lt;&gt;"",NOT(ISNUMBER(L172))),IFERROR(MOD(L172,1),1)&gt;0,AND(ISNUMBER(L172),OR(L172&lt;0,L172&gt;95))),"Введите целое число от 0 до 95",IF(OR(AND(J172&lt;&gt;"",NOT(ISNUMBER(J172))),IFERROR(MOD(J172,1),1)&gt;0,AND(ISNUMBER(J172),OR(J172&lt;50,J172&gt;20000000))),"Введите целое число от 50 до 20000000",IF(NOT(ABS(IFERROR(VALUE(LEFT(M172,FIND("-",M172)-1)),M172)*100-(2500+2000000000)/2)&lt;=ABS(2500-2000000000)/2),"Цена со скидкой должна быть от 25 до 20000000",IF(AND(IFERROR(VALUE(LEFT(M172,FIND("-",M172)-1)),M172)*150&lt;=108955,IFERROR(VALUE(LEFT(M172,FIND("-",M172)-1)),M172)*200&gt;108955),"Вы уменьшили цену в несколько раз, товар попадет в карантин цен",IF(IFERROR(VALUE(LEFT(M172,FIND("-",M172)-1)),M172)*200&lt;=108955,"Не сохранили изменения, чтобы защитить от ошибки — новые цены меньше текущих более чем в 2 раза. Снижайте их постепенно",IF(AND(IFERROR(VALUE(I172),0)=0,ISNUMBER(J172),OR(J172&lt;413,ABS(IFERROR(VALUE(LEFT(M172,FIND("-",M172)-1)),M172))*100&lt;41300)),"Проверьте цену товара. Большинство товаров в выбранной категории стоят дороже 413","")))))),"")</f>
      </c>
    </row>
    <row r="173">
      <c r="A173" s="2" t="inlineStr">
        <is>
          <t>Pasabahce</t>
        </is>
      </c>
      <c r="B173" s="2" t="inlineStr">
        <is>
          <t>Графины</t>
        </is>
      </c>
      <c r="C173" s="2">
        <v>251249697</v>
      </c>
      <c r="D173" s="2" t="inlineStr">
        <is>
          <t>121301</t>
        </is>
      </c>
      <c r="E173" s="2" t="inlineStr">
        <is>
          <t>2040892676059</t>
        </is>
      </c>
      <c r="F173" s="2">
        <v>0</v>
      </c>
      <c r="G173" s="2">
        <v>0</v>
      </c>
      <c r="H173" s="2">
        <v>1</v>
      </c>
      <c r="I173" s="2" t="inlineStr">
        <is>
          <t>4909</t>
        </is>
      </c>
      <c r="J173" s="4"/>
      <c r="K173" s="2">
        <v>65</v>
      </c>
      <c r="L173" s="6"/>
      <c r="M173" s="2" t="str">
        <f>IF(J173="",ROUND(I173*(1-IF(ISBLANK(L173),K173,L173)/100),2),ROUND(J173*(1-IF(ISBLANK(L173),K173,L173)/100),2))</f>
      </c>
      <c r="N173" s="7" t="str">
        <f>IF(NOT(AND(J173="",L173="")),IF(OR(AND(L173&lt;&gt;"",NOT(ISNUMBER(L173))),IFERROR(MOD(L173,1),1)&gt;0,AND(ISNUMBER(L173),OR(L173&lt;0,L173&gt;95))),"Введите целое число от 0 до 95",IF(OR(AND(J173&lt;&gt;"",NOT(ISNUMBER(J173))),IFERROR(MOD(J173,1),1)&gt;0,AND(ISNUMBER(J173),OR(J173&lt;50,J173&gt;20000000))),"Введите целое число от 50 до 20000000",IF(NOT(ABS(IFERROR(VALUE(LEFT(M173,FIND("-",M173)-1)),M173)*100-(2500+2000000000)/2)&lt;=ABS(2500-2000000000)/2),"Цена со скидкой должна быть от 25 до 20000000",IF(AND(IFERROR(VALUE(LEFT(M173,FIND("-",M173)-1)),M173)*150&lt;=171815,IFERROR(VALUE(LEFT(M173,FIND("-",M173)-1)),M173)*200&gt;171815),"Вы уменьшили цену в несколько раз, товар попадет в карантин цен",IF(IFERROR(VALUE(LEFT(M173,FIND("-",M173)-1)),M173)*200&lt;=171815,"Не сохранили изменения, чтобы защитить от ошибки — новые цены меньше текущих более чем в 2 раза. Снижайте их постепенно",IF(AND(IFERROR(VALUE(I173),0)=0,ISNUMBER(J173),OR(J173&lt;458,ABS(IFERROR(VALUE(LEFT(M173,FIND("-",M173)-1)),M173))*100&lt;45800)),"Проверьте цену товара. Большинство товаров в выбранной категории стоят дороже 458","")))))),"")</f>
      </c>
    </row>
    <row r="174">
      <c r="A174" s="2" t="inlineStr">
        <is>
          <t/>
        </is>
      </c>
      <c r="B174" s="2" t="inlineStr">
        <is>
          <t>Тарелки</t>
        </is>
      </c>
      <c r="C174" s="2">
        <v>729438442</v>
      </c>
      <c r="D174" s="2" t="inlineStr">
        <is>
          <t>072052</t>
        </is>
      </c>
      <c r="E174" s="2" t="inlineStr">
        <is>
          <t>2048082120245</t>
        </is>
      </c>
      <c r="F174" s="2" t="inlineStr">
        <is>
          <t/>
        </is>
      </c>
      <c r="G174" s="2" t="inlineStr">
        <is>
          <t/>
        </is>
      </c>
      <c r="H174" s="2" t="inlineStr">
        <is>
          <t/>
        </is>
      </c>
      <c r="I174" s="2" t="inlineStr">
        <is>
          <t>0</t>
        </is>
      </c>
      <c r="J174" s="4"/>
      <c r="K174" s="2">
        <v>0</v>
      </c>
      <c r="L174" s="6"/>
      <c r="M174" s="2" t="str">
        <f>IF(J174="",ROUND(I174*(1-IF(ISBLANK(L174),K174,L174)/100),2),ROUND(J174*(1-IF(ISBLANK(L174),K174,L174)/100),2))</f>
      </c>
      <c r="N174" s="7" t="str">
        <f>IF(NOT(AND(J174="",L174="")),IF(OR(AND(L174&lt;&gt;"",NOT(ISNUMBER(L174))),IFERROR(MOD(L174,1),1)&gt;0,AND(ISNUMBER(L174),OR(L174&lt;0,L174&gt;95))),"Введите целое число от 0 до 95",IF(OR(AND(J174&lt;&gt;"",NOT(ISNUMBER(J174))),IFERROR(MOD(J174,1),1)&gt;0,AND(ISNUMBER(J174),OR(J174&lt;50,J174&gt;20000000))),"Введите целое число от 50 до 20000000",IF(NOT(ABS(IFERROR(VALUE(LEFT(M174,FIND("-",M174)-1)),M174)*100-(2500+2000000000)/2)&lt;=ABS(2500-2000000000)/2),"Цена со скидкой должна быть от 25 до 20000000",IF(AND(IFERROR(VALUE(LEFT(M174,FIND("-",M174)-1)),M174)*150&lt;=0,IFERROR(VALUE(LEFT(M174,FIND("-",M174)-1)),M174)*200&gt;0),"Вы уменьшили цену в несколько раз, товар попадет в карантин цен",IF(IFERROR(VALUE(LEFT(M174,FIND("-",M174)-1)),M174)*200&lt;=0,"Не сохранили изменения, чтобы защитить от ошибки — новые цены меньше текущих более чем в 2 раза. Снижайте их постепенно",IF(AND(IFERROR(VALUE(I174),0)=0,ISNUMBER(J174),OR(J174&lt;413,ABS(IFERROR(VALUE(LEFT(M174,FIND("-",M174)-1)),M174))*100&lt;41300)),"Проверьте цену товара. Большинство товаров в выбранной категории стоят дороже 413","")))))),"")</f>
      </c>
    </row>
    <row r="175">
      <c r="A175" s="2" t="inlineStr">
        <is>
          <t/>
        </is>
      </c>
      <c r="B175" s="2" t="inlineStr">
        <is>
          <t>Тарелки</t>
        </is>
      </c>
      <c r="C175" s="2">
        <v>729438447</v>
      </c>
      <c r="D175" s="2" t="inlineStr">
        <is>
          <t>076071</t>
        </is>
      </c>
      <c r="E175" s="2" t="inlineStr">
        <is>
          <t>2048082120306</t>
        </is>
      </c>
      <c r="F175" s="2" t="inlineStr">
        <is>
          <t/>
        </is>
      </c>
      <c r="G175" s="2" t="inlineStr">
        <is>
          <t/>
        </is>
      </c>
      <c r="H175" s="2" t="inlineStr">
        <is>
          <t/>
        </is>
      </c>
      <c r="I175" s="2" t="inlineStr">
        <is>
          <t>0</t>
        </is>
      </c>
      <c r="J175" s="4"/>
      <c r="K175" s="2">
        <v>0</v>
      </c>
      <c r="L175" s="6"/>
      <c r="M175" s="2" t="str">
        <f>IF(J175="",ROUND(I175*(1-IF(ISBLANK(L175),K175,L175)/100),2),ROUND(J175*(1-IF(ISBLANK(L175),K175,L175)/100),2))</f>
      </c>
      <c r="N175" s="7" t="str">
        <f>IF(NOT(AND(J175="",L175="")),IF(OR(AND(L175&lt;&gt;"",NOT(ISNUMBER(L175))),IFERROR(MOD(L175,1),1)&gt;0,AND(ISNUMBER(L175),OR(L175&lt;0,L175&gt;95))),"Введите целое число от 0 до 95",IF(OR(AND(J175&lt;&gt;"",NOT(ISNUMBER(J175))),IFERROR(MOD(J175,1),1)&gt;0,AND(ISNUMBER(J175),OR(J175&lt;50,J175&gt;20000000))),"Введите целое число от 50 до 20000000",IF(NOT(ABS(IFERROR(VALUE(LEFT(M175,FIND("-",M175)-1)),M175)*100-(2500+2000000000)/2)&lt;=ABS(2500-2000000000)/2),"Цена со скидкой должна быть от 25 до 20000000",IF(AND(IFERROR(VALUE(LEFT(M175,FIND("-",M175)-1)),M175)*150&lt;=0,IFERROR(VALUE(LEFT(M175,FIND("-",M175)-1)),M175)*200&gt;0),"Вы уменьшили цену в несколько раз, товар попадет в карантин цен",IF(IFERROR(VALUE(LEFT(M175,FIND("-",M175)-1)),M175)*200&lt;=0,"Не сохранили изменения, чтобы защитить от ошибки — новые цены меньше текущих более чем в 2 раза. Снижайте их постепенно",IF(AND(IFERROR(VALUE(I175),0)=0,ISNUMBER(J175),OR(J175&lt;413,ABS(IFERROR(VALUE(LEFT(M175,FIND("-",M175)-1)),M175))*100&lt;41300)),"Проверьте цену товара. Большинство товаров в выбранной категории стоят дороже 413","")))))),"")</f>
      </c>
    </row>
    <row r="176">
      <c r="A176" s="2" t="inlineStr">
        <is>
          <t>Luxaro</t>
        </is>
      </c>
      <c r="B176" s="2" t="inlineStr">
        <is>
          <t>Фритюрницы для плиты</t>
        </is>
      </c>
      <c r="C176" s="2">
        <v>325046527</v>
      </c>
      <c r="D176" s="2" t="inlineStr">
        <is>
          <t>282979</t>
        </is>
      </c>
      <c r="E176" s="2" t="inlineStr">
        <is>
          <t>4670294453828</t>
        </is>
      </c>
      <c r="F176" s="2">
        <v>0</v>
      </c>
      <c r="G176" s="2">
        <v>0</v>
      </c>
      <c r="H176" s="2">
        <v>1</v>
      </c>
      <c r="I176" s="2" t="inlineStr">
        <is>
          <t>6709</t>
        </is>
      </c>
      <c r="J176" s="4"/>
      <c r="K176" s="2">
        <v>65</v>
      </c>
      <c r="L176" s="6"/>
      <c r="M176" s="2" t="str">
        <f>IF(J176="",ROUND(I176*(1-IF(ISBLANK(L176),K176,L176)/100),2),ROUND(J176*(1-IF(ISBLANK(L176),K176,L176)/100),2))</f>
      </c>
      <c r="N176" s="7" t="str">
        <f>IF(NOT(AND(J176="",L176="")),IF(OR(AND(L176&lt;&gt;"",NOT(ISNUMBER(L176))),IFERROR(MOD(L176,1),1)&gt;0,AND(ISNUMBER(L176),OR(L176&lt;0,L176&gt;95))),"Введите целое число от 0 до 95",IF(OR(AND(J176&lt;&gt;"",NOT(ISNUMBER(J176))),IFERROR(MOD(J176,1),1)&gt;0,AND(ISNUMBER(J176),OR(J176&lt;50,J176&gt;20000000))),"Введите целое число от 50 до 20000000",IF(NOT(ABS(IFERROR(VALUE(LEFT(M176,FIND("-",M176)-1)),M176)*100-(2500+2000000000)/2)&lt;=ABS(2500-2000000000)/2),"Цена со скидкой должна быть от 25 до 20000000",IF(AND(IFERROR(VALUE(LEFT(M176,FIND("-",M176)-1)),M176)*150&lt;=234814,IFERROR(VALUE(LEFT(M176,FIND("-",M176)-1)),M176)*200&gt;234814),"Вы уменьшили цену в несколько раз, товар попадет в карантин цен",IF(IFERROR(VALUE(LEFT(M176,FIND("-",M176)-1)),M176)*200&lt;=234814,"Не сохранили изменения, чтобы защитить от ошибки — новые цены меньше текущих более чем в 2 раза. Снижайте их постепенно",IF(AND(IFERROR(VALUE(I176),0)=0,ISNUMBER(J176),OR(J176&lt;559,ABS(IFERROR(VALUE(LEFT(M176,FIND("-",M176)-1)),M176))*100&lt;55900)),"Проверьте цену товара. Большинство товаров в выбранной категории стоят дороже 559","")))))),"")</f>
      </c>
    </row>
    <row r="177">
      <c r="A177" s="2" t="inlineStr">
        <is>
          <t>Luxaro</t>
        </is>
      </c>
      <c r="B177" s="2" t="inlineStr">
        <is>
          <t>Фритюрницы для плиты</t>
        </is>
      </c>
      <c r="C177" s="2">
        <v>325046526</v>
      </c>
      <c r="D177" s="2" t="inlineStr">
        <is>
          <t>282978</t>
        </is>
      </c>
      <c r="E177" s="2" t="inlineStr">
        <is>
          <t>4670294453811</t>
        </is>
      </c>
      <c r="F177" s="2">
        <v>68</v>
      </c>
      <c r="G177" s="2">
        <v>165</v>
      </c>
      <c r="H177" s="2">
        <v>999</v>
      </c>
      <c r="I177" s="2" t="inlineStr">
        <is>
          <t>5726</t>
        </is>
      </c>
      <c r="J177" s="4"/>
      <c r="K177" s="2">
        <v>77</v>
      </c>
      <c r="L177" s="6"/>
      <c r="M177" s="2" t="str">
        <f>IF(J177="",ROUND(I177*(1-IF(ISBLANK(L177),K177,L177)/100),2),ROUND(J177*(1-IF(ISBLANK(L177),K177,L177)/100),2))</f>
      </c>
      <c r="N177" s="7" t="str">
        <f>IF(NOT(AND(J177="",L177="")),IF(OR(AND(L177&lt;&gt;"",NOT(ISNUMBER(L177))),IFERROR(MOD(L177,1),1)&gt;0,AND(ISNUMBER(L177),OR(L177&lt;0,L177&gt;95))),"Введите целое число от 0 до 95",IF(OR(AND(J177&lt;&gt;"",NOT(ISNUMBER(J177))),IFERROR(MOD(J177,1),1)&gt;0,AND(ISNUMBER(J177),OR(J177&lt;50,J177&gt;20000000))),"Введите целое число от 50 до 20000000",IF(NOT(ABS(IFERROR(VALUE(LEFT(M177,FIND("-",M177)-1)),M177)*100-(2500+2000000000)/2)&lt;=ABS(2500-2000000000)/2),"Цена со скидкой должна быть от 25 до 20000000",IF(AND(IFERROR(VALUE(LEFT(M177,FIND("-",M177)-1)),M177)*150&lt;=131697,IFERROR(VALUE(LEFT(M177,FIND("-",M177)-1)),M177)*200&gt;131697),"Вы уменьшили цену в несколько раз, товар попадет в карантин цен",IF(IFERROR(VALUE(LEFT(M177,FIND("-",M177)-1)),M177)*200&lt;=131697,"Не сохранили изменения, чтобы защитить от ошибки — новые цены меньше текущих более чем в 2 раза. Снижайте их постепенно",IF(AND(IFERROR(VALUE(I177),0)=0,ISNUMBER(J177),OR(J177&lt;559,ABS(IFERROR(VALUE(LEFT(M177,FIND("-",M177)-1)),M177))*100&lt;55900)),"Проверьте цену товара. Большинство товаров в выбранной категории стоят дороже 559","")))))),"")</f>
      </c>
    </row>
    <row r="178">
      <c r="A178" s="2" t="inlineStr">
        <is>
          <t/>
        </is>
      </c>
      <c r="B178" s="2" t="inlineStr">
        <is>
          <t>Пиалы</t>
        </is>
      </c>
      <c r="C178" s="2">
        <v>265486919</v>
      </c>
      <c r="D178" s="2" t="inlineStr">
        <is>
          <t>075002</t>
        </is>
      </c>
      <c r="E178" s="2" t="inlineStr">
        <is>
          <t>2041332608234</t>
        </is>
      </c>
      <c r="F178" s="2">
        <v>0</v>
      </c>
      <c r="G178" s="2">
        <v>0</v>
      </c>
      <c r="H178" s="2">
        <v>1</v>
      </c>
      <c r="I178" s="2" t="inlineStr">
        <is>
          <t>2300</t>
        </is>
      </c>
      <c r="J178" s="4"/>
      <c r="K178" s="2">
        <v>65</v>
      </c>
      <c r="L178" s="6"/>
      <c r="M178" s="2" t="str">
        <f>IF(J178="",ROUND(I178*(1-IF(ISBLANK(L178),K178,L178)/100),2),ROUND(J178*(1-IF(ISBLANK(L178),K178,L178)/100),2))</f>
      </c>
      <c r="N178" s="7" t="str">
        <f>IF(NOT(AND(J178="",L178="")),IF(OR(AND(L178&lt;&gt;"",NOT(ISNUMBER(L178))),IFERROR(MOD(L178,1),1)&gt;0,AND(ISNUMBER(L178),OR(L178&lt;0,L178&gt;95))),"Введите целое число от 0 до 95",IF(OR(AND(J178&lt;&gt;"",NOT(ISNUMBER(J178))),IFERROR(MOD(J178,1),1)&gt;0,AND(ISNUMBER(J178),OR(J178&lt;50,J178&gt;20000000))),"Введите целое число от 50 до 20000000",IF(NOT(ABS(IFERROR(VALUE(LEFT(M178,FIND("-",M178)-1)),M178)*100-(2500+2000000000)/2)&lt;=ABS(2500-2000000000)/2),"Цена со скидкой должна быть от 25 до 20000000",IF(AND(IFERROR(VALUE(LEFT(M178,FIND("-",M178)-1)),M178)*150&lt;=80500,IFERROR(VALUE(LEFT(M178,FIND("-",M178)-1)),M178)*200&gt;80500),"Вы уменьшили цену в несколько раз, товар попадет в карантин цен",IF(IFERROR(VALUE(LEFT(M178,FIND("-",M178)-1)),M178)*200&lt;=80500,"Не сохранили изменения, чтобы защитить от ошибки — новые цены меньше текущих более чем в 2 раза. Снижайте их постепенно",IF(AND(IFERROR(VALUE(I178),0)=0,ISNUMBER(J178),OR(J178&lt;502,ABS(IFERROR(VALUE(LEFT(M178,FIND("-",M178)-1)),M178))*100&lt;50200)),"Проверьте цену товара. Большинство товаров в выбранной категории стоят дороже 502","")))))),"")</f>
      </c>
    </row>
    <row r="179">
      <c r="A179" s="2" t="inlineStr">
        <is>
          <t>Luxaro</t>
        </is>
      </c>
      <c r="B179" s="2" t="inlineStr">
        <is>
          <t>Фритюрницы для плиты</t>
        </is>
      </c>
      <c r="C179" s="2">
        <v>502444730</v>
      </c>
      <c r="D179" s="2" t="inlineStr">
        <is>
          <t>283186</t>
        </is>
      </c>
      <c r="E179" s="2" t="inlineStr">
        <is>
          <t>2045456486020</t>
        </is>
      </c>
      <c r="F179" s="2">
        <v>10</v>
      </c>
      <c r="G179" s="2">
        <v>0</v>
      </c>
      <c r="H179" s="2">
        <v>106</v>
      </c>
      <c r="I179" s="2" t="inlineStr">
        <is>
          <t>10538</t>
        </is>
      </c>
      <c r="J179" s="4"/>
      <c r="K179" s="2">
        <v>79</v>
      </c>
      <c r="L179" s="6"/>
      <c r="M179" s="2" t="str">
        <f>IF(J179="",ROUND(I179*(1-IF(ISBLANK(L179),K179,L179)/100),2),ROUND(J179*(1-IF(ISBLANK(L179),K179,L179)/100),2))</f>
      </c>
      <c r="N179" s="7" t="str">
        <f>IF(NOT(AND(J179="",L179="")),IF(OR(AND(L179&lt;&gt;"",NOT(ISNUMBER(L179))),IFERROR(MOD(L179,1),1)&gt;0,AND(ISNUMBER(L179),OR(L179&lt;0,L179&gt;95))),"Введите целое число от 0 до 95",IF(OR(AND(J179&lt;&gt;"",NOT(ISNUMBER(J179))),IFERROR(MOD(J179,1),1)&gt;0,AND(ISNUMBER(J179),OR(J179&lt;50,J179&gt;20000000))),"Введите целое число от 50 до 20000000",IF(NOT(ABS(IFERROR(VALUE(LEFT(M179,FIND("-",M179)-1)),M179)*100-(2500+2000000000)/2)&lt;=ABS(2500-2000000000)/2),"Цена со скидкой должна быть от 25 до 20000000",IF(AND(IFERROR(VALUE(LEFT(M179,FIND("-",M179)-1)),M179)*150&lt;=221297,IFERROR(VALUE(LEFT(M179,FIND("-",M179)-1)),M179)*200&gt;221297),"Вы уменьшили цену в несколько раз, товар попадет в карантин цен",IF(IFERROR(VALUE(LEFT(M179,FIND("-",M179)-1)),M179)*200&lt;=221297,"Не сохранили изменения, чтобы защитить от ошибки — новые цены меньше текущих более чем в 2 раза. Снижайте их постепенно",IF(AND(IFERROR(VALUE(I179),0)=0,ISNUMBER(J179),OR(J179&lt;559,ABS(IFERROR(VALUE(LEFT(M179,FIND("-",M179)-1)),M179))*100&lt;55900)),"Проверьте цену товара. Большинство товаров в выбранной категории стоят дороже 559","")))))),"")</f>
      </c>
    </row>
    <row r="180">
      <c r="A180" s="2" t="inlineStr">
        <is>
          <t>Luxaro</t>
        </is>
      </c>
      <c r="B180" s="2" t="inlineStr">
        <is>
          <t>Фритюрницы для плиты</t>
        </is>
      </c>
      <c r="C180" s="2">
        <v>502444729</v>
      </c>
      <c r="D180" s="2" t="inlineStr">
        <is>
          <t>282967</t>
        </is>
      </c>
      <c r="E180" s="2" t="inlineStr">
        <is>
          <t>2045456428891</t>
        </is>
      </c>
      <c r="F180" s="2">
        <v>57</v>
      </c>
      <c r="G180" s="2">
        <v>0</v>
      </c>
      <c r="H180" s="2">
        <v>999</v>
      </c>
      <c r="I180" s="2" t="inlineStr">
        <is>
          <t>2688</t>
        </is>
      </c>
      <c r="J180" s="4"/>
      <c r="K180" s="2">
        <v>80</v>
      </c>
      <c r="L180" s="6"/>
      <c r="M180" s="2" t="str">
        <f>IF(J180="",ROUND(I180*(1-IF(ISBLANK(L180),K180,L180)/100),2),ROUND(J180*(1-IF(ISBLANK(L180),K180,L180)/100),2))</f>
      </c>
      <c r="N180" s="7" t="str">
        <f>IF(NOT(AND(J180="",L180="")),IF(OR(AND(L180&lt;&gt;"",NOT(ISNUMBER(L180))),IFERROR(MOD(L180,1),1)&gt;0,AND(ISNUMBER(L180),OR(L180&lt;0,L180&gt;95))),"Введите целое число от 0 до 95",IF(OR(AND(J180&lt;&gt;"",NOT(ISNUMBER(J180))),IFERROR(MOD(J180,1),1)&gt;0,AND(ISNUMBER(J180),OR(J180&lt;50,J180&gt;20000000))),"Введите целое число от 50 до 20000000",IF(NOT(ABS(IFERROR(VALUE(LEFT(M180,FIND("-",M180)-1)),M180)*100-(2500+2000000000)/2)&lt;=ABS(2500-2000000000)/2),"Цена со скидкой должна быть от 25 до 20000000",IF(AND(IFERROR(VALUE(LEFT(M180,FIND("-",M180)-1)),M180)*150&lt;=53759,IFERROR(VALUE(LEFT(M180,FIND("-",M180)-1)),M180)*200&gt;53759),"Вы уменьшили цену в несколько раз, товар попадет в карантин цен",IF(IFERROR(VALUE(LEFT(M180,FIND("-",M180)-1)),M180)*200&lt;=53759,"Не сохранили изменения, чтобы защитить от ошибки — новые цены меньше текущих более чем в 2 раза. Снижайте их постепенно",IF(AND(IFERROR(VALUE(I180),0)=0,ISNUMBER(J180),OR(J180&lt;559,ABS(IFERROR(VALUE(LEFT(M180,FIND("-",M180)-1)),M180))*100&lt;55900)),"Проверьте цену товара. Большинство товаров в выбранной категории стоят дороже 559","")))))),"")</f>
      </c>
    </row>
    <row r="181">
      <c r="A181" s="2" t="inlineStr">
        <is>
          <t/>
        </is>
      </c>
      <c r="B181" s="2" t="inlineStr">
        <is>
          <t>Турки электрические</t>
        </is>
      </c>
      <c r="C181" s="2">
        <v>603734211</v>
      </c>
      <c r="D181" s="2" t="inlineStr">
        <is>
          <t>192612</t>
        </is>
      </c>
      <c r="E181" s="2" t="inlineStr">
        <is>
          <t>2047147961922</t>
        </is>
      </c>
      <c r="F181" s="2">
        <v>0</v>
      </c>
      <c r="G181" s="2">
        <v>0</v>
      </c>
      <c r="H181" s="2" t="inlineStr">
        <is>
          <t/>
        </is>
      </c>
      <c r="I181" s="2" t="inlineStr">
        <is>
          <t>16801</t>
        </is>
      </c>
      <c r="J181" s="4"/>
      <c r="K181" s="2">
        <v>65</v>
      </c>
      <c r="L181" s="6"/>
      <c r="M181" s="2" t="str">
        <f>IF(J181="",ROUND(I181*(1-IF(ISBLANK(L181),K181,L181)/100),2),ROUND(J181*(1-IF(ISBLANK(L181),K181,L181)/100),2))</f>
      </c>
      <c r="N181" s="7" t="str">
        <f>IF(NOT(AND(J181="",L181="")),IF(OR(AND(L181&lt;&gt;"",NOT(ISNUMBER(L181))),IFERROR(MOD(L181,1),1)&gt;0,AND(ISNUMBER(L181),OR(L181&lt;0,L181&gt;95))),"Введите целое число от 0 до 95",IF(OR(AND(J181&lt;&gt;"",NOT(ISNUMBER(J181))),IFERROR(MOD(J181,1),1)&gt;0,AND(ISNUMBER(J181),OR(J181&lt;50,J181&gt;20000000))),"Введите целое число от 50 до 20000000",IF(NOT(ABS(IFERROR(VALUE(LEFT(M181,FIND("-",M181)-1)),M181)*100-(2500+2000000000)/2)&lt;=ABS(2500-2000000000)/2),"Цена со скидкой должна быть от 25 до 20000000",IF(AND(IFERROR(VALUE(LEFT(M181,FIND("-",M181)-1)),M181)*150&lt;=588035,IFERROR(VALUE(LEFT(M181,FIND("-",M181)-1)),M181)*200&gt;588035),"Вы уменьшили цену в несколько раз, товар попадет в карантин цен",IF(IFERROR(VALUE(LEFT(M181,FIND("-",M181)-1)),M181)*200&lt;=588035,"Не сохранили изменения, чтобы защитить от ошибки — новые цены меньше текущих более чем в 2 раза. Снижайте их постепенно",IF(AND(IFERROR(VALUE(I181),0)=0,ISNUMBER(J181),OR(J181&lt;625,ABS(IFERROR(VALUE(LEFT(M181,FIND("-",M181)-1)),M181))*100&lt;62500)),"Проверьте цену товара. Большинство товаров в выбранной категории стоят дороже 625","")))))),"")</f>
      </c>
    </row>
    <row r="182">
      <c r="A182" s="2" t="inlineStr">
        <is>
          <t/>
        </is>
      </c>
      <c r="B182" s="2" t="inlineStr">
        <is>
          <t>Кофемолки электрические</t>
        </is>
      </c>
      <c r="C182" s="2">
        <v>603734239</v>
      </c>
      <c r="D182" s="2" t="inlineStr">
        <is>
          <t>192375</t>
        </is>
      </c>
      <c r="E182" s="2" t="inlineStr">
        <is>
          <t>2047147962196</t>
        </is>
      </c>
      <c r="F182" s="2">
        <v>0</v>
      </c>
      <c r="G182" s="2">
        <v>6</v>
      </c>
      <c r="H182" s="2" t="inlineStr">
        <is>
          <t/>
        </is>
      </c>
      <c r="I182" s="2" t="inlineStr">
        <is>
          <t>8888</t>
        </is>
      </c>
      <c r="J182" s="4"/>
      <c r="K182" s="2">
        <v>78</v>
      </c>
      <c r="L182" s="6"/>
      <c r="M182" s="2" t="str">
        <f>IF(J182="",ROUND(I182*(1-IF(ISBLANK(L182),K182,L182)/100),2),ROUND(J182*(1-IF(ISBLANK(L182),K182,L182)/100),2))</f>
      </c>
      <c r="N182" s="7" t="str">
        <f>IF(NOT(AND(J182="",L182="")),IF(OR(AND(L182&lt;&gt;"",NOT(ISNUMBER(L182))),IFERROR(MOD(L182,1),1)&gt;0,AND(ISNUMBER(L182),OR(L182&lt;0,L182&gt;95))),"Введите целое число от 0 до 95",IF(OR(AND(J182&lt;&gt;"",NOT(ISNUMBER(J182))),IFERROR(MOD(J182,1),1)&gt;0,AND(ISNUMBER(J182),OR(J182&lt;50,J182&gt;20000000))),"Введите целое число от 50 до 20000000",IF(NOT(ABS(IFERROR(VALUE(LEFT(M182,FIND("-",M182)-1)),M182)*100-(2500+2000000000)/2)&lt;=ABS(2500-2000000000)/2),"Цена со скидкой должна быть от 25 до 20000000",IF(AND(IFERROR(VALUE(LEFT(M182,FIND("-",M182)-1)),M182)*150&lt;=195535,IFERROR(VALUE(LEFT(M182,FIND("-",M182)-1)),M182)*200&gt;195535),"Вы уменьшили цену в несколько раз, товар попадет в карантин цен",IF(IFERROR(VALUE(LEFT(M182,FIND("-",M182)-1)),M182)*200&lt;=195535,"Не сохранили изменения, чтобы защитить от ошибки — новые цены меньше текущих более чем в 2 раза. Снижайте их постепенно",IF(AND(IFERROR(VALUE(I182),0)=0,ISNUMBER(J182),OR(J182&lt;291,ABS(IFERROR(VALUE(LEFT(M182,FIND("-",M182)-1)),M182))*100&lt;29100)),"Проверьте цену товара. Большинство товаров в выбранной категории стоят дороже 291","")))))),"")</f>
      </c>
    </row>
    <row r="183">
      <c r="A183" s="2" t="inlineStr">
        <is>
          <t/>
        </is>
      </c>
      <c r="B183" s="2" t="inlineStr">
        <is>
          <t>Электрические мельницы</t>
        </is>
      </c>
      <c r="C183" s="2">
        <v>603587820</v>
      </c>
      <c r="D183" s="2" t="inlineStr">
        <is>
          <t>192649</t>
        </is>
      </c>
      <c r="E183" s="2" t="inlineStr">
        <is>
          <t>2047146681388</t>
        </is>
      </c>
      <c r="F183" s="2">
        <v>0</v>
      </c>
      <c r="G183" s="2">
        <v>13</v>
      </c>
      <c r="H183" s="2" t="inlineStr">
        <is>
          <t/>
        </is>
      </c>
      <c r="I183" s="2" t="inlineStr">
        <is>
          <t>9546</t>
        </is>
      </c>
      <c r="J183" s="4"/>
      <c r="K183" s="2">
        <v>76</v>
      </c>
      <c r="L183" s="6"/>
      <c r="M183" s="2" t="str">
        <f>IF(J183="",ROUND(I183*(1-IF(ISBLANK(L183),K183,L183)/100),2),ROUND(J183*(1-IF(ISBLANK(L183),K183,L183)/100),2))</f>
      </c>
      <c r="N183" s="7" t="str">
        <f>IF(NOT(AND(J183="",L183="")),IF(OR(AND(L183&lt;&gt;"",NOT(ISNUMBER(L183))),IFERROR(MOD(L183,1),1)&gt;0,AND(ISNUMBER(L183),OR(L183&lt;0,L183&gt;95))),"Введите целое число от 0 до 95",IF(OR(AND(J183&lt;&gt;"",NOT(ISNUMBER(J183))),IFERROR(MOD(J183,1),1)&gt;0,AND(ISNUMBER(J183),OR(J183&lt;50,J183&gt;20000000))),"Введите целое число от 50 до 20000000",IF(NOT(ABS(IFERROR(VALUE(LEFT(M183,FIND("-",M183)-1)),M183)*100-(2500+2000000000)/2)&lt;=ABS(2500-2000000000)/2),"Цена со скидкой должна быть от 25 до 20000000",IF(AND(IFERROR(VALUE(LEFT(M183,FIND("-",M183)-1)),M183)*150&lt;=229104,IFERROR(VALUE(LEFT(M183,FIND("-",M183)-1)),M183)*200&gt;229104),"Вы уменьшили цену в несколько раз, товар попадет в карантин цен",IF(IFERROR(VALUE(LEFT(M183,FIND("-",M183)-1)),M183)*200&lt;=229104,"Не сохранили изменения, чтобы защитить от ошибки — новые цены меньше текущих более чем в 2 раза. Снижайте их постепенно",IF(AND(IFERROR(VALUE(I183),0)=0,ISNUMBER(J183),OR(J183&lt;558,ABS(IFERROR(VALUE(LEFT(M183,FIND("-",M183)-1)),M183))*100&lt;55800)),"Проверьте цену товара. Большинство товаров в выбранной категории стоят дороже 558","")))))),"")</f>
      </c>
    </row>
    <row r="184">
      <c r="A184" s="2" t="inlineStr">
        <is>
          <t/>
        </is>
      </c>
      <c r="B184" s="2" t="inlineStr">
        <is>
          <t>Миксеры</t>
        </is>
      </c>
      <c r="C184" s="2">
        <v>603734273</v>
      </c>
      <c r="D184" s="2" t="inlineStr">
        <is>
          <t>192642</t>
        </is>
      </c>
      <c r="E184" s="2" t="inlineStr">
        <is>
          <t>2047147962400</t>
        </is>
      </c>
      <c r="F184" s="2">
        <v>0</v>
      </c>
      <c r="G184" s="2">
        <v>0</v>
      </c>
      <c r="H184" s="2" t="inlineStr">
        <is>
          <t/>
        </is>
      </c>
      <c r="I184" s="2" t="inlineStr">
        <is>
          <t>10761</t>
        </is>
      </c>
      <c r="J184" s="4"/>
      <c r="K184" s="2">
        <v>69</v>
      </c>
      <c r="L184" s="6"/>
      <c r="M184" s="2" t="str">
        <f>IF(J184="",ROUND(I184*(1-IF(ISBLANK(L184),K184,L184)/100),2),ROUND(J184*(1-IF(ISBLANK(L184),K184,L184)/100),2))</f>
      </c>
      <c r="N184" s="7" t="str">
        <f>IF(NOT(AND(J184="",L184="")),IF(OR(AND(L184&lt;&gt;"",NOT(ISNUMBER(L184))),IFERROR(MOD(L184,1),1)&gt;0,AND(ISNUMBER(L184),OR(L184&lt;0,L184&gt;95))),"Введите целое число от 0 до 95",IF(OR(AND(J184&lt;&gt;"",NOT(ISNUMBER(J184))),IFERROR(MOD(J184,1),1)&gt;0,AND(ISNUMBER(J184),OR(J184&lt;50,J184&gt;20000000))),"Введите целое число от 50 до 20000000",IF(NOT(ABS(IFERROR(VALUE(LEFT(M184,FIND("-",M184)-1)),M184)*100-(2500+2000000000)/2)&lt;=ABS(2500-2000000000)/2),"Цена со скидкой должна быть от 25 до 20000000",IF(AND(IFERROR(VALUE(LEFT(M184,FIND("-",M184)-1)),M184)*150&lt;=333591,IFERROR(VALUE(LEFT(M184,FIND("-",M184)-1)),M184)*200&gt;333591),"Вы уменьшили цену в несколько раз, товар попадет в карантин цен",IF(IFERROR(VALUE(LEFT(M184,FIND("-",M184)-1)),M184)*200&lt;=333591,"Не сохранили изменения, чтобы защитить от ошибки — новые цены меньше текущих более чем в 2 раза. Снижайте их постепенно",IF(AND(IFERROR(VALUE(I184),0)=0,ISNUMBER(J184),OR(J184&lt;289,ABS(IFERROR(VALUE(LEFT(M184,FIND("-",M184)-1)),M184))*100&lt;28900)),"Проверьте цену товара. Большинство товаров в выбранной категории стоят дороже 289","")))))),"")</f>
      </c>
    </row>
    <row r="185">
      <c r="A185" s="2" t="inlineStr">
        <is>
          <t/>
        </is>
      </c>
      <c r="B185" s="2" t="inlineStr">
        <is>
          <t>Скатерти</t>
        </is>
      </c>
      <c r="C185" s="2">
        <v>619525815</v>
      </c>
      <c r="D185" s="2" t="inlineStr">
        <is>
          <t>434604</t>
        </is>
      </c>
      <c r="E185" s="2" t="inlineStr">
        <is>
          <t>2047325447101</t>
        </is>
      </c>
      <c r="F185" s="2">
        <v>0</v>
      </c>
      <c r="G185" s="2">
        <v>0</v>
      </c>
      <c r="H185" s="2" t="inlineStr">
        <is>
          <t/>
        </is>
      </c>
      <c r="I185" s="2" t="inlineStr">
        <is>
          <t>4520</t>
        </is>
      </c>
      <c r="J185" s="4"/>
      <c r="K185" s="2">
        <v>78</v>
      </c>
      <c r="L185" s="6"/>
      <c r="M185" s="2" t="str">
        <f>IF(J185="",ROUND(I185*(1-IF(ISBLANK(L185),K185,L185)/100),2),ROUND(J185*(1-IF(ISBLANK(L185),K185,L185)/100),2))</f>
      </c>
      <c r="N185" s="7" t="str">
        <f>IF(NOT(AND(J185="",L185="")),IF(OR(AND(L185&lt;&gt;"",NOT(ISNUMBER(L185))),IFERROR(MOD(L185,1),1)&gt;0,AND(ISNUMBER(L185),OR(L185&lt;0,L185&gt;95))),"Введите целое число от 0 до 95",IF(OR(AND(J185&lt;&gt;"",NOT(ISNUMBER(J185))),IFERROR(MOD(J185,1),1)&gt;0,AND(ISNUMBER(J185),OR(J185&lt;50,J185&gt;20000000))),"Введите целое число от 50 до 20000000",IF(NOT(ABS(IFERROR(VALUE(LEFT(M185,FIND("-",M185)-1)),M185)*100-(2500+2000000000)/2)&lt;=ABS(2500-2000000000)/2),"Цена со скидкой должна быть от 25 до 20000000",IF(AND(IFERROR(VALUE(LEFT(M185,FIND("-",M185)-1)),M185)*150&lt;=99439,IFERROR(VALUE(LEFT(M185,FIND("-",M185)-1)),M185)*200&gt;99439),"Вы уменьшили цену в несколько раз, товар попадет в карантин цен",IF(IFERROR(VALUE(LEFT(M185,FIND("-",M185)-1)),M185)*200&lt;=99439,"Не сохранили изменения, чтобы защитить от ошибки — новые цены меньше текущих более чем в 2 раза. Снижайте их постепенно",IF(AND(IFERROR(VALUE(I185),0)=0,ISNUMBER(J185),OR(J185&lt;385,ABS(IFERROR(VALUE(LEFT(M185,FIND("-",M185)-1)),M185))*100&lt;38500)),"Проверьте цену товара. Большинство товаров в выбранной категории стоят дороже 385","")))))),"")</f>
      </c>
    </row>
    <row r="186">
      <c r="A186" s="2" t="inlineStr">
        <is>
          <t/>
        </is>
      </c>
      <c r="B186" s="2" t="inlineStr">
        <is>
          <t>Скатерти</t>
        </is>
      </c>
      <c r="C186" s="2">
        <v>619525831</v>
      </c>
      <c r="D186" s="2" t="inlineStr">
        <is>
          <t>433378</t>
        </is>
      </c>
      <c r="E186" s="2" t="inlineStr">
        <is>
          <t>2047325447538</t>
        </is>
      </c>
      <c r="F186" s="2">
        <v>0</v>
      </c>
      <c r="G186" s="2">
        <v>0</v>
      </c>
      <c r="H186" s="2" t="inlineStr">
        <is>
          <t/>
        </is>
      </c>
      <c r="I186" s="2" t="inlineStr">
        <is>
          <t>7770</t>
        </is>
      </c>
      <c r="J186" s="4"/>
      <c r="K186" s="2">
        <v>65</v>
      </c>
      <c r="L186" s="6"/>
      <c r="M186" s="2" t="str">
        <f>IF(J186="",ROUND(I186*(1-IF(ISBLANK(L186),K186,L186)/100),2),ROUND(J186*(1-IF(ISBLANK(L186),K186,L186)/100),2))</f>
      </c>
      <c r="N186" s="7" t="str">
        <f>IF(NOT(AND(J186="",L186="")),IF(OR(AND(L186&lt;&gt;"",NOT(ISNUMBER(L186))),IFERROR(MOD(L186,1),1)&gt;0,AND(ISNUMBER(L186),OR(L186&lt;0,L186&gt;95))),"Введите целое число от 0 до 95",IF(OR(AND(J186&lt;&gt;"",NOT(ISNUMBER(J186))),IFERROR(MOD(J186,1),1)&gt;0,AND(ISNUMBER(J186),OR(J186&lt;50,J186&gt;20000000))),"Введите целое число от 50 до 20000000",IF(NOT(ABS(IFERROR(VALUE(LEFT(M186,FIND("-",M186)-1)),M186)*100-(2500+2000000000)/2)&lt;=ABS(2500-2000000000)/2),"Цена со скидкой должна быть от 25 до 20000000",IF(AND(IFERROR(VALUE(LEFT(M186,FIND("-",M186)-1)),M186)*150&lt;=271950,IFERROR(VALUE(LEFT(M186,FIND("-",M186)-1)),M186)*200&gt;271950),"Вы уменьшили цену в несколько раз, товар попадет в карантин цен",IF(IFERROR(VALUE(LEFT(M186,FIND("-",M186)-1)),M186)*200&lt;=271950,"Не сохранили изменения, чтобы защитить от ошибки — новые цены меньше текущих более чем в 2 раза. Снижайте их постепенно",IF(AND(IFERROR(VALUE(I186),0)=0,ISNUMBER(J186),OR(J186&lt;385,ABS(IFERROR(VALUE(LEFT(M186,FIND("-",M186)-1)),M186))*100&lt;38500)),"Проверьте цену товара. Большинство товаров в выбранной категории стоят дороже 385","")))))),"")</f>
      </c>
    </row>
    <row r="187">
      <c r="A187" s="2" t="inlineStr">
        <is>
          <t/>
        </is>
      </c>
      <c r="B187" s="2" t="inlineStr">
        <is>
          <t>Электрические мельницы</t>
        </is>
      </c>
      <c r="C187" s="2">
        <v>603587822</v>
      </c>
      <c r="D187" s="2" t="inlineStr">
        <is>
          <t>191636</t>
        </is>
      </c>
      <c r="E187" s="2" t="inlineStr">
        <is>
          <t>2047146681418</t>
        </is>
      </c>
      <c r="F187" s="2">
        <v>0</v>
      </c>
      <c r="G187" s="2">
        <v>0</v>
      </c>
      <c r="H187" s="2" t="inlineStr">
        <is>
          <t/>
        </is>
      </c>
      <c r="I187" s="2" t="inlineStr">
        <is>
          <t>5657</t>
        </is>
      </c>
      <c r="J187" s="4"/>
      <c r="K187" s="2">
        <v>65</v>
      </c>
      <c r="L187" s="6"/>
      <c r="M187" s="2" t="str">
        <f>IF(J187="",ROUND(I187*(1-IF(ISBLANK(L187),K187,L187)/100),2),ROUND(J187*(1-IF(ISBLANK(L187),K187,L187)/100),2))</f>
      </c>
      <c r="N187" s="7" t="str">
        <f>IF(NOT(AND(J187="",L187="")),IF(OR(AND(L187&lt;&gt;"",NOT(ISNUMBER(L187))),IFERROR(MOD(L187,1),1)&gt;0,AND(ISNUMBER(L187),OR(L187&lt;0,L187&gt;95))),"Введите целое число от 0 до 95",IF(OR(AND(J187&lt;&gt;"",NOT(ISNUMBER(J187))),IFERROR(MOD(J187,1),1)&gt;0,AND(ISNUMBER(J187),OR(J187&lt;50,J187&gt;20000000))),"Введите целое число от 50 до 20000000",IF(NOT(ABS(IFERROR(VALUE(LEFT(M187,FIND("-",M187)-1)),M187)*100-(2500+2000000000)/2)&lt;=ABS(2500-2000000000)/2),"Цена со скидкой должна быть от 25 до 20000000",IF(AND(IFERROR(VALUE(LEFT(M187,FIND("-",M187)-1)),M187)*150&lt;=197994,IFERROR(VALUE(LEFT(M187,FIND("-",M187)-1)),M187)*200&gt;197994),"Вы уменьшили цену в несколько раз, товар попадет в карантин цен",IF(IFERROR(VALUE(LEFT(M187,FIND("-",M187)-1)),M187)*200&lt;=197994,"Не сохранили изменения, чтобы защитить от ошибки — новые цены меньше текущих более чем в 2 раза. Снижайте их постепенно",IF(AND(IFERROR(VALUE(I187),0)=0,ISNUMBER(J187),OR(J187&lt;558,ABS(IFERROR(VALUE(LEFT(M187,FIND("-",M187)-1)),M187))*100&lt;55800)),"Проверьте цену товара. Большинство товаров в выбранной категории стоят дороже 558","")))))),"")</f>
      </c>
    </row>
    <row r="188">
      <c r="A188" s="2" t="inlineStr">
        <is>
          <t/>
        </is>
      </c>
      <c r="B188" s="2" t="inlineStr">
        <is>
          <t>Электрические мельницы</t>
        </is>
      </c>
      <c r="C188" s="2">
        <v>603587821</v>
      </c>
      <c r="D188" s="2" t="inlineStr">
        <is>
          <t>192536</t>
        </is>
      </c>
      <c r="E188" s="2" t="inlineStr">
        <is>
          <t>2047146681395</t>
        </is>
      </c>
      <c r="F188" s="2">
        <v>0</v>
      </c>
      <c r="G188" s="2">
        <v>0</v>
      </c>
      <c r="H188" s="2" t="inlineStr">
        <is>
          <t/>
        </is>
      </c>
      <c r="I188" s="2" t="inlineStr">
        <is>
          <t>4295</t>
        </is>
      </c>
      <c r="J188" s="4"/>
      <c r="K188" s="2">
        <v>65</v>
      </c>
      <c r="L188" s="6"/>
      <c r="M188" s="2" t="str">
        <f>IF(J188="",ROUND(I188*(1-IF(ISBLANK(L188),K188,L188)/100),2),ROUND(J188*(1-IF(ISBLANK(L188),K188,L188)/100),2))</f>
      </c>
      <c r="N188" s="7" t="str">
        <f>IF(NOT(AND(J188="",L188="")),IF(OR(AND(L188&lt;&gt;"",NOT(ISNUMBER(L188))),IFERROR(MOD(L188,1),1)&gt;0,AND(ISNUMBER(L188),OR(L188&lt;0,L188&gt;95))),"Введите целое число от 0 до 95",IF(OR(AND(J188&lt;&gt;"",NOT(ISNUMBER(J188))),IFERROR(MOD(J188,1),1)&gt;0,AND(ISNUMBER(J188),OR(J188&lt;50,J188&gt;20000000))),"Введите целое число от 50 до 20000000",IF(NOT(ABS(IFERROR(VALUE(LEFT(M188,FIND("-",M188)-1)),M188)*100-(2500+2000000000)/2)&lt;=ABS(2500-2000000000)/2),"Цена со скидкой должна быть от 25 до 20000000",IF(AND(IFERROR(VALUE(LEFT(M188,FIND("-",M188)-1)),M188)*150&lt;=150325,IFERROR(VALUE(LEFT(M188,FIND("-",M188)-1)),M188)*200&gt;150325),"Вы уменьшили цену в несколько раз, товар попадет в карантин цен",IF(IFERROR(VALUE(LEFT(M188,FIND("-",M188)-1)),M188)*200&lt;=150325,"Не сохранили изменения, чтобы защитить от ошибки — новые цены меньше текущих более чем в 2 раза. Снижайте их постепенно",IF(AND(IFERROR(VALUE(I188),0)=0,ISNUMBER(J188),OR(J188&lt;558,ABS(IFERROR(VALUE(LEFT(M188,FIND("-",M188)-1)),M188))*100&lt;55800)),"Проверьте цену товара. Большинство товаров в выбранной категории стоят дороже 558","")))))),"")</f>
      </c>
    </row>
    <row r="189">
      <c r="A189" s="2" t="inlineStr">
        <is>
          <t/>
        </is>
      </c>
      <c r="B189" s="2" t="inlineStr">
        <is>
          <t>Скатерти</t>
        </is>
      </c>
      <c r="C189" s="2">
        <v>619525819</v>
      </c>
      <c r="D189" s="2" t="inlineStr">
        <is>
          <t>434611</t>
        </is>
      </c>
      <c r="E189" s="2" t="inlineStr">
        <is>
          <t>2047325447248</t>
        </is>
      </c>
      <c r="F189" s="2">
        <v>0</v>
      </c>
      <c r="G189" s="2">
        <v>0</v>
      </c>
      <c r="H189" s="2" t="inlineStr">
        <is>
          <t/>
        </is>
      </c>
      <c r="I189" s="2" t="inlineStr">
        <is>
          <t>4520</t>
        </is>
      </c>
      <c r="J189" s="4"/>
      <c r="K189" s="2">
        <v>78</v>
      </c>
      <c r="L189" s="6"/>
      <c r="M189" s="2" t="str">
        <f>IF(J189="",ROUND(I189*(1-IF(ISBLANK(L189),K189,L189)/100),2),ROUND(J189*(1-IF(ISBLANK(L189),K189,L189)/100),2))</f>
      </c>
      <c r="N189" s="7" t="str">
        <f>IF(NOT(AND(J189="",L189="")),IF(OR(AND(L189&lt;&gt;"",NOT(ISNUMBER(L189))),IFERROR(MOD(L189,1),1)&gt;0,AND(ISNUMBER(L189),OR(L189&lt;0,L189&gt;95))),"Введите целое число от 0 до 95",IF(OR(AND(J189&lt;&gt;"",NOT(ISNUMBER(J189))),IFERROR(MOD(J189,1),1)&gt;0,AND(ISNUMBER(J189),OR(J189&lt;50,J189&gt;20000000))),"Введите целое число от 50 до 20000000",IF(NOT(ABS(IFERROR(VALUE(LEFT(M189,FIND("-",M189)-1)),M189)*100-(2500+2000000000)/2)&lt;=ABS(2500-2000000000)/2),"Цена со скидкой должна быть от 25 до 20000000",IF(AND(IFERROR(VALUE(LEFT(M189,FIND("-",M189)-1)),M189)*150&lt;=99439,IFERROR(VALUE(LEFT(M189,FIND("-",M189)-1)),M189)*200&gt;99439),"Вы уменьшили цену в несколько раз, товар попадет в карантин цен",IF(IFERROR(VALUE(LEFT(M189,FIND("-",M189)-1)),M189)*200&lt;=99439,"Не сохранили изменения, чтобы защитить от ошибки — новые цены меньше текущих более чем в 2 раза. Снижайте их постепенно",IF(AND(IFERROR(VALUE(I189),0)=0,ISNUMBER(J189),OR(J189&lt;385,ABS(IFERROR(VALUE(LEFT(M189,FIND("-",M189)-1)),M189))*100&lt;38500)),"Проверьте цену товара. Большинство товаров в выбранной категории стоят дороже 385","")))))),"")</f>
      </c>
    </row>
    <row r="190">
      <c r="A190" s="2" t="inlineStr">
        <is>
          <t/>
        </is>
      </c>
      <c r="B190" s="2" t="inlineStr">
        <is>
          <t>Лотки для приборов</t>
        </is>
      </c>
      <c r="C190" s="2">
        <v>727227071</v>
      </c>
      <c r="D190" s="2" t="inlineStr">
        <is>
          <t>40802</t>
        </is>
      </c>
      <c r="E190" s="2" t="inlineStr">
        <is>
          <t>2048061048003</t>
        </is>
      </c>
      <c r="F190" s="2">
        <v>47</v>
      </c>
      <c r="G190" s="2">
        <v>22</v>
      </c>
      <c r="H190" s="2">
        <v>379</v>
      </c>
      <c r="I190" s="2" t="inlineStr">
        <is>
          <t>4260</t>
        </is>
      </c>
      <c r="J190" s="4"/>
      <c r="K190" s="2">
        <v>85</v>
      </c>
      <c r="L190" s="6"/>
      <c r="M190" s="2" t="str">
        <f>IF(J190="",ROUND(I190*(1-IF(ISBLANK(L190),K190,L190)/100),2),ROUND(J190*(1-IF(ISBLANK(L190),K190,L190)/100),2))</f>
      </c>
      <c r="N190" s="7" t="str">
        <f>IF(NOT(AND(J190="",L190="")),IF(OR(AND(L190&lt;&gt;"",NOT(ISNUMBER(L190))),IFERROR(MOD(L190,1),1)&gt;0,AND(ISNUMBER(L190),OR(L190&lt;0,L190&gt;95))),"Введите целое число от 0 до 95",IF(OR(AND(J190&lt;&gt;"",NOT(ISNUMBER(J190))),IFERROR(MOD(J190,1),1)&gt;0,AND(ISNUMBER(J190),OR(J190&lt;50,J190&gt;20000000))),"Введите целое число от 50 до 20000000",IF(NOT(ABS(IFERROR(VALUE(LEFT(M190,FIND("-",M190)-1)),M190)*100-(2500+2000000000)/2)&lt;=ABS(2500-2000000000)/2),"Цена со скидкой должна быть от 25 до 20000000",IF(AND(IFERROR(VALUE(LEFT(M190,FIND("-",M190)-1)),M190)*150&lt;=63900,IFERROR(VALUE(LEFT(M190,FIND("-",M190)-1)),M190)*200&gt;63900),"Вы уменьшили цену в несколько раз, товар попадет в карантин цен",IF(IFERROR(VALUE(LEFT(M190,FIND("-",M190)-1)),M190)*200&lt;=63900,"Не сохранили изменения, чтобы защитить от ошибки — новые цены меньше текущих более чем в 2 раза. Снижайте их постепенно",IF(AND(IFERROR(VALUE(I190),0)=0,ISNUMBER(J190),OR(J190&lt;242,ABS(IFERROR(VALUE(LEFT(M190,FIND("-",M190)-1)),M190))*100&lt;24200)),"Проверьте цену товара. Большинство товаров в выбранной категории стоят дороже 242","")))))),"")</f>
      </c>
    </row>
    <row r="191">
      <c r="A191" s="2" t="inlineStr">
        <is>
          <t/>
        </is>
      </c>
      <c r="B191" s="2" t="inlineStr">
        <is>
          <t>Скатерти</t>
        </is>
      </c>
      <c r="C191" s="2">
        <v>619525820</v>
      </c>
      <c r="D191" s="2" t="inlineStr">
        <is>
          <t>434612</t>
        </is>
      </c>
      <c r="E191" s="2" t="inlineStr">
        <is>
          <t>2047325447279</t>
        </is>
      </c>
      <c r="F191" s="2">
        <v>0</v>
      </c>
      <c r="G191" s="2">
        <v>0</v>
      </c>
      <c r="H191" s="2" t="inlineStr">
        <is>
          <t/>
        </is>
      </c>
      <c r="I191" s="2" t="inlineStr">
        <is>
          <t>4088</t>
        </is>
      </c>
      <c r="J191" s="4"/>
      <c r="K191" s="2">
        <v>78</v>
      </c>
      <c r="L191" s="6"/>
      <c r="M191" s="2" t="str">
        <f>IF(J191="",ROUND(I191*(1-IF(ISBLANK(L191),K191,L191)/100),2),ROUND(J191*(1-IF(ISBLANK(L191),K191,L191)/100),2))</f>
      </c>
      <c r="N191" s="7" t="str">
        <f>IF(NOT(AND(J191="",L191="")),IF(OR(AND(L191&lt;&gt;"",NOT(ISNUMBER(L191))),IFERROR(MOD(L191,1),1)&gt;0,AND(ISNUMBER(L191),OR(L191&lt;0,L191&gt;95))),"Введите целое число от 0 до 95",IF(OR(AND(J191&lt;&gt;"",NOT(ISNUMBER(J191))),IFERROR(MOD(J191,1),1)&gt;0,AND(ISNUMBER(J191),OR(J191&lt;50,J191&gt;20000000))),"Введите целое число от 50 до 20000000",IF(NOT(ABS(IFERROR(VALUE(LEFT(M191,FIND("-",M191)-1)),M191)*100-(2500+2000000000)/2)&lt;=ABS(2500-2000000000)/2),"Цена со скидкой должна быть от 25 до 20000000",IF(AND(IFERROR(VALUE(LEFT(M191,FIND("-",M191)-1)),M191)*150&lt;=89935,IFERROR(VALUE(LEFT(M191,FIND("-",M191)-1)),M191)*200&gt;89935),"Вы уменьшили цену в несколько раз, товар попадет в карантин цен",IF(IFERROR(VALUE(LEFT(M191,FIND("-",M191)-1)),M191)*200&lt;=89935,"Не сохранили изменения, чтобы защитить от ошибки — новые цены меньше текущих более чем в 2 раза. Снижайте их постепенно",IF(AND(IFERROR(VALUE(I191),0)=0,ISNUMBER(J191),OR(J191&lt;385,ABS(IFERROR(VALUE(LEFT(M191,FIND("-",M191)-1)),M191))*100&lt;38500)),"Проверьте цену товара. Большинство товаров в выбранной категории стоят дороже 385","")))))),"")</f>
      </c>
    </row>
    <row r="192">
      <c r="A192" s="2" t="inlineStr">
        <is>
          <t/>
        </is>
      </c>
      <c r="B192" s="2" t="inlineStr">
        <is>
          <t>Казаны</t>
        </is>
      </c>
      <c r="C192" s="2">
        <v>619235875</v>
      </c>
      <c r="D192" s="2" t="inlineStr">
        <is>
          <t>20523</t>
        </is>
      </c>
      <c r="E192" s="2" t="inlineStr">
        <is>
          <t>2047320539825</t>
        </is>
      </c>
      <c r="F192" s="2">
        <v>0</v>
      </c>
      <c r="G192" s="2">
        <v>0</v>
      </c>
      <c r="H192" s="2" t="inlineStr">
        <is>
          <t/>
        </is>
      </c>
      <c r="I192" s="2" t="inlineStr">
        <is>
          <t>42195</t>
        </is>
      </c>
      <c r="J192" s="4"/>
      <c r="K192" s="2">
        <v>65</v>
      </c>
      <c r="L192" s="6"/>
      <c r="M192" s="2" t="str">
        <f>IF(J192="",ROUND(I192*(1-IF(ISBLANK(L192),K192,L192)/100),2),ROUND(J192*(1-IF(ISBLANK(L192),K192,L192)/100),2))</f>
      </c>
      <c r="N192" s="7" t="str">
        <f>IF(NOT(AND(J192="",L192="")),IF(OR(AND(L192&lt;&gt;"",NOT(ISNUMBER(L192))),IFERROR(MOD(L192,1),1)&gt;0,AND(ISNUMBER(L192),OR(L192&lt;0,L192&gt;95))),"Введите целое число от 0 до 95",IF(OR(AND(J192&lt;&gt;"",NOT(ISNUMBER(J192))),IFERROR(MOD(J192,1),1)&gt;0,AND(ISNUMBER(J192),OR(J192&lt;50,J192&gt;20000000))),"Введите целое число от 50 до 20000000",IF(NOT(ABS(IFERROR(VALUE(LEFT(M192,FIND("-",M192)-1)),M192)*100-(2500+2000000000)/2)&lt;=ABS(2500-2000000000)/2),"Цена со скидкой должна быть от 25 до 20000000",IF(AND(IFERROR(VALUE(LEFT(M192,FIND("-",M192)-1)),M192)*150&lt;=1476824,IFERROR(VALUE(LEFT(M192,FIND("-",M192)-1)),M192)*200&gt;1476824),"Вы уменьшили цену в несколько раз, товар попадет в карантин цен",IF(IFERROR(VALUE(LEFT(M192,FIND("-",M192)-1)),M192)*200&lt;=1476824,"Не сохранили изменения, чтобы защитить от ошибки — новые цены меньше текущих более чем в 2 раза. Снижайте их постепенно",IF(AND(IFERROR(VALUE(I192),0)=0,ISNUMBER(J192),OR(J192&lt;443,ABS(IFERROR(VALUE(LEFT(M192,FIND("-",M192)-1)),M192))*100&lt;44300)),"Проверьте цену товара. Большинство товаров в выбранной категории стоят дороже 443","")))))),"")</f>
      </c>
    </row>
    <row r="193">
      <c r="A193" s="2" t="inlineStr">
        <is>
          <t>Veloria</t>
        </is>
      </c>
      <c r="B193" s="2" t="inlineStr">
        <is>
          <t>Рулонные шторы</t>
        </is>
      </c>
      <c r="C193" s="2">
        <v>306126595</v>
      </c>
      <c r="D193" s="2" t="inlineStr">
        <is>
          <t>420372</t>
        </is>
      </c>
      <c r="E193" s="2" t="inlineStr">
        <is>
          <t>4680093968409</t>
        </is>
      </c>
      <c r="F193" s="2">
        <v>1</v>
      </c>
      <c r="G193" s="2">
        <v>0</v>
      </c>
      <c r="H193" s="2">
        <v>999</v>
      </c>
      <c r="I193" s="2" t="inlineStr">
        <is>
          <t>4988</t>
        </is>
      </c>
      <c r="J193" s="4"/>
      <c r="K193" s="2">
        <v>81</v>
      </c>
      <c r="L193" s="6"/>
      <c r="M193" s="2" t="str">
        <f>IF(J193="",ROUND(I193*(1-IF(ISBLANK(L193),K193,L193)/100),2),ROUND(J193*(1-IF(ISBLANK(L193),K193,L193)/100),2))</f>
      </c>
      <c r="N193" s="7" t="str">
        <f>IF(NOT(AND(J193="",L193="")),IF(OR(AND(L193&lt;&gt;"",NOT(ISNUMBER(L193))),IFERROR(MOD(L193,1),1)&gt;0,AND(ISNUMBER(L193),OR(L193&lt;0,L193&gt;95))),"Введите целое число от 0 до 95",IF(OR(AND(J193&lt;&gt;"",NOT(ISNUMBER(J193))),IFERROR(MOD(J193,1),1)&gt;0,AND(ISNUMBER(J193),OR(J193&lt;50,J193&gt;20000000))),"Введите целое число от 50 до 20000000",IF(NOT(ABS(IFERROR(VALUE(LEFT(M193,FIND("-",M193)-1)),M193)*100-(2500+2000000000)/2)&lt;=ABS(2500-2000000000)/2),"Цена со скидкой должна быть от 25 до 20000000",IF(AND(IFERROR(VALUE(LEFT(M193,FIND("-",M193)-1)),M193)*150&lt;=94771,IFERROR(VALUE(LEFT(M193,FIND("-",M193)-1)),M193)*200&gt;94771),"Вы уменьшили цену в несколько раз, товар попадет в карантин цен",IF(IFERROR(VALUE(LEFT(M193,FIND("-",M193)-1)),M193)*200&lt;=94771,"Не сохранили изменения, чтобы защитить от ошибки — новые цены меньше текущих более чем в 2 раза. Снижайте их постепенно",IF(AND(IFERROR(VALUE(I193),0)=0,ISNUMBER(J193),OR(J193&lt;611,ABS(IFERROR(VALUE(LEFT(M193,FIND("-",M193)-1)),M193))*100&lt;61100)),"Проверьте цену товара. Большинство товаров в выбранной категории стоят дороже 611","")))))),"")</f>
      </c>
    </row>
    <row r="194">
      <c r="A194" s="2" t="inlineStr">
        <is>
          <t/>
        </is>
      </c>
      <c r="B194" s="2" t="inlineStr">
        <is>
          <t>Чайники электрические</t>
        </is>
      </c>
      <c r="C194" s="2">
        <v>603732363</v>
      </c>
      <c r="D194" s="2" t="inlineStr">
        <is>
          <t>192683</t>
        </is>
      </c>
      <c r="E194" s="2" t="inlineStr">
        <is>
          <t>2047147941559</t>
        </is>
      </c>
      <c r="F194" s="2">
        <v>0</v>
      </c>
      <c r="G194" s="2">
        <v>0</v>
      </c>
      <c r="H194" s="2" t="inlineStr">
        <is>
          <t/>
        </is>
      </c>
      <c r="I194" s="2" t="inlineStr">
        <is>
          <t>11083</t>
        </is>
      </c>
      <c r="J194" s="4"/>
      <c r="K194" s="2">
        <v>65</v>
      </c>
      <c r="L194" s="6"/>
      <c r="M194" s="2" t="str">
        <f>IF(J194="",ROUND(I194*(1-IF(ISBLANK(L194),K194,L194)/100),2),ROUND(J194*(1-IF(ISBLANK(L194),K194,L194)/100),2))</f>
      </c>
      <c r="N194" s="7" t="str">
        <f>IF(NOT(AND(J194="",L194="")),IF(OR(AND(L194&lt;&gt;"",NOT(ISNUMBER(L194))),IFERROR(MOD(L194,1),1)&gt;0,AND(ISNUMBER(L194),OR(L194&lt;0,L194&gt;95))),"Введите целое число от 0 до 95",IF(OR(AND(J194&lt;&gt;"",NOT(ISNUMBER(J194))),IFERROR(MOD(J194,1),1)&gt;0,AND(ISNUMBER(J194),OR(J194&lt;50,J194&gt;20000000))),"Введите целое число от 50 до 20000000",IF(NOT(ABS(IFERROR(VALUE(LEFT(M194,FIND("-",M194)-1)),M194)*100-(2500+2000000000)/2)&lt;=ABS(2500-2000000000)/2),"Цена со скидкой должна быть от 25 до 20000000",IF(AND(IFERROR(VALUE(LEFT(M194,FIND("-",M194)-1)),M194)*150&lt;=387905,IFERROR(VALUE(LEFT(M194,FIND("-",M194)-1)),M194)*200&gt;387905),"Вы уменьшили цену в несколько раз, товар попадет в карантин цен",IF(IFERROR(VALUE(LEFT(M194,FIND("-",M194)-1)),M194)*200&lt;=387905,"Не сохранили изменения, чтобы защитить от ошибки — новые цены меньше текущих более чем в 2 раза. Снижайте их постепенно",IF(AND(IFERROR(VALUE(I194),0)=0,ISNUMBER(J194),OR(J194&lt;496,ABS(IFERROR(VALUE(LEFT(M194,FIND("-",M194)-1)),M194))*100&lt;49600)),"Проверьте цену товара. Большинство товаров в выбранной категории стоят дороже 496","")))))),"")</f>
      </c>
    </row>
    <row r="195">
      <c r="A195" s="2" t="inlineStr">
        <is>
          <t>Veloria</t>
        </is>
      </c>
      <c r="B195" s="2" t="inlineStr">
        <is>
          <t>Рулонные шторы</t>
        </is>
      </c>
      <c r="C195" s="2">
        <v>423073386</v>
      </c>
      <c r="D195" s="2" t="inlineStr">
        <is>
          <t>420546</t>
        </is>
      </c>
      <c r="E195" s="2" t="inlineStr">
        <is>
          <t>2044120745869</t>
        </is>
      </c>
      <c r="F195" s="2">
        <v>0</v>
      </c>
      <c r="G195" s="2">
        <v>10</v>
      </c>
      <c r="H195" s="2" t="inlineStr">
        <is>
          <t/>
        </is>
      </c>
      <c r="I195" s="2" t="inlineStr">
        <is>
          <t>11016</t>
        </is>
      </c>
      <c r="J195" s="4"/>
      <c r="K195" s="2">
        <v>78</v>
      </c>
      <c r="L195" s="6"/>
      <c r="M195" s="2" t="str">
        <f>IF(J195="",ROUND(I195*(1-IF(ISBLANK(L195),K195,L195)/100),2),ROUND(J195*(1-IF(ISBLANK(L195),K195,L195)/100),2))</f>
      </c>
      <c r="N195" s="7" t="str">
        <f>IF(NOT(AND(J195="",L195="")),IF(OR(AND(L195&lt;&gt;"",NOT(ISNUMBER(L195))),IFERROR(MOD(L195,1),1)&gt;0,AND(ISNUMBER(L195),OR(L195&lt;0,L195&gt;95))),"Введите целое число от 0 до 95",IF(OR(AND(J195&lt;&gt;"",NOT(ISNUMBER(J195))),IFERROR(MOD(J195,1),1)&gt;0,AND(ISNUMBER(J195),OR(J195&lt;50,J195&gt;20000000))),"Введите целое число от 50 до 20000000",IF(NOT(ABS(IFERROR(VALUE(LEFT(M195,FIND("-",M195)-1)),M195)*100-(2500+2000000000)/2)&lt;=ABS(2500-2000000000)/2),"Цена со скидкой должна быть от 25 до 20000000",IF(AND(IFERROR(VALUE(LEFT(M195,FIND("-",M195)-1)),M195)*150&lt;=242351,IFERROR(VALUE(LEFT(M195,FIND("-",M195)-1)),M195)*200&gt;242351),"Вы уменьшили цену в несколько раз, товар попадет в карантин цен",IF(IFERROR(VALUE(LEFT(M195,FIND("-",M195)-1)),M195)*200&lt;=242351,"Не сохранили изменения, чтобы защитить от ошибки — новые цены меньше текущих более чем в 2 раза. Снижайте их постепенно",IF(AND(IFERROR(VALUE(I195),0)=0,ISNUMBER(J195),OR(J195&lt;611,ABS(IFERROR(VALUE(LEFT(M195,FIND("-",M195)-1)),M195))*100&lt;61100)),"Проверьте цену товара. Большинство товаров в выбранной категории стоят дороже 611","")))))),"")</f>
      </c>
    </row>
    <row r="196">
      <c r="A196" s="2" t="inlineStr">
        <is>
          <t>Veloria</t>
        </is>
      </c>
      <c r="B196" s="2" t="inlineStr">
        <is>
          <t>Щетки для стекол</t>
        </is>
      </c>
      <c r="C196" s="2">
        <v>243006665</v>
      </c>
      <c r="D196" s="2" t="inlineStr">
        <is>
          <t>401000</t>
        </is>
      </c>
      <c r="E196" s="2" t="inlineStr">
        <is>
          <t>2040614513488</t>
        </is>
      </c>
      <c r="F196" s="2">
        <v>0</v>
      </c>
      <c r="G196" s="2">
        <v>0</v>
      </c>
      <c r="H196" s="2">
        <v>1</v>
      </c>
      <c r="I196" s="2" t="inlineStr">
        <is>
          <t>1665</t>
        </is>
      </c>
      <c r="J196" s="4"/>
      <c r="K196" s="2">
        <v>65</v>
      </c>
      <c r="L196" s="6"/>
      <c r="M196" s="2" t="str">
        <f>IF(J196="",ROUND(I196*(1-IF(ISBLANK(L196),K196,L196)/100),2),ROUND(J196*(1-IF(ISBLANK(L196),K196,L196)/100),2))</f>
      </c>
      <c r="N196" s="7" t="str">
        <f>IF(NOT(AND(J196="",L196="")),IF(OR(AND(L196&lt;&gt;"",NOT(ISNUMBER(L196))),IFERROR(MOD(L196,1),1)&gt;0,AND(ISNUMBER(L196),OR(L196&lt;0,L196&gt;95))),"Введите целое число от 0 до 95",IF(OR(AND(J196&lt;&gt;"",NOT(ISNUMBER(J196))),IFERROR(MOD(J196,1),1)&gt;0,AND(ISNUMBER(J196),OR(J196&lt;50,J196&gt;20000000))),"Введите целое число от 50 до 20000000",IF(NOT(ABS(IFERROR(VALUE(LEFT(M196,FIND("-",M196)-1)),M196)*100-(2500+2000000000)/2)&lt;=ABS(2500-2000000000)/2),"Цена со скидкой должна быть от 25 до 20000000",IF(AND(IFERROR(VALUE(LEFT(M196,FIND("-",M196)-1)),M196)*150&lt;=58275,IFERROR(VALUE(LEFT(M196,FIND("-",M196)-1)),M196)*200&gt;58275),"Вы уменьшили цену в несколько раз, товар попадет в карантин цен",IF(IFERROR(VALUE(LEFT(M196,FIND("-",M196)-1)),M196)*200&lt;=58275,"Не сохранили изменения, чтобы защитить от ошибки — новые цены меньше текущих более чем в 2 раза. Снижайте их постепенно",IF(AND(IFERROR(VALUE(I196),0)=0,ISNUMBER(J196),OR(J196&lt;284,ABS(IFERROR(VALUE(LEFT(M196,FIND("-",M196)-1)),M196))*100&lt;28400)),"Проверьте цену товара. Большинство товаров в выбранной категории стоят дороже 284","")))))),"")</f>
      </c>
    </row>
    <row r="197">
      <c r="A197" s="2" t="inlineStr">
        <is>
          <t>Veloria</t>
        </is>
      </c>
      <c r="B197" s="2" t="inlineStr">
        <is>
          <t>Щетки для стекол</t>
        </is>
      </c>
      <c r="C197" s="2">
        <v>267921778</v>
      </c>
      <c r="D197" s="2" t="inlineStr">
        <is>
          <t>401210</t>
        </is>
      </c>
      <c r="E197" s="2" t="inlineStr">
        <is>
          <t>2003333017514</t>
        </is>
      </c>
      <c r="F197" s="2">
        <v>58</v>
      </c>
      <c r="G197" s="2">
        <v>0</v>
      </c>
      <c r="H197" s="2">
        <v>593</v>
      </c>
      <c r="I197" s="2" t="inlineStr">
        <is>
          <t>2048</t>
        </is>
      </c>
      <c r="J197" s="4"/>
      <c r="K197" s="2">
        <v>75</v>
      </c>
      <c r="L197" s="6"/>
      <c r="M197" s="2" t="str">
        <f>IF(J197="",ROUND(I197*(1-IF(ISBLANK(L197),K197,L197)/100),2),ROUND(J197*(1-IF(ISBLANK(L197),K197,L197)/100),2))</f>
      </c>
      <c r="N197" s="7" t="str">
        <f>IF(NOT(AND(J197="",L197="")),IF(OR(AND(L197&lt;&gt;"",NOT(ISNUMBER(L197))),IFERROR(MOD(L197,1),1)&gt;0,AND(ISNUMBER(L197),OR(L197&lt;0,L197&gt;95))),"Введите целое число от 0 до 95",IF(OR(AND(J197&lt;&gt;"",NOT(ISNUMBER(J197))),IFERROR(MOD(J197,1),1)&gt;0,AND(ISNUMBER(J197),OR(J197&lt;50,J197&gt;20000000))),"Введите целое число от 50 до 20000000",IF(NOT(ABS(IFERROR(VALUE(LEFT(M197,FIND("-",M197)-1)),M197)*100-(2500+2000000000)/2)&lt;=ABS(2500-2000000000)/2),"Цена со скидкой должна быть от 25 до 20000000",IF(AND(IFERROR(VALUE(LEFT(M197,FIND("-",M197)-1)),M197)*150&lt;=51200,IFERROR(VALUE(LEFT(M197,FIND("-",M197)-1)),M197)*200&gt;51200),"Вы уменьшили цену в несколько раз, товар попадет в карантин цен",IF(IFERROR(VALUE(LEFT(M197,FIND("-",M197)-1)),M197)*200&lt;=51200,"Не сохранили изменения, чтобы защитить от ошибки — новые цены меньше текущих более чем в 2 раза. Снижайте их постепенно",IF(AND(IFERROR(VALUE(I197),0)=0,ISNUMBER(J197),OR(J197&lt;284,ABS(IFERROR(VALUE(LEFT(M197,FIND("-",M197)-1)),M197))*100&lt;28400)),"Проверьте цену товара. Большинство товаров в выбранной категории стоят дороже 284","")))))),"")</f>
      </c>
    </row>
    <row r="198">
      <c r="A198" s="2" t="inlineStr">
        <is>
          <t/>
        </is>
      </c>
      <c r="B198" s="2" t="inlineStr">
        <is>
          <t>Разделочные доски</t>
        </is>
      </c>
      <c r="C198" s="2">
        <v>600652770</v>
      </c>
      <c r="D198" s="2" t="inlineStr">
        <is>
          <t>93922</t>
        </is>
      </c>
      <c r="E198" s="2" t="inlineStr">
        <is>
          <t>2047129194386</t>
        </is>
      </c>
      <c r="F198" s="2">
        <v>0</v>
      </c>
      <c r="G198" s="2">
        <v>0</v>
      </c>
      <c r="H198" s="2" t="inlineStr">
        <is>
          <t/>
        </is>
      </c>
      <c r="I198" s="2" t="inlineStr">
        <is>
          <t>12020</t>
        </is>
      </c>
      <c r="J198" s="4"/>
      <c r="K198" s="2">
        <v>76</v>
      </c>
      <c r="L198" s="6"/>
      <c r="M198" s="2" t="str">
        <f>IF(J198="",ROUND(I198*(1-IF(ISBLANK(L198),K198,L198)/100),2),ROUND(J198*(1-IF(ISBLANK(L198),K198,L198)/100),2))</f>
      </c>
      <c r="N198" s="7" t="str">
        <f>IF(NOT(AND(J198="",L198="")),IF(OR(AND(L198&lt;&gt;"",NOT(ISNUMBER(L198))),IFERROR(MOD(L198,1),1)&gt;0,AND(ISNUMBER(L198),OR(L198&lt;0,L198&gt;95))),"Введите целое число от 0 до 95",IF(OR(AND(J198&lt;&gt;"",NOT(ISNUMBER(J198))),IFERROR(MOD(J198,1),1)&gt;0,AND(ISNUMBER(J198),OR(J198&lt;50,J198&gt;20000000))),"Введите целое число от 50 до 20000000",IF(NOT(ABS(IFERROR(VALUE(LEFT(M198,FIND("-",M198)-1)),M198)*100-(2500+2000000000)/2)&lt;=ABS(2500-2000000000)/2),"Цена со скидкой должна быть от 25 до 20000000",IF(AND(IFERROR(VALUE(LEFT(M198,FIND("-",M198)-1)),M198)*150&lt;=288480,IFERROR(VALUE(LEFT(M198,FIND("-",M198)-1)),M198)*200&gt;288480),"Вы уменьшили цену в несколько раз, товар попадет в карантин цен",IF(IFERROR(VALUE(LEFT(M198,FIND("-",M198)-1)),M198)*200&lt;=288480,"Не сохранили изменения, чтобы защитить от ошибки — новые цены меньше текущих более чем в 2 раза. Снижайте их постепенно",IF(AND(IFERROR(VALUE(I198),0)=0,ISNUMBER(J198),OR(J198&lt;341,ABS(IFERROR(VALUE(LEFT(M198,FIND("-",M198)-1)),M198))*100&lt;34100)),"Проверьте цену товара. Большинство товаров в выбранной категории стоят дороже 341","")))))),"")</f>
      </c>
    </row>
    <row r="199">
      <c r="A199" s="2" t="inlineStr">
        <is>
          <t/>
        </is>
      </c>
      <c r="B199" s="2" t="inlineStr">
        <is>
          <t>Разделочные доски</t>
        </is>
      </c>
      <c r="C199" s="2">
        <v>600652783</v>
      </c>
      <c r="D199" s="2" t="inlineStr">
        <is>
          <t>81259</t>
        </is>
      </c>
      <c r="E199" s="2" t="inlineStr">
        <is>
          <t>2047129195130</t>
        </is>
      </c>
      <c r="F199" s="2">
        <v>0</v>
      </c>
      <c r="G199" s="2">
        <v>0</v>
      </c>
      <c r="H199" s="2" t="inlineStr">
        <is>
          <t/>
        </is>
      </c>
      <c r="I199" s="2" t="inlineStr">
        <is>
          <t>10691</t>
        </is>
      </c>
      <c r="J199" s="4"/>
      <c r="K199" s="2">
        <v>69</v>
      </c>
      <c r="L199" s="6"/>
      <c r="M199" s="2" t="str">
        <f>IF(J199="",ROUND(I199*(1-IF(ISBLANK(L199),K199,L199)/100),2),ROUND(J199*(1-IF(ISBLANK(L199),K199,L199)/100),2))</f>
      </c>
      <c r="N199" s="7" t="str">
        <f>IF(NOT(AND(J199="",L199="")),IF(OR(AND(L199&lt;&gt;"",NOT(ISNUMBER(L199))),IFERROR(MOD(L199,1),1)&gt;0,AND(ISNUMBER(L199),OR(L199&lt;0,L199&gt;95))),"Введите целое число от 0 до 95",IF(OR(AND(J199&lt;&gt;"",NOT(ISNUMBER(J199))),IFERROR(MOD(J199,1),1)&gt;0,AND(ISNUMBER(J199),OR(J199&lt;50,J199&gt;20000000))),"Введите целое число от 50 до 20000000",IF(NOT(ABS(IFERROR(VALUE(LEFT(M199,FIND("-",M199)-1)),M199)*100-(2500+2000000000)/2)&lt;=ABS(2500-2000000000)/2),"Цена со скидкой должна быть от 25 до 20000000",IF(AND(IFERROR(VALUE(LEFT(M199,FIND("-",M199)-1)),M199)*150&lt;=331421,IFERROR(VALUE(LEFT(M199,FIND("-",M199)-1)),M199)*200&gt;331421),"Вы уменьшили цену в несколько раз, товар попадет в карантин цен",IF(IFERROR(VALUE(LEFT(M199,FIND("-",M199)-1)),M199)*200&lt;=331421,"Не сохранили изменения, чтобы защитить от ошибки — новые цены меньше текущих более чем в 2 раза. Снижайте их постепенно",IF(AND(IFERROR(VALUE(I199),0)=0,ISNUMBER(J199),OR(J199&lt;341,ABS(IFERROR(VALUE(LEFT(M199,FIND("-",M199)-1)),M199))*100&lt;34100)),"Проверьте цену товара. Большинство товаров в выбранной категории стоят дороже 341","")))))),"")</f>
      </c>
    </row>
    <row r="200">
      <c r="A200" s="2" t="inlineStr">
        <is>
          <t>Veloria</t>
        </is>
      </c>
      <c r="B200" s="2" t="inlineStr">
        <is>
          <t>Рулонные шторы</t>
        </is>
      </c>
      <c r="C200" s="2">
        <v>420287925</v>
      </c>
      <c r="D200" s="2" t="inlineStr">
        <is>
          <t>420542</t>
        </is>
      </c>
      <c r="E200" s="2" t="inlineStr">
        <is>
          <t>2043988829858</t>
        </is>
      </c>
      <c r="F200" s="2">
        <v>0</v>
      </c>
      <c r="G200" s="2">
        <v>15</v>
      </c>
      <c r="H200" s="2" t="inlineStr">
        <is>
          <t/>
        </is>
      </c>
      <c r="I200" s="2" t="inlineStr">
        <is>
          <t>11016</t>
        </is>
      </c>
      <c r="J200" s="4"/>
      <c r="K200" s="2">
        <v>78</v>
      </c>
      <c r="L200" s="6"/>
      <c r="M200" s="2" t="str">
        <f>IF(J200="",ROUND(I200*(1-IF(ISBLANK(L200),K200,L200)/100),2),ROUND(J200*(1-IF(ISBLANK(L200),K200,L200)/100),2))</f>
      </c>
      <c r="N200" s="7" t="str">
        <f>IF(NOT(AND(J200="",L200="")),IF(OR(AND(L200&lt;&gt;"",NOT(ISNUMBER(L200))),IFERROR(MOD(L200,1),1)&gt;0,AND(ISNUMBER(L200),OR(L200&lt;0,L200&gt;95))),"Введите целое число от 0 до 95",IF(OR(AND(J200&lt;&gt;"",NOT(ISNUMBER(J200))),IFERROR(MOD(J200,1),1)&gt;0,AND(ISNUMBER(J200),OR(J200&lt;50,J200&gt;20000000))),"Введите целое число от 50 до 20000000",IF(NOT(ABS(IFERROR(VALUE(LEFT(M200,FIND("-",M200)-1)),M200)*100-(2500+2000000000)/2)&lt;=ABS(2500-2000000000)/2),"Цена со скидкой должна быть от 25 до 20000000",IF(AND(IFERROR(VALUE(LEFT(M200,FIND("-",M200)-1)),M200)*150&lt;=242351,IFERROR(VALUE(LEFT(M200,FIND("-",M200)-1)),M200)*200&gt;242351),"Вы уменьшили цену в несколько раз, товар попадет в карантин цен",IF(IFERROR(VALUE(LEFT(M200,FIND("-",M200)-1)),M200)*200&lt;=242351,"Не сохранили изменения, чтобы защитить от ошибки — новые цены меньше текущих более чем в 2 раза. Снижайте их постепенно",IF(AND(IFERROR(VALUE(I200),0)=0,ISNUMBER(J200),OR(J200&lt;611,ABS(IFERROR(VALUE(LEFT(M200,FIND("-",M200)-1)),M200))*100&lt;61100)),"Проверьте цену товара. Большинство товаров в выбранной категории стоят дороже 611","")))))),"")</f>
      </c>
    </row>
    <row r="201">
      <c r="A201" s="2" t="inlineStr">
        <is>
          <t/>
        </is>
      </c>
      <c r="B201" s="2" t="inlineStr">
        <is>
          <t>Термосы</t>
        </is>
      </c>
      <c r="C201" s="2">
        <v>600647788</v>
      </c>
      <c r="D201" s="2" t="inlineStr">
        <is>
          <t>82365</t>
        </is>
      </c>
      <c r="E201" s="2" t="inlineStr">
        <is>
          <t>2047129194836</t>
        </is>
      </c>
      <c r="F201" s="2">
        <v>0</v>
      </c>
      <c r="G201" s="2">
        <v>0</v>
      </c>
      <c r="H201" s="2">
        <v>19</v>
      </c>
      <c r="I201" s="2" t="inlineStr">
        <is>
          <t>38793</t>
        </is>
      </c>
      <c r="J201" s="4"/>
      <c r="K201" s="2">
        <v>83</v>
      </c>
      <c r="L201" s="6"/>
      <c r="M201" s="2" t="str">
        <f>IF(J201="",ROUND(I201*(1-IF(ISBLANK(L201),K201,L201)/100),2),ROUND(J201*(1-IF(ISBLANK(L201),K201,L201)/100),2))</f>
      </c>
      <c r="N201" s="7" t="str">
        <f>IF(NOT(AND(J201="",L201="")),IF(OR(AND(L201&lt;&gt;"",NOT(ISNUMBER(L201))),IFERROR(MOD(L201,1),1)&gt;0,AND(ISNUMBER(L201),OR(L201&lt;0,L201&gt;95))),"Введите целое число от 0 до 95",IF(OR(AND(J201&lt;&gt;"",NOT(ISNUMBER(J201))),IFERROR(MOD(J201,1),1)&gt;0,AND(ISNUMBER(J201),OR(J201&lt;50,J201&gt;20000000))),"Введите целое число от 50 до 20000000",IF(NOT(ABS(IFERROR(VALUE(LEFT(M201,FIND("-",M201)-1)),M201)*100-(2500+2000000000)/2)&lt;=ABS(2500-2000000000)/2),"Цена со скидкой должна быть от 25 до 20000000",IF(AND(IFERROR(VALUE(LEFT(M201,FIND("-",M201)-1)),M201)*150&lt;=659481,IFERROR(VALUE(LEFT(M201,FIND("-",M201)-1)),M201)*200&gt;659481),"Вы уменьшили цену в несколько раз, товар попадет в карантин цен",IF(IFERROR(VALUE(LEFT(M201,FIND("-",M201)-1)),M201)*200&lt;=659481,"Не сохранили изменения, чтобы защитить от ошибки — новые цены меньше текущих более чем в 2 раза. Снижайте их постепенно",IF(AND(IFERROR(VALUE(I201),0)=0,ISNUMBER(J201),OR(J201&lt;547,ABS(IFERROR(VALUE(LEFT(M201,FIND("-",M201)-1)),M201))*100&lt;54700)),"Проверьте цену товара. Большинство товаров в выбранной категории стоят дороже 547","")))))),"")</f>
      </c>
    </row>
    <row r="202">
      <c r="A202" s="2" t="inlineStr">
        <is>
          <t/>
        </is>
      </c>
      <c r="B202" s="2" t="inlineStr">
        <is>
          <t>Термосы</t>
        </is>
      </c>
      <c r="C202" s="2">
        <v>600647770</v>
      </c>
      <c r="D202" s="2" t="inlineStr">
        <is>
          <t>282741</t>
        </is>
      </c>
      <c r="E202" s="2" t="inlineStr">
        <is>
          <t>2047129194652</t>
        </is>
      </c>
      <c r="F202" s="2">
        <v>0</v>
      </c>
      <c r="G202" s="2">
        <v>9</v>
      </c>
      <c r="H202" s="2" t="inlineStr">
        <is>
          <t/>
        </is>
      </c>
      <c r="I202" s="2" t="inlineStr">
        <is>
          <t>7025</t>
        </is>
      </c>
      <c r="J202" s="4"/>
      <c r="K202" s="2">
        <v>75</v>
      </c>
      <c r="L202" s="6"/>
      <c r="M202" s="2" t="str">
        <f>IF(J202="",ROUND(I202*(1-IF(ISBLANK(L202),K202,L202)/100),2),ROUND(J202*(1-IF(ISBLANK(L202),K202,L202)/100),2))</f>
      </c>
      <c r="N202" s="7" t="str">
        <f>IF(NOT(AND(J202="",L202="")),IF(OR(AND(L202&lt;&gt;"",NOT(ISNUMBER(L202))),IFERROR(MOD(L202,1),1)&gt;0,AND(ISNUMBER(L202),OR(L202&lt;0,L202&gt;95))),"Введите целое число от 0 до 95",IF(OR(AND(J202&lt;&gt;"",NOT(ISNUMBER(J202))),IFERROR(MOD(J202,1),1)&gt;0,AND(ISNUMBER(J202),OR(J202&lt;50,J202&gt;20000000))),"Введите целое число от 50 до 20000000",IF(NOT(ABS(IFERROR(VALUE(LEFT(M202,FIND("-",M202)-1)),M202)*100-(2500+2000000000)/2)&lt;=ABS(2500-2000000000)/2),"Цена со скидкой должна быть от 25 до 20000000",IF(AND(IFERROR(VALUE(LEFT(M202,FIND("-",M202)-1)),M202)*150&lt;=175625,IFERROR(VALUE(LEFT(M202,FIND("-",M202)-1)),M202)*200&gt;175625),"Вы уменьшили цену в несколько раз, товар попадет в карантин цен",IF(IFERROR(VALUE(LEFT(M202,FIND("-",M202)-1)),M202)*200&lt;=175625,"Не сохранили изменения, чтобы защитить от ошибки — новые цены меньше текущих более чем в 2 раза. Снижайте их постепенно",IF(AND(IFERROR(VALUE(I202),0)=0,ISNUMBER(J202),OR(J202&lt;547,ABS(IFERROR(VALUE(LEFT(M202,FIND("-",M202)-1)),M202))*100&lt;54700)),"Проверьте цену товара. Большинство товаров в выбранной категории стоят дороже 547","")))))),"")</f>
      </c>
    </row>
    <row r="203">
      <c r="A203" s="2" t="inlineStr">
        <is>
          <t/>
        </is>
      </c>
      <c r="B203" s="2" t="inlineStr">
        <is>
          <t>Термосы</t>
        </is>
      </c>
      <c r="C203" s="2">
        <v>600647777</v>
      </c>
      <c r="D203" s="2" t="inlineStr">
        <is>
          <t>821554</t>
        </is>
      </c>
      <c r="E203" s="2" t="inlineStr">
        <is>
          <t>2047129194720</t>
        </is>
      </c>
      <c r="F203" s="2">
        <v>0</v>
      </c>
      <c r="G203" s="2">
        <v>7</v>
      </c>
      <c r="H203" s="2" t="inlineStr">
        <is>
          <t/>
        </is>
      </c>
      <c r="I203" s="2" t="inlineStr">
        <is>
          <t>9432</t>
        </is>
      </c>
      <c r="J203" s="4"/>
      <c r="K203" s="2">
        <v>78</v>
      </c>
      <c r="L203" s="6"/>
      <c r="M203" s="2" t="str">
        <f>IF(J203="",ROUND(I203*(1-IF(ISBLANK(L203),K203,L203)/100),2),ROUND(J203*(1-IF(ISBLANK(L203),K203,L203)/100),2))</f>
      </c>
      <c r="N203" s="7" t="str">
        <f>IF(NOT(AND(J203="",L203="")),IF(OR(AND(L203&lt;&gt;"",NOT(ISNUMBER(L203))),IFERROR(MOD(L203,1),1)&gt;0,AND(ISNUMBER(L203),OR(L203&lt;0,L203&gt;95))),"Введите целое число от 0 до 95",IF(OR(AND(J203&lt;&gt;"",NOT(ISNUMBER(J203))),IFERROR(MOD(J203,1),1)&gt;0,AND(ISNUMBER(J203),OR(J203&lt;50,J203&gt;20000000))),"Введите целое число от 50 до 20000000",IF(NOT(ABS(IFERROR(VALUE(LEFT(M203,FIND("-",M203)-1)),M203)*100-(2500+2000000000)/2)&lt;=ABS(2500-2000000000)/2),"Цена со скидкой должна быть от 25 до 20000000",IF(AND(IFERROR(VALUE(LEFT(M203,FIND("-",M203)-1)),M203)*150&lt;=207504,IFERROR(VALUE(LEFT(M203,FIND("-",M203)-1)),M203)*200&gt;207504),"Вы уменьшили цену в несколько раз, товар попадет в карантин цен",IF(IFERROR(VALUE(LEFT(M203,FIND("-",M203)-1)),M203)*200&lt;=207504,"Не сохранили изменения, чтобы защитить от ошибки — новые цены меньше текущих более чем в 2 раза. Снижайте их постепенно",IF(AND(IFERROR(VALUE(I203),0)=0,ISNUMBER(J203),OR(J203&lt;547,ABS(IFERROR(VALUE(LEFT(M203,FIND("-",M203)-1)),M203))*100&lt;54700)),"Проверьте цену товара. Большинство товаров в выбранной категории стоят дороже 547","")))))),"")</f>
      </c>
    </row>
    <row r="204">
      <c r="A204" s="2" t="inlineStr">
        <is>
          <t>Luxaro</t>
        </is>
      </c>
      <c r="B204" s="2" t="inlineStr">
        <is>
          <t>Точилки для ножей</t>
        </is>
      </c>
      <c r="C204" s="2">
        <v>248467752</v>
      </c>
      <c r="D204" s="2" t="inlineStr">
        <is>
          <t>871054</t>
        </is>
      </c>
      <c r="E204" s="2" t="inlineStr">
        <is>
          <t>4670294452593</t>
        </is>
      </c>
      <c r="F204" s="2">
        <v>19</v>
      </c>
      <c r="G204" s="2">
        <v>0</v>
      </c>
      <c r="H204" s="2">
        <v>999</v>
      </c>
      <c r="I204" s="2" t="inlineStr">
        <is>
          <t>990</t>
        </is>
      </c>
      <c r="J204" s="4"/>
      <c r="K204" s="2">
        <v>86</v>
      </c>
      <c r="L204" s="6"/>
      <c r="M204" s="2" t="str">
        <f>IF(J204="",ROUND(I204*(1-IF(ISBLANK(L204),K204,L204)/100),2),ROUND(J204*(1-IF(ISBLANK(L204),K204,L204)/100),2))</f>
      </c>
      <c r="N204" s="7" t="str">
        <f>IF(NOT(AND(J204="",L204="")),IF(OR(AND(L204&lt;&gt;"",NOT(ISNUMBER(L204))),IFERROR(MOD(L204,1),1)&gt;0,AND(ISNUMBER(L204),OR(L204&lt;0,L204&gt;95))),"Введите целое число от 0 до 95",IF(OR(AND(J204&lt;&gt;"",NOT(ISNUMBER(J204))),IFERROR(MOD(J204,1),1)&gt;0,AND(ISNUMBER(J204),OR(J204&lt;50,J204&gt;20000000))),"Введите целое число от 50 до 20000000",IF(NOT(ABS(IFERROR(VALUE(LEFT(M204,FIND("-",M204)-1)),M204)*100-(2500+2000000000)/2)&lt;=ABS(2500-2000000000)/2),"Цена со скидкой должна быть от 25 до 20000000",IF(AND(IFERROR(VALUE(LEFT(M204,FIND("-",M204)-1)),M204)*150&lt;=13860,IFERROR(VALUE(LEFT(M204,FIND("-",M204)-1)),M204)*200&gt;13860),"Вы уменьшили цену в несколько раз, товар попадет в карантин цен",IF(IFERROR(VALUE(LEFT(M204,FIND("-",M204)-1)),M204)*200&lt;=13860,"Не сохранили изменения, чтобы защитить от ошибки — новые цены меньше текущих более чем в 2 раза. Снижайте их постепенно",IF(AND(IFERROR(VALUE(I204),0)=0,ISNUMBER(J204),OR(J204&lt;268,ABS(IFERROR(VALUE(LEFT(M204,FIND("-",M204)-1)),M204))*100&lt;26800)),"Проверьте цену товара. Большинство товаров в выбранной категории стоят дороже 268","")))))),"")</f>
      </c>
    </row>
    <row r="205">
      <c r="A205" s="2" t="inlineStr">
        <is>
          <t/>
        </is>
      </c>
      <c r="B205" s="2" t="inlineStr">
        <is>
          <t>Ролики для одежды</t>
        </is>
      </c>
      <c r="C205" s="2">
        <v>335420741</v>
      </c>
      <c r="D205" s="2" t="inlineStr">
        <is>
          <t>513899</t>
        </is>
      </c>
      <c r="E205" s="2" t="inlineStr">
        <is>
          <t>4680638704035</t>
        </is>
      </c>
      <c r="F205" s="2">
        <v>31</v>
      </c>
      <c r="G205" s="2">
        <v>1</v>
      </c>
      <c r="H205" s="2">
        <v>959</v>
      </c>
      <c r="I205" s="2" t="inlineStr">
        <is>
          <t>2804</t>
        </is>
      </c>
      <c r="J205" s="4"/>
      <c r="K205" s="2">
        <v>81</v>
      </c>
      <c r="L205" s="6"/>
      <c r="M205" s="2" t="str">
        <f>IF(J205="",ROUND(I205*(1-IF(ISBLANK(L205),K205,L205)/100),2),ROUND(J205*(1-IF(ISBLANK(L205),K205,L205)/100),2))</f>
      </c>
      <c r="N205" s="7" t="str">
        <f>IF(NOT(AND(J205="",L205="")),IF(OR(AND(L205&lt;&gt;"",NOT(ISNUMBER(L205))),IFERROR(MOD(L205,1),1)&gt;0,AND(ISNUMBER(L205),OR(L205&lt;0,L205&gt;95))),"Введите целое число от 0 до 95",IF(OR(AND(J205&lt;&gt;"",NOT(ISNUMBER(J205))),IFERROR(MOD(J205,1),1)&gt;0,AND(ISNUMBER(J205),OR(J205&lt;50,J205&gt;20000000))),"Введите целое число от 50 до 20000000",IF(NOT(ABS(IFERROR(VALUE(LEFT(M205,FIND("-",M205)-1)),M205)*100-(2500+2000000000)/2)&lt;=ABS(2500-2000000000)/2),"Цена со скидкой должна быть от 25 до 20000000",IF(AND(IFERROR(VALUE(LEFT(M205,FIND("-",M205)-1)),M205)*150&lt;=53275,IFERROR(VALUE(LEFT(M205,FIND("-",M205)-1)),M205)*200&gt;53275),"Вы уменьшили цену в несколько раз, товар попадет в карантин цен",IF(IFERROR(VALUE(LEFT(M205,FIND("-",M205)-1)),M205)*200&lt;=53275,"Не сохранили изменения, чтобы защитить от ошибки — новые цены меньше текущих более чем в 2 раза. Снижайте их постепенно",IF(AND(IFERROR(VALUE(I205),0)=0,ISNUMBER(J205),OR(J205&lt;214,ABS(IFERROR(VALUE(LEFT(M205,FIND("-",M205)-1)),M205))*100&lt;21400)),"Проверьте цену товара. Большинство товаров в выбранной категории стоят дороже 214","")))))),"")</f>
      </c>
    </row>
    <row r="206">
      <c r="A206" s="2" t="inlineStr">
        <is>
          <t/>
        </is>
      </c>
      <c r="B206" s="2" t="inlineStr">
        <is>
          <t>Термосы</t>
        </is>
      </c>
      <c r="C206" s="2">
        <v>600647784</v>
      </c>
      <c r="D206" s="2" t="inlineStr">
        <is>
          <t>282794</t>
        </is>
      </c>
      <c r="E206" s="2" t="inlineStr">
        <is>
          <t>2047129194799</t>
        </is>
      </c>
      <c r="F206" s="2">
        <v>0</v>
      </c>
      <c r="G206" s="2">
        <v>0</v>
      </c>
      <c r="H206" s="2" t="inlineStr">
        <is>
          <t/>
        </is>
      </c>
      <c r="I206" s="2" t="inlineStr">
        <is>
          <t>7401</t>
        </is>
      </c>
      <c r="J206" s="4"/>
      <c r="K206" s="2">
        <v>78</v>
      </c>
      <c r="L206" s="6"/>
      <c r="M206" s="2" t="str">
        <f>IF(J206="",ROUND(I206*(1-IF(ISBLANK(L206),K206,L206)/100),2),ROUND(J206*(1-IF(ISBLANK(L206),K206,L206)/100),2))</f>
      </c>
      <c r="N206" s="7" t="str">
        <f>IF(NOT(AND(J206="",L206="")),IF(OR(AND(L206&lt;&gt;"",NOT(ISNUMBER(L206))),IFERROR(MOD(L206,1),1)&gt;0,AND(ISNUMBER(L206),OR(L206&lt;0,L206&gt;95))),"Введите целое число от 0 до 95",IF(OR(AND(J206&lt;&gt;"",NOT(ISNUMBER(J206))),IFERROR(MOD(J206,1),1)&gt;0,AND(ISNUMBER(J206),OR(J206&lt;50,J206&gt;20000000))),"Введите целое число от 50 до 20000000",IF(NOT(ABS(IFERROR(VALUE(LEFT(M206,FIND("-",M206)-1)),M206)*100-(2500+2000000000)/2)&lt;=ABS(2500-2000000000)/2),"Цена со скидкой должна быть от 25 до 20000000",IF(AND(IFERROR(VALUE(LEFT(M206,FIND("-",M206)-1)),M206)*150&lt;=162821,IFERROR(VALUE(LEFT(M206,FIND("-",M206)-1)),M206)*200&gt;162821),"Вы уменьшили цену в несколько раз, товар попадет в карантин цен",IF(IFERROR(VALUE(LEFT(M206,FIND("-",M206)-1)),M206)*200&lt;=162821,"Не сохранили изменения, чтобы защитить от ошибки — новые цены меньше текущих более чем в 2 раза. Снижайте их постепенно",IF(AND(IFERROR(VALUE(I206),0)=0,ISNUMBER(J206),OR(J206&lt;547,ABS(IFERROR(VALUE(LEFT(M206,FIND("-",M206)-1)),M206))*100&lt;54700)),"Проверьте цену товара. Большинство товаров в выбранной категории стоят дороже 547","")))))),"")</f>
      </c>
    </row>
    <row r="207">
      <c r="A207" s="2" t="inlineStr">
        <is>
          <t>Luxaro</t>
        </is>
      </c>
      <c r="B207" s="2" t="inlineStr">
        <is>
          <t>Графины</t>
        </is>
      </c>
      <c r="C207" s="2">
        <v>321838531</v>
      </c>
      <c r="D207" s="2" t="inlineStr">
        <is>
          <t>100453</t>
        </is>
      </c>
      <c r="E207" s="2" t="inlineStr">
        <is>
          <t>2042675093268</t>
        </is>
      </c>
      <c r="F207" s="2">
        <v>0</v>
      </c>
      <c r="G207" s="2">
        <v>0</v>
      </c>
      <c r="H207" s="2">
        <v>999</v>
      </c>
      <c r="I207" s="2" t="inlineStr">
        <is>
          <t>2021</t>
        </is>
      </c>
      <c r="J207" s="4"/>
      <c r="K207" s="2">
        <v>65</v>
      </c>
      <c r="L207" s="6"/>
      <c r="M207" s="2" t="str">
        <f>IF(J207="",ROUND(I207*(1-IF(ISBLANK(L207),K207,L207)/100),2),ROUND(J207*(1-IF(ISBLANK(L207),K207,L207)/100),2))</f>
      </c>
      <c r="N207" s="7" t="str">
        <f>IF(NOT(AND(J207="",L207="")),IF(OR(AND(L207&lt;&gt;"",NOT(ISNUMBER(L207))),IFERROR(MOD(L207,1),1)&gt;0,AND(ISNUMBER(L207),OR(L207&lt;0,L207&gt;95))),"Введите целое число от 0 до 95",IF(OR(AND(J207&lt;&gt;"",NOT(ISNUMBER(J207))),IFERROR(MOD(J207,1),1)&gt;0,AND(ISNUMBER(J207),OR(J207&lt;50,J207&gt;20000000))),"Введите целое число от 50 до 20000000",IF(NOT(ABS(IFERROR(VALUE(LEFT(M207,FIND("-",M207)-1)),M207)*100-(2500+2000000000)/2)&lt;=ABS(2500-2000000000)/2),"Цена со скидкой должна быть от 25 до 20000000",IF(AND(IFERROR(VALUE(LEFT(M207,FIND("-",M207)-1)),M207)*150&lt;=70734,IFERROR(VALUE(LEFT(M207,FIND("-",M207)-1)),M207)*200&gt;70734),"Вы уменьшили цену в несколько раз, товар попадет в карантин цен",IF(IFERROR(VALUE(LEFT(M207,FIND("-",M207)-1)),M207)*200&lt;=70734,"Не сохранили изменения, чтобы защитить от ошибки — новые цены меньше текущих более чем в 2 раза. Снижайте их постепенно",IF(AND(IFERROR(VALUE(I207),0)=0,ISNUMBER(J207),OR(J207&lt;458,ABS(IFERROR(VALUE(LEFT(M207,FIND("-",M207)-1)),M207))*100&lt;45800)),"Проверьте цену товара. Большинство товаров в выбранной категории стоят дороже 458","")))))),"")</f>
      </c>
    </row>
    <row r="208">
      <c r="A208" s="2" t="inlineStr">
        <is>
          <t/>
        </is>
      </c>
      <c r="B208" s="2" t="inlineStr">
        <is>
          <t>Ролики для одежды</t>
        </is>
      </c>
      <c r="C208" s="2">
        <v>335420742</v>
      </c>
      <c r="D208" s="2" t="inlineStr">
        <is>
          <t>401212</t>
        </is>
      </c>
      <c r="E208" s="2" t="inlineStr">
        <is>
          <t>4680638707685</t>
        </is>
      </c>
      <c r="F208" s="2">
        <v>3</v>
      </c>
      <c r="G208" s="2">
        <v>0</v>
      </c>
      <c r="H208" s="2">
        <v>999</v>
      </c>
      <c r="I208" s="2" t="inlineStr">
        <is>
          <t>2920</t>
        </is>
      </c>
      <c r="J208" s="4"/>
      <c r="K208" s="2">
        <v>78</v>
      </c>
      <c r="L208" s="6"/>
      <c r="M208" s="2" t="str">
        <f>IF(J208="",ROUND(I208*(1-IF(ISBLANK(L208),K208,L208)/100),2),ROUND(J208*(1-IF(ISBLANK(L208),K208,L208)/100),2))</f>
      </c>
      <c r="N208" s="7" t="str">
        <f>IF(NOT(AND(J208="",L208="")),IF(OR(AND(L208&lt;&gt;"",NOT(ISNUMBER(L208))),IFERROR(MOD(L208,1),1)&gt;0,AND(ISNUMBER(L208),OR(L208&lt;0,L208&gt;95))),"Введите целое число от 0 до 95",IF(OR(AND(J208&lt;&gt;"",NOT(ISNUMBER(J208))),IFERROR(MOD(J208,1),1)&gt;0,AND(ISNUMBER(J208),OR(J208&lt;50,J208&gt;20000000))),"Введите целое число от 50 до 20000000",IF(NOT(ABS(IFERROR(VALUE(LEFT(M208,FIND("-",M208)-1)),M208)*100-(2500+2000000000)/2)&lt;=ABS(2500-2000000000)/2),"Цена со скидкой должна быть от 25 до 20000000",IF(AND(IFERROR(VALUE(LEFT(M208,FIND("-",M208)-1)),M208)*150&lt;=64240,IFERROR(VALUE(LEFT(M208,FIND("-",M208)-1)),M208)*200&gt;64240),"Вы уменьшили цену в несколько раз, товар попадет в карантин цен",IF(IFERROR(VALUE(LEFT(M208,FIND("-",M208)-1)),M208)*200&lt;=64240,"Не сохранили изменения, чтобы защитить от ошибки — новые цены меньше текущих более чем в 2 раза. Снижайте их постепенно",IF(AND(IFERROR(VALUE(I208),0)=0,ISNUMBER(J208),OR(J208&lt;214,ABS(IFERROR(VALUE(LEFT(M208,FIND("-",M208)-1)),M208))*100&lt;21400)),"Проверьте цену товара. Большинство товаров в выбранной категории стоят дороже 214","")))))),"")</f>
      </c>
    </row>
    <row r="209">
      <c r="A209" s="2" t="inlineStr">
        <is>
          <t/>
        </is>
      </c>
      <c r="B209" s="2" t="inlineStr">
        <is>
          <t>Машинки против катышек</t>
        </is>
      </c>
      <c r="C209" s="2">
        <v>600557593</v>
      </c>
      <c r="D209" s="2" t="inlineStr">
        <is>
          <t>192298</t>
        </is>
      </c>
      <c r="E209" s="2" t="inlineStr">
        <is>
          <t>2047127864779</t>
        </is>
      </c>
      <c r="F209" s="2">
        <v>0</v>
      </c>
      <c r="G209" s="2">
        <v>4</v>
      </c>
      <c r="H209" s="2" t="inlineStr">
        <is>
          <t/>
        </is>
      </c>
      <c r="I209" s="2" t="inlineStr">
        <is>
          <t>5096</t>
        </is>
      </c>
      <c r="J209" s="4"/>
      <c r="K209" s="2">
        <v>78</v>
      </c>
      <c r="L209" s="6"/>
      <c r="M209" s="2" t="str">
        <f>IF(J209="",ROUND(I209*(1-IF(ISBLANK(L209),K209,L209)/100),2),ROUND(J209*(1-IF(ISBLANK(L209),K209,L209)/100),2))</f>
      </c>
      <c r="N209" s="7" t="str">
        <f>IF(NOT(AND(J209="",L209="")),IF(OR(AND(L209&lt;&gt;"",NOT(ISNUMBER(L209))),IFERROR(MOD(L209,1),1)&gt;0,AND(ISNUMBER(L209),OR(L209&lt;0,L209&gt;95))),"Введите целое число от 0 до 95",IF(OR(AND(J209&lt;&gt;"",NOT(ISNUMBER(J209))),IFERROR(MOD(J209,1),1)&gt;0,AND(ISNUMBER(J209),OR(J209&lt;50,J209&gt;20000000))),"Введите целое число от 50 до 20000000",IF(NOT(ABS(IFERROR(VALUE(LEFT(M209,FIND("-",M209)-1)),M209)*100-(2500+2000000000)/2)&lt;=ABS(2500-2000000000)/2),"Цена со скидкой должна быть от 25 до 20000000",IF(AND(IFERROR(VALUE(LEFT(M209,FIND("-",M209)-1)),M209)*150&lt;=112111,IFERROR(VALUE(LEFT(M209,FIND("-",M209)-1)),M209)*200&gt;112111),"Вы уменьшили цену в несколько раз, товар попадет в карантин цен",IF(IFERROR(VALUE(LEFT(M209,FIND("-",M209)-1)),M209)*200&lt;=112111,"Не сохранили изменения, чтобы защитить от ошибки — новые цены меньше текущих более чем в 2 раза. Снижайте их постепенно",IF(AND(IFERROR(VALUE(I209),0)=0,ISNUMBER(J209),OR(J209&lt;231,ABS(IFERROR(VALUE(LEFT(M209,FIND("-",M209)-1)),M209))*100&lt;23100)),"Проверьте цену товара. Большинство товаров в выбранной категории стоят дороже 231","")))))),"")</f>
      </c>
    </row>
    <row r="210">
      <c r="A210" s="2" t="inlineStr">
        <is>
          <t/>
        </is>
      </c>
      <c r="B210" s="2" t="inlineStr">
        <is>
          <t>Машинки против катышек</t>
        </is>
      </c>
      <c r="C210" s="2">
        <v>600557596</v>
      </c>
      <c r="D210" s="2" t="inlineStr">
        <is>
          <t>192538</t>
        </is>
      </c>
      <c r="E210" s="2" t="inlineStr">
        <is>
          <t>2047127864816</t>
        </is>
      </c>
      <c r="F210" s="2">
        <v>2</v>
      </c>
      <c r="G210" s="2">
        <v>0</v>
      </c>
      <c r="H210" s="2">
        <v>999</v>
      </c>
      <c r="I210" s="2" t="inlineStr">
        <is>
          <t>2696</t>
        </is>
      </c>
      <c r="J210" s="4"/>
      <c r="K210" s="2">
        <v>81</v>
      </c>
      <c r="L210" s="6"/>
      <c r="M210" s="2" t="str">
        <f>IF(J210="",ROUND(I210*(1-IF(ISBLANK(L210),K210,L210)/100),2),ROUND(J210*(1-IF(ISBLANK(L210),K210,L210)/100),2))</f>
      </c>
      <c r="N210" s="7" t="str">
        <f>IF(NOT(AND(J210="",L210="")),IF(OR(AND(L210&lt;&gt;"",NOT(ISNUMBER(L210))),IFERROR(MOD(L210,1),1)&gt;0,AND(ISNUMBER(L210),OR(L210&lt;0,L210&gt;95))),"Введите целое число от 0 до 95",IF(OR(AND(J210&lt;&gt;"",NOT(ISNUMBER(J210))),IFERROR(MOD(J210,1),1)&gt;0,AND(ISNUMBER(J210),OR(J210&lt;50,J210&gt;20000000))),"Введите целое число от 50 до 20000000",IF(NOT(ABS(IFERROR(VALUE(LEFT(M210,FIND("-",M210)-1)),M210)*100-(2500+2000000000)/2)&lt;=ABS(2500-2000000000)/2),"Цена со скидкой должна быть от 25 до 20000000",IF(AND(IFERROR(VALUE(LEFT(M210,FIND("-",M210)-1)),M210)*150&lt;=51223,IFERROR(VALUE(LEFT(M210,FIND("-",M210)-1)),M210)*200&gt;51223),"Вы уменьшили цену в несколько раз, товар попадет в карантин цен",IF(IFERROR(VALUE(LEFT(M210,FIND("-",M210)-1)),M210)*200&lt;=51223,"Не сохранили изменения, чтобы защитить от ошибки — новые цены меньше текущих более чем в 2 раза. Снижайте их постепенно",IF(AND(IFERROR(VALUE(I210),0)=0,ISNUMBER(J210),OR(J210&lt;231,ABS(IFERROR(VALUE(LEFT(M210,FIND("-",M210)-1)),M210))*100&lt;23100)),"Проверьте цену товара. Большинство товаров в выбранной категории стоят дороже 231","")))))),"")</f>
      </c>
    </row>
    <row r="211">
      <c r="A211" s="2" t="inlineStr">
        <is>
          <t>Luxaro</t>
        </is>
      </c>
      <c r="B211" s="2" t="inlineStr">
        <is>
          <t>Формы для запекания</t>
        </is>
      </c>
      <c r="C211" s="2">
        <v>272648520</v>
      </c>
      <c r="D211" s="2" t="inlineStr">
        <is>
          <t>075016</t>
        </is>
      </c>
      <c r="E211" s="2" t="inlineStr">
        <is>
          <t>2003333014896</t>
        </is>
      </c>
      <c r="F211" s="2">
        <v>0</v>
      </c>
      <c r="G211" s="2">
        <v>0</v>
      </c>
      <c r="H211" s="2">
        <v>999</v>
      </c>
      <c r="I211" s="2" t="inlineStr">
        <is>
          <t>3628</t>
        </is>
      </c>
      <c r="J211" s="4"/>
      <c r="K211" s="2">
        <v>65</v>
      </c>
      <c r="L211" s="6"/>
      <c r="M211" s="2" t="str">
        <f>IF(J211="",ROUND(I211*(1-IF(ISBLANK(L211),K211,L211)/100),2),ROUND(J211*(1-IF(ISBLANK(L211),K211,L211)/100),2))</f>
      </c>
      <c r="N211" s="7" t="str">
        <f>IF(NOT(AND(J211="",L211="")),IF(OR(AND(L211&lt;&gt;"",NOT(ISNUMBER(L211))),IFERROR(MOD(L211,1),1)&gt;0,AND(ISNUMBER(L211),OR(L211&lt;0,L211&gt;95))),"Введите целое число от 0 до 95",IF(OR(AND(J211&lt;&gt;"",NOT(ISNUMBER(J211))),IFERROR(MOD(J211,1),1)&gt;0,AND(ISNUMBER(J211),OR(J211&lt;50,J211&gt;20000000))),"Введите целое число от 50 до 20000000",IF(NOT(ABS(IFERROR(VALUE(LEFT(M211,FIND("-",M211)-1)),M211)*100-(2500+2000000000)/2)&lt;=ABS(2500-2000000000)/2),"Цена со скидкой должна быть от 25 до 20000000",IF(AND(IFERROR(VALUE(LEFT(M211,FIND("-",M211)-1)),M211)*150&lt;=126980,IFERROR(VALUE(LEFT(M211,FIND("-",M211)-1)),M211)*200&gt;126980),"Вы уменьшили цену в несколько раз, товар попадет в карантин цен",IF(IFERROR(VALUE(LEFT(M211,FIND("-",M211)-1)),M211)*200&lt;=126980,"Не сохранили изменения, чтобы защитить от ошибки — новые цены меньше текущих более чем в 2 раза. Снижайте их постепенно",IF(AND(IFERROR(VALUE(I211),0)=0,ISNUMBER(J211),OR(J211&lt;290,ABS(IFERROR(VALUE(LEFT(M211,FIND("-",M211)-1)),M211))*100&lt;29000)),"Проверьте цену товара. Большинство товаров в выбранной категории стоят дороже 290","")))))),"")</f>
      </c>
    </row>
    <row r="212">
      <c r="A212" s="2" t="inlineStr">
        <is>
          <t/>
        </is>
      </c>
      <c r="B212" s="2" t="inlineStr">
        <is>
          <t>Щетки автомобильные</t>
        </is>
      </c>
      <c r="C212" s="2">
        <v>600558998</v>
      </c>
      <c r="D212" s="2" t="inlineStr">
        <is>
          <t>453538</t>
        </is>
      </c>
      <c r="E212" s="2" t="inlineStr">
        <is>
          <t>2047127879599</t>
        </is>
      </c>
      <c r="F212" s="2">
        <v>0</v>
      </c>
      <c r="G212" s="2">
        <v>0</v>
      </c>
      <c r="H212" s="2" t="inlineStr">
        <is>
          <t/>
        </is>
      </c>
      <c r="I212" s="2" t="inlineStr">
        <is>
          <t>2542</t>
        </is>
      </c>
      <c r="J212" s="4"/>
      <c r="K212" s="2">
        <v>65</v>
      </c>
      <c r="L212" s="6"/>
      <c r="M212" s="2" t="str">
        <f>IF(J212="",ROUND(I212*(1-IF(ISBLANK(L212),K212,L212)/100),2),ROUND(J212*(1-IF(ISBLANK(L212),K212,L212)/100),2))</f>
      </c>
      <c r="N212" s="7" t="str">
        <f>IF(NOT(AND(J212="",L212="")),IF(OR(AND(L212&lt;&gt;"",NOT(ISNUMBER(L212))),IFERROR(MOD(L212,1),1)&gt;0,AND(ISNUMBER(L212),OR(L212&lt;0,L212&gt;95))),"Введите целое число от 0 до 95",IF(OR(AND(J212&lt;&gt;"",NOT(ISNUMBER(J212))),IFERROR(MOD(J212,1),1)&gt;0,AND(ISNUMBER(J212),OR(J212&lt;50,J212&gt;20000000))),"Введите целое число от 50 до 20000000",IF(NOT(ABS(IFERROR(VALUE(LEFT(M212,FIND("-",M212)-1)),M212)*100-(2500+2000000000)/2)&lt;=ABS(2500-2000000000)/2),"Цена со скидкой должна быть от 25 до 20000000",IF(AND(IFERROR(VALUE(LEFT(M212,FIND("-",M212)-1)),M212)*150&lt;=88970,IFERROR(VALUE(LEFT(M212,FIND("-",M212)-1)),M212)*200&gt;88970),"Вы уменьшили цену в несколько раз, товар попадет в карантин цен",IF(IFERROR(VALUE(LEFT(M212,FIND("-",M212)-1)),M212)*200&lt;=88970,"Не сохранили изменения, чтобы защитить от ошибки — новые цены меньше текущих более чем в 2 раза. Снижайте их постепенно",IF(AND(IFERROR(VALUE(I212),0)=0,ISNUMBER(J212),OR(J212&lt;228,ABS(IFERROR(VALUE(LEFT(M212,FIND("-",M212)-1)),M212))*100&lt;22800)),"Проверьте цену товара. Большинство товаров в выбранной категории стоят дороже 228","")))))),"")</f>
      </c>
    </row>
    <row r="213">
      <c r="A213" s="2" t="inlineStr">
        <is>
          <t/>
        </is>
      </c>
      <c r="B213" s="2" t="inlineStr">
        <is>
          <t>Щетки автомобильные</t>
        </is>
      </c>
      <c r="C213" s="2">
        <v>600559000</v>
      </c>
      <c r="D213" s="2" t="inlineStr">
        <is>
          <t>400061</t>
        </is>
      </c>
      <c r="E213" s="2" t="inlineStr">
        <is>
          <t>2047127879612</t>
        </is>
      </c>
      <c r="F213" s="2">
        <v>0</v>
      </c>
      <c r="G213" s="2">
        <v>0</v>
      </c>
      <c r="H213" s="2" t="inlineStr">
        <is>
          <t/>
        </is>
      </c>
      <c r="I213" s="2" t="inlineStr">
        <is>
          <t>7914</t>
        </is>
      </c>
      <c r="J213" s="4"/>
      <c r="K213" s="2">
        <v>65</v>
      </c>
      <c r="L213" s="6"/>
      <c r="M213" s="2" t="str">
        <f>IF(J213="",ROUND(I213*(1-IF(ISBLANK(L213),K213,L213)/100),2),ROUND(J213*(1-IF(ISBLANK(L213),K213,L213)/100),2))</f>
      </c>
      <c r="N213" s="7" t="str">
        <f>IF(NOT(AND(J213="",L213="")),IF(OR(AND(L213&lt;&gt;"",NOT(ISNUMBER(L213))),IFERROR(MOD(L213,1),1)&gt;0,AND(ISNUMBER(L213),OR(L213&lt;0,L213&gt;95))),"Введите целое число от 0 до 95",IF(OR(AND(J213&lt;&gt;"",NOT(ISNUMBER(J213))),IFERROR(MOD(J213,1),1)&gt;0,AND(ISNUMBER(J213),OR(J213&lt;50,J213&gt;20000000))),"Введите целое число от 50 до 20000000",IF(NOT(ABS(IFERROR(VALUE(LEFT(M213,FIND("-",M213)-1)),M213)*100-(2500+2000000000)/2)&lt;=ABS(2500-2000000000)/2),"Цена со скидкой должна быть от 25 до 20000000",IF(AND(IFERROR(VALUE(LEFT(M213,FIND("-",M213)-1)),M213)*150&lt;=276989,IFERROR(VALUE(LEFT(M213,FIND("-",M213)-1)),M213)*200&gt;276989),"Вы уменьшили цену в несколько раз, товар попадет в карантин цен",IF(IFERROR(VALUE(LEFT(M213,FIND("-",M213)-1)),M213)*200&lt;=276989,"Не сохранили изменения, чтобы защитить от ошибки — новые цены меньше текущих более чем в 2 раза. Снижайте их постепенно",IF(AND(IFERROR(VALUE(I213),0)=0,ISNUMBER(J213),OR(J213&lt;228,ABS(IFERROR(VALUE(LEFT(M213,FIND("-",M213)-1)),M213))*100&lt;22800)),"Проверьте цену товара. Большинство товаров в выбранной категории стоят дороже 228","")))))),"")</f>
      </c>
    </row>
    <row r="214">
      <c r="A214" s="2" t="inlineStr">
        <is>
          <t/>
        </is>
      </c>
      <c r="B214" s="2" t="inlineStr">
        <is>
          <t>Чайники для плиты</t>
        </is>
      </c>
      <c r="C214" s="2">
        <v>729520723</v>
      </c>
      <c r="D214" s="2" t="inlineStr">
        <is>
          <t>281714</t>
        </is>
      </c>
      <c r="E214" s="2" t="inlineStr">
        <is>
          <t>2048082927936</t>
        </is>
      </c>
      <c r="F214" s="2">
        <v>0</v>
      </c>
      <c r="G214" s="2">
        <v>0</v>
      </c>
      <c r="H214" s="2" t="inlineStr">
        <is>
          <t/>
        </is>
      </c>
      <c r="I214" s="2" t="inlineStr">
        <is>
          <t>25823</t>
        </is>
      </c>
      <c r="J214" s="4"/>
      <c r="K214" s="2">
        <v>65</v>
      </c>
      <c r="L214" s="6"/>
      <c r="M214" s="2" t="str">
        <f>IF(J214="",ROUND(I214*(1-IF(ISBLANK(L214),K214,L214)/100),2),ROUND(J214*(1-IF(ISBLANK(L214),K214,L214)/100),2))</f>
      </c>
      <c r="N214" s="7" t="str">
        <f>IF(NOT(AND(J214="",L214="")),IF(OR(AND(L214&lt;&gt;"",NOT(ISNUMBER(L214))),IFERROR(MOD(L214,1),1)&gt;0,AND(ISNUMBER(L214),OR(L214&lt;0,L214&gt;95))),"Введите целое число от 0 до 95",IF(OR(AND(J214&lt;&gt;"",NOT(ISNUMBER(J214))),IFERROR(MOD(J214,1),1)&gt;0,AND(ISNUMBER(J214),OR(J214&lt;50,J214&gt;20000000))),"Введите целое число от 50 до 20000000",IF(NOT(ABS(IFERROR(VALUE(LEFT(M214,FIND("-",M214)-1)),M214)*100-(2500+2000000000)/2)&lt;=ABS(2500-2000000000)/2),"Цена со скидкой должна быть от 25 до 20000000",IF(AND(IFERROR(VALUE(LEFT(M214,FIND("-",M214)-1)),M214)*150&lt;=903804,IFERROR(VALUE(LEFT(M214,FIND("-",M214)-1)),M214)*200&gt;903804),"Вы уменьшили цену в несколько раз, товар попадет в карантин цен",IF(IFERROR(VALUE(LEFT(M214,FIND("-",M214)-1)),M214)*200&lt;=903804,"Не сохранили изменения, чтобы защитить от ошибки — новые цены меньше текущих более чем в 2 раза. Снижайте их постепенно",IF(AND(IFERROR(VALUE(I214),0)=0,ISNUMBER(J214),OR(J214&lt;468,ABS(IFERROR(VALUE(LEFT(M214,FIND("-",M214)-1)),M214))*100&lt;46800)),"Проверьте цену товара. Большинство товаров в выбранной категории стоят дороже 468","")))))),"")</f>
      </c>
    </row>
    <row r="215">
      <c r="A215" s="2" t="inlineStr">
        <is>
          <t/>
        </is>
      </c>
      <c r="B215" s="2" t="inlineStr">
        <is>
          <t>Чайники для плиты</t>
        </is>
      </c>
      <c r="C215" s="2">
        <v>729520749</v>
      </c>
      <c r="D215" s="2" t="inlineStr">
        <is>
          <t>821162</t>
        </is>
      </c>
      <c r="E215" s="2" t="inlineStr">
        <is>
          <t>2048082928261</t>
        </is>
      </c>
      <c r="F215" s="2">
        <v>0</v>
      </c>
      <c r="G215" s="2">
        <v>0</v>
      </c>
      <c r="H215" s="2" t="inlineStr">
        <is>
          <t/>
        </is>
      </c>
      <c r="I215" s="2" t="inlineStr">
        <is>
          <t>11752</t>
        </is>
      </c>
      <c r="J215" s="4"/>
      <c r="K215" s="2">
        <v>69</v>
      </c>
      <c r="L215" s="6"/>
      <c r="M215" s="2" t="str">
        <f>IF(J215="",ROUND(I215*(1-IF(ISBLANK(L215),K215,L215)/100),2),ROUND(J215*(1-IF(ISBLANK(L215),K215,L215)/100),2))</f>
      </c>
      <c r="N215" s="7" t="str">
        <f>IF(NOT(AND(J215="",L215="")),IF(OR(AND(L215&lt;&gt;"",NOT(ISNUMBER(L215))),IFERROR(MOD(L215,1),1)&gt;0,AND(ISNUMBER(L215),OR(L215&lt;0,L215&gt;95))),"Введите целое число от 0 до 95",IF(OR(AND(J215&lt;&gt;"",NOT(ISNUMBER(J215))),IFERROR(MOD(J215,1),1)&gt;0,AND(ISNUMBER(J215),OR(J215&lt;50,J215&gt;20000000))),"Введите целое число от 50 до 20000000",IF(NOT(ABS(IFERROR(VALUE(LEFT(M215,FIND("-",M215)-1)),M215)*100-(2500+2000000000)/2)&lt;=ABS(2500-2000000000)/2),"Цена со скидкой должна быть от 25 до 20000000",IF(AND(IFERROR(VALUE(LEFT(M215,FIND("-",M215)-1)),M215)*150&lt;=364312,IFERROR(VALUE(LEFT(M215,FIND("-",M215)-1)),M215)*200&gt;364312),"Вы уменьшили цену в несколько раз, товар попадет в карантин цен",IF(IFERROR(VALUE(LEFT(M215,FIND("-",M215)-1)),M215)*200&lt;=364312,"Не сохранили изменения, чтобы защитить от ошибки — новые цены меньше текущих более чем в 2 раза. Снижайте их постепенно",IF(AND(IFERROR(VALUE(I215),0)=0,ISNUMBER(J215),OR(J215&lt;468,ABS(IFERROR(VALUE(LEFT(M215,FIND("-",M215)-1)),M215))*100&lt;46800)),"Проверьте цену товара. Большинство товаров в выбранной категории стоят дороже 468","")))))),"")</f>
      </c>
    </row>
    <row r="216">
      <c r="A216" s="2" t="inlineStr">
        <is>
          <t/>
        </is>
      </c>
      <c r="B216" s="2" t="inlineStr">
        <is>
          <t>Чайники для плиты</t>
        </is>
      </c>
      <c r="C216" s="2">
        <v>729520737</v>
      </c>
      <c r="D216" s="2" t="inlineStr">
        <is>
          <t>821165</t>
        </is>
      </c>
      <c r="E216" s="2" t="inlineStr">
        <is>
          <t>2048082928070</t>
        </is>
      </c>
      <c r="F216" s="2">
        <v>0</v>
      </c>
      <c r="G216" s="2">
        <v>0</v>
      </c>
      <c r="H216" s="2" t="inlineStr">
        <is>
          <t/>
        </is>
      </c>
      <c r="I216" s="2" t="inlineStr">
        <is>
          <t>10368</t>
        </is>
      </c>
      <c r="J216" s="4"/>
      <c r="K216" s="2">
        <v>65</v>
      </c>
      <c r="L216" s="6"/>
      <c r="M216" s="2" t="str">
        <f>IF(J216="",ROUND(I216*(1-IF(ISBLANK(L216),K216,L216)/100),2),ROUND(J216*(1-IF(ISBLANK(L216),K216,L216)/100),2))</f>
      </c>
      <c r="N216" s="7" t="str">
        <f>IF(NOT(AND(J216="",L216="")),IF(OR(AND(L216&lt;&gt;"",NOT(ISNUMBER(L216))),IFERROR(MOD(L216,1),1)&gt;0,AND(ISNUMBER(L216),OR(L216&lt;0,L216&gt;95))),"Введите целое число от 0 до 95",IF(OR(AND(J216&lt;&gt;"",NOT(ISNUMBER(J216))),IFERROR(MOD(J216,1),1)&gt;0,AND(ISNUMBER(J216),OR(J216&lt;50,J216&gt;20000000))),"Введите целое число от 50 до 20000000",IF(NOT(ABS(IFERROR(VALUE(LEFT(M216,FIND("-",M216)-1)),M216)*100-(2500+2000000000)/2)&lt;=ABS(2500-2000000000)/2),"Цена со скидкой должна быть от 25 до 20000000",IF(AND(IFERROR(VALUE(LEFT(M216,FIND("-",M216)-1)),M216)*150&lt;=362880,IFERROR(VALUE(LEFT(M216,FIND("-",M216)-1)),M216)*200&gt;362880),"Вы уменьшили цену в несколько раз, товар попадет в карантин цен",IF(IFERROR(VALUE(LEFT(M216,FIND("-",M216)-1)),M216)*200&lt;=362880,"Не сохранили изменения, чтобы защитить от ошибки — новые цены меньше текущих более чем в 2 раза. Снижайте их постепенно",IF(AND(IFERROR(VALUE(I216),0)=0,ISNUMBER(J216),OR(J216&lt;468,ABS(IFERROR(VALUE(LEFT(M216,FIND("-",M216)-1)),M216))*100&lt;46800)),"Проверьте цену товара. Большинство товаров в выбранной категории стоят дороже 468","")))))),"")</f>
      </c>
    </row>
    <row r="217">
      <c r="A217" s="2" t="inlineStr">
        <is>
          <t/>
        </is>
      </c>
      <c r="B217" s="2" t="inlineStr">
        <is>
          <t>Чайники для плиты</t>
        </is>
      </c>
      <c r="C217" s="2">
        <v>729520868</v>
      </c>
      <c r="D217" s="2" t="inlineStr">
        <is>
          <t>28701</t>
        </is>
      </c>
      <c r="E217" s="2" t="inlineStr">
        <is>
          <t>2048082929367</t>
        </is>
      </c>
      <c r="F217" s="2">
        <v>0</v>
      </c>
      <c r="G217" s="2">
        <v>6</v>
      </c>
      <c r="H217" s="2" t="inlineStr">
        <is>
          <t/>
        </is>
      </c>
      <c r="I217" s="2" t="inlineStr">
        <is>
          <t>11208</t>
        </is>
      </c>
      <c r="J217" s="4"/>
      <c r="K217" s="2">
        <v>78</v>
      </c>
      <c r="L217" s="6"/>
      <c r="M217" s="2" t="str">
        <f>IF(J217="",ROUND(I217*(1-IF(ISBLANK(L217),K217,L217)/100),2),ROUND(J217*(1-IF(ISBLANK(L217),K217,L217)/100),2))</f>
      </c>
      <c r="N217" s="7" t="str">
        <f>IF(NOT(AND(J217="",L217="")),IF(OR(AND(L217&lt;&gt;"",NOT(ISNUMBER(L217))),IFERROR(MOD(L217,1),1)&gt;0,AND(ISNUMBER(L217),OR(L217&lt;0,L217&gt;95))),"Введите целое число от 0 до 95",IF(OR(AND(J217&lt;&gt;"",NOT(ISNUMBER(J217))),IFERROR(MOD(J217,1),1)&gt;0,AND(ISNUMBER(J217),OR(J217&lt;50,J217&gt;20000000))),"Введите целое число от 50 до 20000000",IF(NOT(ABS(IFERROR(VALUE(LEFT(M217,FIND("-",M217)-1)),M217)*100-(2500+2000000000)/2)&lt;=ABS(2500-2000000000)/2),"Цена со скидкой должна быть от 25 до 20000000",IF(AND(IFERROR(VALUE(LEFT(M217,FIND("-",M217)-1)),M217)*150&lt;=246575,IFERROR(VALUE(LEFT(M217,FIND("-",M217)-1)),M217)*200&gt;246575),"Вы уменьшили цену в несколько раз, товар попадет в карантин цен",IF(IFERROR(VALUE(LEFT(M217,FIND("-",M217)-1)),M217)*200&lt;=246575,"Не сохранили изменения, чтобы защитить от ошибки — новые цены меньше текущих более чем в 2 раза. Снижайте их постепенно",IF(AND(IFERROR(VALUE(I217),0)=0,ISNUMBER(J217),OR(J217&lt;468,ABS(IFERROR(VALUE(LEFT(M217,FIND("-",M217)-1)),M217))*100&lt;46800)),"Проверьте цену товара. Большинство товаров в выбранной категории стоят дороже 468","")))))),"")</f>
      </c>
    </row>
    <row r="218">
      <c r="A218" s="2" t="inlineStr">
        <is>
          <t/>
        </is>
      </c>
      <c r="B218" s="2" t="inlineStr">
        <is>
          <t>Чайники для плиты</t>
        </is>
      </c>
      <c r="C218" s="2">
        <v>729520802</v>
      </c>
      <c r="D218" s="2" t="inlineStr">
        <is>
          <t>28875</t>
        </is>
      </c>
      <c r="E218" s="2" t="inlineStr">
        <is>
          <t>2048082928773</t>
        </is>
      </c>
      <c r="F218" s="2">
        <v>8</v>
      </c>
      <c r="G218" s="2">
        <v>16</v>
      </c>
      <c r="H218" s="2">
        <v>999</v>
      </c>
      <c r="I218" s="2" t="inlineStr">
        <is>
          <t>12437</t>
        </is>
      </c>
      <c r="J218" s="4"/>
      <c r="K218" s="2">
        <v>80</v>
      </c>
      <c r="L218" s="6"/>
      <c r="M218" s="2" t="str">
        <f>IF(J218="",ROUND(I218*(1-IF(ISBLANK(L218),K218,L218)/100),2),ROUND(J218*(1-IF(ISBLANK(L218),K218,L218)/100),2))</f>
      </c>
      <c r="N218" s="7" t="str">
        <f>IF(NOT(AND(J218="",L218="")),IF(OR(AND(L218&lt;&gt;"",NOT(ISNUMBER(L218))),IFERROR(MOD(L218,1),1)&gt;0,AND(ISNUMBER(L218),OR(L218&lt;0,L218&gt;95))),"Введите целое число от 0 до 95",IF(OR(AND(J218&lt;&gt;"",NOT(ISNUMBER(J218))),IFERROR(MOD(J218,1),1)&gt;0,AND(ISNUMBER(J218),OR(J218&lt;50,J218&gt;20000000))),"Введите целое число от 50 до 20000000",IF(NOT(ABS(IFERROR(VALUE(LEFT(M218,FIND("-",M218)-1)),M218)*100-(2500+2000000000)/2)&lt;=ABS(2500-2000000000)/2),"Цена со скидкой должна быть от 25 до 20000000",IF(AND(IFERROR(VALUE(LEFT(M218,FIND("-",M218)-1)),M218)*150&lt;=248739,IFERROR(VALUE(LEFT(M218,FIND("-",M218)-1)),M218)*200&gt;248739),"Вы уменьшили цену в несколько раз, товар попадет в карантин цен",IF(IFERROR(VALUE(LEFT(M218,FIND("-",M218)-1)),M218)*200&lt;=248739,"Не сохранили изменения, чтобы защитить от ошибки — новые цены меньше текущих более чем в 2 раза. Снижайте их постепенно",IF(AND(IFERROR(VALUE(I218),0)=0,ISNUMBER(J218),OR(J218&lt;468,ABS(IFERROR(VALUE(LEFT(M218,FIND("-",M218)-1)),M218))*100&lt;46800)),"Проверьте цену товара. Большинство товаров в выбранной категории стоят дороже 468","")))))),"")</f>
      </c>
    </row>
    <row r="219">
      <c r="A219" s="2" t="inlineStr">
        <is>
          <t/>
        </is>
      </c>
      <c r="B219" s="2" t="inlineStr">
        <is>
          <t>Елки искусственные</t>
        </is>
      </c>
      <c r="C219" s="2">
        <v>616129765</v>
      </c>
      <c r="D219" s="2" t="inlineStr">
        <is>
          <t>990896</t>
        </is>
      </c>
      <c r="E219" s="2" t="inlineStr">
        <is>
          <t>2047285466440</t>
        </is>
      </c>
      <c r="F219" s="2">
        <v>0</v>
      </c>
      <c r="G219" s="2">
        <v>5</v>
      </c>
      <c r="H219" s="2" t="inlineStr">
        <is>
          <t/>
        </is>
      </c>
      <c r="I219" s="2" t="inlineStr">
        <is>
          <t>36467</t>
        </is>
      </c>
      <c r="J219" s="4"/>
      <c r="K219" s="2">
        <v>78</v>
      </c>
      <c r="L219" s="6"/>
      <c r="M219" s="2" t="str">
        <f>IF(J219="",ROUND(I219*(1-IF(ISBLANK(L219),K219,L219)/100),2),ROUND(J219*(1-IF(ISBLANK(L219),K219,L219)/100),2))</f>
      </c>
      <c r="N219" s="7" t="str">
        <f>IF(NOT(AND(J219="",L219="")),IF(OR(AND(L219&lt;&gt;"",NOT(ISNUMBER(L219))),IFERROR(MOD(L219,1),1)&gt;0,AND(ISNUMBER(L219),OR(L219&lt;0,L219&gt;95))),"Введите целое число от 0 до 95",IF(OR(AND(J219&lt;&gt;"",NOT(ISNUMBER(J219))),IFERROR(MOD(J219,1),1)&gt;0,AND(ISNUMBER(J219),OR(J219&lt;50,J219&gt;20000000))),"Введите целое число от 50 до 20000000",IF(NOT(ABS(IFERROR(VALUE(LEFT(M219,FIND("-",M219)-1)),M219)*100-(2500+2000000000)/2)&lt;=ABS(2500-2000000000)/2),"Цена со скидкой должна быть от 25 до 20000000",IF(AND(IFERROR(VALUE(LEFT(M219,FIND("-",M219)-1)),M219)*150&lt;=802273,IFERROR(VALUE(LEFT(M219,FIND("-",M219)-1)),M219)*200&gt;802273),"Вы уменьшили цену в несколько раз, товар попадет в карантин цен",IF(IFERROR(VALUE(LEFT(M219,FIND("-",M219)-1)),M219)*200&lt;=802273,"Не сохранили изменения, чтобы защитить от ошибки — новые цены меньше текущих более чем в 2 раза. Снижайте их постепенно",IF(AND(IFERROR(VALUE(I219),0)=0,ISNUMBER(J219),OR(J219&lt;269,ABS(IFERROR(VALUE(LEFT(M219,FIND("-",M219)-1)),M219))*100&lt;26900)),"Проверьте цену товара. Большинство товаров в выбранной категории стоят дороже 269","")))))),"")</f>
      </c>
    </row>
    <row r="220">
      <c r="A220" s="2" t="inlineStr">
        <is>
          <t/>
        </is>
      </c>
      <c r="B220" s="2" t="inlineStr">
        <is>
          <t>Елки искусственные</t>
        </is>
      </c>
      <c r="C220" s="2">
        <v>616129767</v>
      </c>
      <c r="D220" s="2" t="inlineStr">
        <is>
          <t>992378</t>
        </is>
      </c>
      <c r="E220" s="2" t="inlineStr">
        <is>
          <t>2047285466471</t>
        </is>
      </c>
      <c r="F220" s="2">
        <v>0</v>
      </c>
      <c r="G220" s="2">
        <v>3</v>
      </c>
      <c r="H220" s="2" t="inlineStr">
        <is>
          <t/>
        </is>
      </c>
      <c r="I220" s="2" t="inlineStr">
        <is>
          <t>130568</t>
        </is>
      </c>
      <c r="J220" s="4"/>
      <c r="K220" s="2">
        <v>78</v>
      </c>
      <c r="L220" s="6"/>
      <c r="M220" s="2" t="str">
        <f>IF(J220="",ROUND(I220*(1-IF(ISBLANK(L220),K220,L220)/100),2),ROUND(J220*(1-IF(ISBLANK(L220),K220,L220)/100),2))</f>
      </c>
      <c r="N220" s="7" t="str">
        <f>IF(NOT(AND(J220="",L220="")),IF(OR(AND(L220&lt;&gt;"",NOT(ISNUMBER(L220))),IFERROR(MOD(L220,1),1)&gt;0,AND(ISNUMBER(L220),OR(L220&lt;0,L220&gt;95))),"Введите целое число от 0 до 95",IF(OR(AND(J220&lt;&gt;"",NOT(ISNUMBER(J220))),IFERROR(MOD(J220,1),1)&gt;0,AND(ISNUMBER(J220),OR(J220&lt;50,J220&gt;20000000))),"Введите целое число от 50 до 20000000",IF(NOT(ABS(IFERROR(VALUE(LEFT(M220,FIND("-",M220)-1)),M220)*100-(2500+2000000000)/2)&lt;=ABS(2500-2000000000)/2),"Цена со скидкой должна быть от 25 до 20000000",IF(AND(IFERROR(VALUE(LEFT(M220,FIND("-",M220)-1)),M220)*150&lt;=2872495,IFERROR(VALUE(LEFT(M220,FIND("-",M220)-1)),M220)*200&gt;2872495),"Вы уменьшили цену в несколько раз, товар попадет в карантин цен",IF(IFERROR(VALUE(LEFT(M220,FIND("-",M220)-1)),M220)*200&lt;=2872495,"Не сохранили изменения, чтобы защитить от ошибки — новые цены меньше текущих более чем в 2 раза. Снижайте их постепенно",IF(AND(IFERROR(VALUE(I220),0)=0,ISNUMBER(J220),OR(J220&lt;269,ABS(IFERROR(VALUE(LEFT(M220,FIND("-",M220)-1)),M220))*100&lt;26900)),"Проверьте цену товара. Большинство товаров в выбранной категории стоят дороже 269","")))))),"")</f>
      </c>
    </row>
    <row r="221">
      <c r="A221" s="2" t="inlineStr">
        <is>
          <t/>
        </is>
      </c>
      <c r="B221" s="2" t="inlineStr">
        <is>
          <t>Елки искусственные</t>
        </is>
      </c>
      <c r="C221" s="2">
        <v>616129777</v>
      </c>
      <c r="D221" s="2" t="inlineStr">
        <is>
          <t>99529</t>
        </is>
      </c>
      <c r="E221" s="2" t="inlineStr">
        <is>
          <t>2047285466648</t>
        </is>
      </c>
      <c r="F221" s="2">
        <v>0</v>
      </c>
      <c r="G221" s="2">
        <v>4</v>
      </c>
      <c r="H221" s="2" t="inlineStr">
        <is>
          <t/>
        </is>
      </c>
      <c r="I221" s="2" t="inlineStr">
        <is>
          <t>66768</t>
        </is>
      </c>
      <c r="J221" s="4"/>
      <c r="K221" s="2">
        <v>78</v>
      </c>
      <c r="L221" s="6"/>
      <c r="M221" s="2" t="str">
        <f>IF(J221="",ROUND(I221*(1-IF(ISBLANK(L221),K221,L221)/100),2),ROUND(J221*(1-IF(ISBLANK(L221),K221,L221)/100),2))</f>
      </c>
      <c r="N221" s="7" t="str">
        <f>IF(NOT(AND(J221="",L221="")),IF(OR(AND(L221&lt;&gt;"",NOT(ISNUMBER(L221))),IFERROR(MOD(L221,1),1)&gt;0,AND(ISNUMBER(L221),OR(L221&lt;0,L221&gt;95))),"Введите целое число от 0 до 95",IF(OR(AND(J221&lt;&gt;"",NOT(ISNUMBER(J221))),IFERROR(MOD(J221,1),1)&gt;0,AND(ISNUMBER(J221),OR(J221&lt;50,J221&gt;20000000))),"Введите целое число от 50 до 20000000",IF(NOT(ABS(IFERROR(VALUE(LEFT(M221,FIND("-",M221)-1)),M221)*100-(2500+2000000000)/2)&lt;=ABS(2500-2000000000)/2),"Цена со скидкой должна быть от 25 до 20000000",IF(AND(IFERROR(VALUE(LEFT(M221,FIND("-",M221)-1)),M221)*150&lt;=1468896,IFERROR(VALUE(LEFT(M221,FIND("-",M221)-1)),M221)*200&gt;1468896),"Вы уменьшили цену в несколько раз, товар попадет в карантин цен",IF(IFERROR(VALUE(LEFT(M221,FIND("-",M221)-1)),M221)*200&lt;=1468896,"Не сохранили изменения, чтобы защитить от ошибки — новые цены меньше текущих более чем в 2 раза. Снижайте их постепенно",IF(AND(IFERROR(VALUE(I221),0)=0,ISNUMBER(J221),OR(J221&lt;269,ABS(IFERROR(VALUE(LEFT(M221,FIND("-",M221)-1)),M221))*100&lt;26900)),"Проверьте цену товара. Большинство товаров в выбранной категории стоят дороже 269","")))))),"")</f>
      </c>
    </row>
    <row r="222">
      <c r="A222" s="2" t="inlineStr">
        <is>
          <t/>
        </is>
      </c>
      <c r="B222" s="2" t="inlineStr">
        <is>
          <t>Сушилки для посуды</t>
        </is>
      </c>
      <c r="C222" s="2">
        <v>619491063</v>
      </c>
      <c r="D222" s="2" t="inlineStr">
        <is>
          <t>283095</t>
        </is>
      </c>
      <c r="E222" s="2" t="inlineStr">
        <is>
          <t>2047325060126</t>
        </is>
      </c>
      <c r="F222" s="2" t="inlineStr">
        <is>
          <t/>
        </is>
      </c>
      <c r="G222" s="2" t="inlineStr">
        <is>
          <t/>
        </is>
      </c>
      <c r="H222" s="2" t="inlineStr">
        <is>
          <t/>
        </is>
      </c>
      <c r="I222" s="2" t="inlineStr">
        <is>
          <t>0</t>
        </is>
      </c>
      <c r="J222" s="4"/>
      <c r="K222" s="2">
        <v>0</v>
      </c>
      <c r="L222" s="6"/>
      <c r="M222" s="2" t="str">
        <f>IF(J222="",ROUND(I222*(1-IF(ISBLANK(L222),K222,L222)/100),2),ROUND(J222*(1-IF(ISBLANK(L222),K222,L222)/100),2))</f>
      </c>
      <c r="N222" s="7" t="str">
        <f>IF(NOT(AND(J222="",L222="")),IF(OR(AND(L222&lt;&gt;"",NOT(ISNUMBER(L222))),IFERROR(MOD(L222,1),1)&gt;0,AND(ISNUMBER(L222),OR(L222&lt;0,L222&gt;95))),"Введите целое число от 0 до 95",IF(OR(AND(J222&lt;&gt;"",NOT(ISNUMBER(J222))),IFERROR(MOD(J222,1),1)&gt;0,AND(ISNUMBER(J222),OR(J222&lt;50,J222&gt;20000000))),"Введите целое число от 50 до 20000000",IF(NOT(ABS(IFERROR(VALUE(LEFT(M222,FIND("-",M222)-1)),M222)*100-(2500+2000000000)/2)&lt;=ABS(2500-2000000000)/2),"Цена со скидкой должна быть от 25 до 20000000",IF(AND(IFERROR(VALUE(LEFT(M222,FIND("-",M222)-1)),M222)*150&lt;=0,IFERROR(VALUE(LEFT(M222,FIND("-",M222)-1)),M222)*200&gt;0),"Вы уменьшили цену в несколько раз, товар попадет в карантин цен",IF(IFERROR(VALUE(LEFT(M222,FIND("-",M222)-1)),M222)*200&lt;=0,"Не сохранили изменения, чтобы защитить от ошибки — новые цены меньше текущих более чем в 2 раза. Снижайте их постепенно",IF(AND(IFERROR(VALUE(I222),0)=0,ISNUMBER(J222),OR(J222&lt;439,ABS(IFERROR(VALUE(LEFT(M222,FIND("-",M222)-1)),M222))*100&lt;43900)),"Проверьте цену товара. Большинство товаров в выбранной категории стоят дороже 439","")))))),"")</f>
      </c>
    </row>
    <row r="223">
      <c r="A223" s="2" t="inlineStr">
        <is>
          <t/>
        </is>
      </c>
      <c r="B223" s="2" t="inlineStr">
        <is>
          <t>Масленки</t>
        </is>
      </c>
      <c r="C223" s="2">
        <v>619472787</v>
      </c>
      <c r="D223" s="2" t="inlineStr">
        <is>
          <t>283438</t>
        </is>
      </c>
      <c r="E223" s="2" t="inlineStr">
        <is>
          <t>2047324792790</t>
        </is>
      </c>
      <c r="F223" s="2" t="inlineStr">
        <is>
          <t/>
        </is>
      </c>
      <c r="G223" s="2" t="inlineStr">
        <is>
          <t/>
        </is>
      </c>
      <c r="H223" s="2" t="inlineStr">
        <is>
          <t/>
        </is>
      </c>
      <c r="I223" s="2" t="inlineStr">
        <is>
          <t>0</t>
        </is>
      </c>
      <c r="J223" s="4"/>
      <c r="K223" s="2">
        <v>0</v>
      </c>
      <c r="L223" s="6"/>
      <c r="M223" s="2" t="str">
        <f>IF(J223="",ROUND(I223*(1-IF(ISBLANK(L223),K223,L223)/100),2),ROUND(J223*(1-IF(ISBLANK(L223),K223,L223)/100),2))</f>
      </c>
      <c r="N223" s="7" t="str">
        <f>IF(NOT(AND(J223="",L223="")),IF(OR(AND(L223&lt;&gt;"",NOT(ISNUMBER(L223))),IFERROR(MOD(L223,1),1)&gt;0,AND(ISNUMBER(L223),OR(L223&lt;0,L223&gt;95))),"Введите целое число от 0 до 95",IF(OR(AND(J223&lt;&gt;"",NOT(ISNUMBER(J223))),IFERROR(MOD(J223,1),1)&gt;0,AND(ISNUMBER(J223),OR(J223&lt;50,J223&gt;20000000))),"Введите целое число от 50 до 20000000",IF(NOT(ABS(IFERROR(VALUE(LEFT(M223,FIND("-",M223)-1)),M223)*100-(2500+2000000000)/2)&lt;=ABS(2500-2000000000)/2),"Цена со скидкой должна быть от 25 до 20000000",IF(AND(IFERROR(VALUE(LEFT(M223,FIND("-",M223)-1)),M223)*150&lt;=0,IFERROR(VALUE(LEFT(M223,FIND("-",M223)-1)),M223)*200&gt;0),"Вы уменьшили цену в несколько раз, товар попадет в карантин цен",IF(IFERROR(VALUE(LEFT(M223,FIND("-",M223)-1)),M223)*200&lt;=0,"Не сохранили изменения, чтобы защитить от ошибки — новые цены меньше текущих более чем в 2 раза. Снижайте их постепенно",IF(AND(IFERROR(VALUE(I223),0)=0,ISNUMBER(J223),OR(J223&lt;284,ABS(IFERROR(VALUE(LEFT(M223,FIND("-",M223)-1)),M223))*100&lt;28400)),"Проверьте цену товара. Большинство товаров в выбранной категории стоят дороже 284","")))))),"")</f>
      </c>
    </row>
    <row r="224">
      <c r="A224" s="2" t="inlineStr">
        <is>
          <t>Luxaro</t>
        </is>
      </c>
      <c r="B224" s="2" t="inlineStr">
        <is>
          <t>Сахарницы</t>
        </is>
      </c>
      <c r="C224" s="2">
        <v>278848569</v>
      </c>
      <c r="D224" s="2" t="inlineStr">
        <is>
          <t>121692</t>
        </is>
      </c>
      <c r="E224" s="2" t="inlineStr">
        <is>
          <t>2041687934736</t>
        </is>
      </c>
      <c r="F224" s="2">
        <v>0</v>
      </c>
      <c r="G224" s="2">
        <v>0</v>
      </c>
      <c r="H224" s="2">
        <v>1</v>
      </c>
      <c r="I224" s="2" t="inlineStr">
        <is>
          <t>4569</t>
        </is>
      </c>
      <c r="J224" s="4"/>
      <c r="K224" s="2">
        <v>65</v>
      </c>
      <c r="L224" s="6"/>
      <c r="M224" s="2" t="str">
        <f>IF(J224="",ROUND(I224*(1-IF(ISBLANK(L224),K224,L224)/100),2),ROUND(J224*(1-IF(ISBLANK(L224),K224,L224)/100),2))</f>
      </c>
      <c r="N224" s="7" t="str">
        <f>IF(NOT(AND(J224="",L224="")),IF(OR(AND(L224&lt;&gt;"",NOT(ISNUMBER(L224))),IFERROR(MOD(L224,1),1)&gt;0,AND(ISNUMBER(L224),OR(L224&lt;0,L224&gt;95))),"Введите целое число от 0 до 95",IF(OR(AND(J224&lt;&gt;"",NOT(ISNUMBER(J224))),IFERROR(MOD(J224,1),1)&gt;0,AND(ISNUMBER(J224),OR(J224&lt;50,J224&gt;20000000))),"Введите целое число от 50 до 20000000",IF(NOT(ABS(IFERROR(VALUE(LEFT(M224,FIND("-",M224)-1)),M224)*100-(2500+2000000000)/2)&lt;=ABS(2500-2000000000)/2),"Цена со скидкой должна быть от 25 до 20000000",IF(AND(IFERROR(VALUE(LEFT(M224,FIND("-",M224)-1)),M224)*150&lt;=159915,IFERROR(VALUE(LEFT(M224,FIND("-",M224)-1)),M224)*200&gt;159915),"Вы уменьшили цену в несколько раз, товар попадет в карантин цен",IF(IFERROR(VALUE(LEFT(M224,FIND("-",M224)-1)),M224)*200&lt;=159915,"Не сохранили изменения, чтобы защитить от ошибки — новые цены меньше текущих более чем в 2 раза. Снижайте их постепенно",IF(AND(IFERROR(VALUE(I224),0)=0,ISNUMBER(J224),OR(J224&lt;417,ABS(IFERROR(VALUE(LEFT(M224,FIND("-",M224)-1)),M224))*100&lt;41700)),"Проверьте цену товара. Большинство товаров в выбранной категории стоят дороже 417","")))))),"")</f>
      </c>
    </row>
    <row r="225">
      <c r="A225" s="2" t="inlineStr">
        <is>
          <t>Pasabahce</t>
        </is>
      </c>
      <c r="B225" s="2" t="inlineStr">
        <is>
          <t>Вазы</t>
        </is>
      </c>
      <c r="C225" s="2">
        <v>314378538</v>
      </c>
      <c r="D225" s="2" t="inlineStr">
        <is>
          <t>12434</t>
        </is>
      </c>
      <c r="E225" s="2" t="inlineStr">
        <is>
          <t>2042536658025</t>
        </is>
      </c>
      <c r="F225" s="2">
        <v>174</v>
      </c>
      <c r="G225" s="2">
        <v>0</v>
      </c>
      <c r="H225" s="2">
        <v>999</v>
      </c>
      <c r="I225" s="2" t="inlineStr">
        <is>
          <t>5879</t>
        </is>
      </c>
      <c r="J225" s="4"/>
      <c r="K225" s="2">
        <v>85</v>
      </c>
      <c r="L225" s="6"/>
      <c r="M225" s="2" t="str">
        <f>IF(J225="",ROUND(I225*(1-IF(ISBLANK(L225),K225,L225)/100),2),ROUND(J225*(1-IF(ISBLANK(L225),K225,L225)/100),2))</f>
      </c>
      <c r="N225" s="7" t="str">
        <f>IF(NOT(AND(J225="",L225="")),IF(OR(AND(L225&lt;&gt;"",NOT(ISNUMBER(L225))),IFERROR(MOD(L225,1),1)&gt;0,AND(ISNUMBER(L225),OR(L225&lt;0,L225&gt;95))),"Введите целое число от 0 до 95",IF(OR(AND(J225&lt;&gt;"",NOT(ISNUMBER(J225))),IFERROR(MOD(J225,1),1)&gt;0,AND(ISNUMBER(J225),OR(J225&lt;50,J225&gt;20000000))),"Введите целое число от 50 до 20000000",IF(NOT(ABS(IFERROR(VALUE(LEFT(M225,FIND("-",M225)-1)),M225)*100-(2500+2000000000)/2)&lt;=ABS(2500-2000000000)/2),"Цена со скидкой должна быть от 25 до 20000000",IF(AND(IFERROR(VALUE(LEFT(M225,FIND("-",M225)-1)),M225)*150&lt;=88185,IFERROR(VALUE(LEFT(M225,FIND("-",M225)-1)),M225)*200&gt;88185),"Вы уменьшили цену в несколько раз, товар попадет в карантин цен",IF(IFERROR(VALUE(LEFT(M225,FIND("-",M225)-1)),M225)*200&lt;=88185,"Не сохранили изменения, чтобы защитить от ошибки — новые цены меньше текущих более чем в 2 раза. Снижайте их постепенно",IF(AND(IFERROR(VALUE(I225),0)=0,ISNUMBER(J225),OR(J225&lt;296,ABS(IFERROR(VALUE(LEFT(M225,FIND("-",M225)-1)),M225))*100&lt;29600)),"Проверьте цену товара. Большинство товаров в выбранной категории стоят дороже 296","")))))),"")</f>
      </c>
    </row>
    <row r="226">
      <c r="A226" s="2" t="inlineStr">
        <is>
          <t/>
        </is>
      </c>
      <c r="B226" s="2" t="inlineStr">
        <is>
          <t>Дождевики</t>
        </is>
      </c>
      <c r="C226" s="2">
        <v>600651708</v>
      </c>
      <c r="D226" s="2" t="inlineStr">
        <is>
          <t>514150</t>
        </is>
      </c>
      <c r="E226" s="2" t="inlineStr">
        <is>
          <t>2047129380420</t>
        </is>
      </c>
      <c r="F226" s="2">
        <v>8</v>
      </c>
      <c r="G226" s="2">
        <v>0</v>
      </c>
      <c r="H226" s="2">
        <v>53</v>
      </c>
      <c r="I226" s="2" t="inlineStr">
        <is>
          <t>3652</t>
        </is>
      </c>
      <c r="J226" s="4"/>
      <c r="K226" s="2">
        <v>79</v>
      </c>
      <c r="L226" s="6"/>
      <c r="M226" s="2" t="str">
        <f>IF(J226="",ROUND(I226*(1-IF(ISBLANK(L226),K226,L226)/100),2),ROUND(J226*(1-IF(ISBLANK(L226),K226,L226)/100),2))</f>
      </c>
      <c r="N226" s="7" t="str">
        <f>IF(NOT(AND(J226="",L226="")),IF(OR(AND(L226&lt;&gt;"",NOT(ISNUMBER(L226))),IFERROR(MOD(L226,1),1)&gt;0,AND(ISNUMBER(L226),OR(L226&lt;0,L226&gt;95))),"Введите целое число от 0 до 95",IF(OR(AND(J226&lt;&gt;"",NOT(ISNUMBER(J226))),IFERROR(MOD(J226,1),1)&gt;0,AND(ISNUMBER(J226),OR(J226&lt;50,J226&gt;20000000))),"Введите целое число от 50 до 20000000",IF(NOT(ABS(IFERROR(VALUE(LEFT(M226,FIND("-",M226)-1)),M226)*100-(2500+2000000000)/2)&lt;=ABS(2500-2000000000)/2),"Цена со скидкой должна быть от 25 до 20000000",IF(AND(IFERROR(VALUE(LEFT(M226,FIND("-",M226)-1)),M226)*150&lt;=76691,IFERROR(VALUE(LEFT(M226,FIND("-",M226)-1)),M226)*200&gt;76691),"Вы уменьшили цену в несколько раз, товар попадет в карантин цен",IF(IFERROR(VALUE(LEFT(M226,FIND("-",M226)-1)),M226)*200&lt;=76691,"Не сохранили изменения, чтобы защитить от ошибки — новые цены меньше текущих более чем в 2 раза. Снижайте их постепенно",IF(AND(IFERROR(VALUE(I226),0)=0,ISNUMBER(J226),OR(J226&lt;348,ABS(IFERROR(VALUE(LEFT(M226,FIND("-",M226)-1)),M226))*100&lt;34800)),"Проверьте цену товара. Большинство товаров в выбранной категории стоят дороже 348","")))))),"")</f>
      </c>
    </row>
    <row r="227">
      <c r="A227" s="2" t="inlineStr">
        <is>
          <t/>
        </is>
      </c>
      <c r="B227" s="2" t="inlineStr">
        <is>
          <t>Сушилки для посуды</t>
        </is>
      </c>
      <c r="C227" s="2">
        <v>619491064</v>
      </c>
      <c r="D227" s="2" t="inlineStr">
        <is>
          <t>283096</t>
        </is>
      </c>
      <c r="E227" s="2" t="inlineStr">
        <is>
          <t>2047325060133</t>
        </is>
      </c>
      <c r="F227" s="2">
        <v>0</v>
      </c>
      <c r="G227" s="2">
        <v>1</v>
      </c>
      <c r="H227" s="2" t="inlineStr">
        <is>
          <t/>
        </is>
      </c>
      <c r="I227" s="2" t="inlineStr">
        <is>
          <t>10122</t>
        </is>
      </c>
      <c r="J227" s="4"/>
      <c r="K227" s="2">
        <v>78</v>
      </c>
      <c r="L227" s="6"/>
      <c r="M227" s="2" t="str">
        <f>IF(J227="",ROUND(I227*(1-IF(ISBLANK(L227),K227,L227)/100),2),ROUND(J227*(1-IF(ISBLANK(L227),K227,L227)/100),2))</f>
      </c>
      <c r="N227" s="7" t="str">
        <f>IF(NOT(AND(J227="",L227="")),IF(OR(AND(L227&lt;&gt;"",NOT(ISNUMBER(L227))),IFERROR(MOD(L227,1),1)&gt;0,AND(ISNUMBER(L227),OR(L227&lt;0,L227&gt;95))),"Введите целое число от 0 до 95",IF(OR(AND(J227&lt;&gt;"",NOT(ISNUMBER(J227))),IFERROR(MOD(J227,1),1)&gt;0,AND(ISNUMBER(J227),OR(J227&lt;50,J227&gt;20000000))),"Введите целое число от 50 до 20000000",IF(NOT(ABS(IFERROR(VALUE(LEFT(M227,FIND("-",M227)-1)),M227)*100-(2500+2000000000)/2)&lt;=ABS(2500-2000000000)/2),"Цена со скидкой должна быть от 25 до 20000000",IF(AND(IFERROR(VALUE(LEFT(M227,FIND("-",M227)-1)),M227)*150&lt;=222683,IFERROR(VALUE(LEFT(M227,FIND("-",M227)-1)),M227)*200&gt;222683),"Вы уменьшили цену в несколько раз, товар попадет в карантин цен",IF(IFERROR(VALUE(LEFT(M227,FIND("-",M227)-1)),M227)*200&lt;=222683,"Не сохранили изменения, чтобы защитить от ошибки — новые цены меньше текущих более чем в 2 раза. Снижайте их постепенно",IF(AND(IFERROR(VALUE(I227),0)=0,ISNUMBER(J227),OR(J227&lt;439,ABS(IFERROR(VALUE(LEFT(M227,FIND("-",M227)-1)),M227))*100&lt;43900)),"Проверьте цену товара. Большинство товаров в выбранной категории стоят дороже 439","")))))),"")</f>
      </c>
    </row>
    <row r="228">
      <c r="A228" s="2" t="inlineStr">
        <is>
          <t/>
        </is>
      </c>
      <c r="B228" s="2" t="inlineStr">
        <is>
          <t>Графины</t>
        </is>
      </c>
      <c r="C228" s="2">
        <v>619242994</v>
      </c>
      <c r="D228" s="2" t="inlineStr">
        <is>
          <t>100638</t>
        </is>
      </c>
      <c r="E228" s="2" t="inlineStr">
        <is>
          <t>2047320670528</t>
        </is>
      </c>
      <c r="F228" s="2">
        <v>0</v>
      </c>
      <c r="G228" s="2">
        <v>1</v>
      </c>
      <c r="H228" s="2">
        <v>1</v>
      </c>
      <c r="I228" s="2" t="inlineStr">
        <is>
          <t>9172</t>
        </is>
      </c>
      <c r="J228" s="4"/>
      <c r="K228" s="2">
        <v>79</v>
      </c>
      <c r="L228" s="6"/>
      <c r="M228" s="2" t="str">
        <f>IF(J228="",ROUND(I228*(1-IF(ISBLANK(L228),K228,L228)/100),2),ROUND(J228*(1-IF(ISBLANK(L228),K228,L228)/100),2))</f>
      </c>
      <c r="N228" s="7" t="str">
        <f>IF(NOT(AND(J228="",L228="")),IF(OR(AND(L228&lt;&gt;"",NOT(ISNUMBER(L228))),IFERROR(MOD(L228,1),1)&gt;0,AND(ISNUMBER(L228),OR(L228&lt;0,L228&gt;95))),"Введите целое число от 0 до 95",IF(OR(AND(J228&lt;&gt;"",NOT(ISNUMBER(J228))),IFERROR(MOD(J228,1),1)&gt;0,AND(ISNUMBER(J228),OR(J228&lt;50,J228&gt;20000000))),"Введите целое число от 50 до 20000000",IF(NOT(ABS(IFERROR(VALUE(LEFT(M228,FIND("-",M228)-1)),M228)*100-(2500+2000000000)/2)&lt;=ABS(2500-2000000000)/2),"Цена со скидкой должна быть от 25 до 20000000",IF(AND(IFERROR(VALUE(LEFT(M228,FIND("-",M228)-1)),M228)*150&lt;=192611,IFERROR(VALUE(LEFT(M228,FIND("-",M228)-1)),M228)*200&gt;192611),"Вы уменьшили цену в несколько раз, товар попадет в карантин цен",IF(IFERROR(VALUE(LEFT(M228,FIND("-",M228)-1)),M228)*200&lt;=192611,"Не сохранили изменения, чтобы защитить от ошибки — новые цены меньше текущих более чем в 2 раза. Снижайте их постепенно",IF(AND(IFERROR(VALUE(I228),0)=0,ISNUMBER(J228),OR(J228&lt;458,ABS(IFERROR(VALUE(LEFT(M228,FIND("-",M228)-1)),M228))*100&lt;45800)),"Проверьте цену товара. Большинство товаров в выбранной категории стоят дороже 458","")))))),"")</f>
      </c>
    </row>
    <row r="229">
      <c r="A229" s="2" t="inlineStr">
        <is>
          <t>Luxaro</t>
        </is>
      </c>
      <c r="B229" s="2" t="inlineStr">
        <is>
          <t>Подставки кухонные</t>
        </is>
      </c>
      <c r="C229" s="2">
        <v>260914475</v>
      </c>
      <c r="D229" s="2" t="inlineStr">
        <is>
          <t>282931</t>
        </is>
      </c>
      <c r="E229" s="2" t="inlineStr">
        <is>
          <t>2003333017200</t>
        </is>
      </c>
      <c r="F229" s="2">
        <v>0</v>
      </c>
      <c r="G229" s="2">
        <v>0</v>
      </c>
      <c r="H229" s="2">
        <v>999</v>
      </c>
      <c r="I229" s="2" t="inlineStr">
        <is>
          <t>3258</t>
        </is>
      </c>
      <c r="J229" s="4"/>
      <c r="K229" s="2">
        <v>65</v>
      </c>
      <c r="L229" s="6"/>
      <c r="M229" s="2" t="str">
        <f>IF(J229="",ROUND(I229*(1-IF(ISBLANK(L229),K229,L229)/100),2),ROUND(J229*(1-IF(ISBLANK(L229),K229,L229)/100),2))</f>
      </c>
      <c r="N229" s="7" t="str">
        <f>IF(NOT(AND(J229="",L229="")),IF(OR(AND(L229&lt;&gt;"",NOT(ISNUMBER(L229))),IFERROR(MOD(L229,1),1)&gt;0,AND(ISNUMBER(L229),OR(L229&lt;0,L229&gt;95))),"Введите целое число от 0 до 95",IF(OR(AND(J229&lt;&gt;"",NOT(ISNUMBER(J229))),IFERROR(MOD(J229,1),1)&gt;0,AND(ISNUMBER(J229),OR(J229&lt;50,J229&gt;20000000))),"Введите целое число от 50 до 20000000",IF(NOT(ABS(IFERROR(VALUE(LEFT(M229,FIND("-",M229)-1)),M229)*100-(2500+2000000000)/2)&lt;=ABS(2500-2000000000)/2),"Цена со скидкой должна быть от 25 до 20000000",IF(AND(IFERROR(VALUE(LEFT(M229,FIND("-",M229)-1)),M229)*150&lt;=114030,IFERROR(VALUE(LEFT(M229,FIND("-",M229)-1)),M229)*200&gt;114030),"Вы уменьшили цену в несколько раз, товар попадет в карантин цен",IF(IFERROR(VALUE(LEFT(M229,FIND("-",M229)-1)),M229)*200&lt;=114030,"Не сохранили изменения, чтобы защитить от ошибки — новые цены меньше текущих более чем в 2 раза. Снижайте их постепенно",IF(AND(IFERROR(VALUE(I229),0)=0,ISNUMBER(J229),OR(J229&lt;411,ABS(IFERROR(VALUE(LEFT(M229,FIND("-",M229)-1)),M229))*100&lt;41100)),"Проверьте цену товара. Большинство товаров в выбранной категории стоят дороже 411","")))))),"")</f>
      </c>
    </row>
    <row r="230">
      <c r="A230" s="2" t="inlineStr">
        <is>
          <t/>
        </is>
      </c>
      <c r="B230" s="2" t="inlineStr">
        <is>
          <t>Перчатки хозяйственные</t>
        </is>
      </c>
      <c r="C230" s="2">
        <v>618362524</v>
      </c>
      <c r="D230" s="2" t="inlineStr">
        <is>
          <t>790784</t>
        </is>
      </c>
      <c r="E230" s="2" t="inlineStr">
        <is>
          <t>2047308267108</t>
        </is>
      </c>
      <c r="F230" s="2">
        <v>0</v>
      </c>
      <c r="G230" s="2">
        <v>25</v>
      </c>
      <c r="H230" s="2" t="inlineStr">
        <is>
          <t/>
        </is>
      </c>
      <c r="I230" s="2" t="inlineStr">
        <is>
          <t>4333</t>
        </is>
      </c>
      <c r="J230" s="4"/>
      <c r="K230" s="2">
        <v>65</v>
      </c>
      <c r="L230" s="6"/>
      <c r="M230" s="2" t="str">
        <f>IF(J230="",ROUND(I230*(1-IF(ISBLANK(L230),K230,L230)/100),2),ROUND(J230*(1-IF(ISBLANK(L230),K230,L230)/100),2))</f>
      </c>
      <c r="N230" s="7" t="str">
        <f>IF(NOT(AND(J230="",L230="")),IF(OR(AND(L230&lt;&gt;"",NOT(ISNUMBER(L230))),IFERROR(MOD(L230,1),1)&gt;0,AND(ISNUMBER(L230),OR(L230&lt;0,L230&gt;95))),"Введите целое число от 0 до 95",IF(OR(AND(J230&lt;&gt;"",NOT(ISNUMBER(J230))),IFERROR(MOD(J230,1),1)&gt;0,AND(ISNUMBER(J230),OR(J230&lt;50,J230&gt;20000000))),"Введите целое число от 50 до 20000000",IF(NOT(ABS(IFERROR(VALUE(LEFT(M230,FIND("-",M230)-1)),M230)*100-(2500+2000000000)/2)&lt;=ABS(2500-2000000000)/2),"Цена со скидкой должна быть от 25 до 20000000",IF(AND(IFERROR(VALUE(LEFT(M230,FIND("-",M230)-1)),M230)*150&lt;=151655,IFERROR(VALUE(LEFT(M230,FIND("-",M230)-1)),M230)*200&gt;151655),"Вы уменьшили цену в несколько раз, товар попадет в карантин цен",IF(IFERROR(VALUE(LEFT(M230,FIND("-",M230)-1)),M230)*200&lt;=151655,"Не сохранили изменения, чтобы защитить от ошибки — новые цены меньше текущих более чем в 2 раза. Снижайте их постепенно",IF(AND(IFERROR(VALUE(I230),0)=0,ISNUMBER(J230),OR(J230&lt;227,ABS(IFERROR(VALUE(LEFT(M230,FIND("-",M230)-1)),M230))*100&lt;22700)),"Проверьте цену товара. Большинство товаров в выбранной категории стоят дороже 227","")))))),"")</f>
      </c>
    </row>
    <row r="231">
      <c r="A231" s="2" t="inlineStr">
        <is>
          <t/>
        </is>
      </c>
      <c r="B231" s="2" t="inlineStr">
        <is>
          <t>Графины</t>
        </is>
      </c>
      <c r="C231" s="2">
        <v>727362674</v>
      </c>
      <c r="D231" s="2" t="inlineStr">
        <is>
          <t>100635</t>
        </is>
      </c>
      <c r="E231" s="2" t="inlineStr">
        <is>
          <t>2048062588850</t>
        </is>
      </c>
      <c r="F231" s="2">
        <v>1</v>
      </c>
      <c r="G231" s="2">
        <v>0</v>
      </c>
      <c r="H231" s="2">
        <v>999</v>
      </c>
      <c r="I231" s="2" t="inlineStr">
        <is>
          <t>8132</t>
        </is>
      </c>
      <c r="J231" s="4"/>
      <c r="K231" s="2">
        <v>81</v>
      </c>
      <c r="L231" s="6"/>
      <c r="M231" s="2" t="str">
        <f>IF(J231="",ROUND(I231*(1-IF(ISBLANK(L231),K231,L231)/100),2),ROUND(J231*(1-IF(ISBLANK(L231),K231,L231)/100),2))</f>
      </c>
      <c r="N231" s="7" t="str">
        <f>IF(NOT(AND(J231="",L231="")),IF(OR(AND(L231&lt;&gt;"",NOT(ISNUMBER(L231))),IFERROR(MOD(L231,1),1)&gt;0,AND(ISNUMBER(L231),OR(L231&lt;0,L231&gt;95))),"Введите целое число от 0 до 95",IF(OR(AND(J231&lt;&gt;"",NOT(ISNUMBER(J231))),IFERROR(MOD(J231,1),1)&gt;0,AND(ISNUMBER(J231),OR(J231&lt;50,J231&gt;20000000))),"Введите целое число от 50 до 20000000",IF(NOT(ABS(IFERROR(VALUE(LEFT(M231,FIND("-",M231)-1)),M231)*100-(2500+2000000000)/2)&lt;=ABS(2500-2000000000)/2),"Цена со скидкой должна быть от 25 до 20000000",IF(AND(IFERROR(VALUE(LEFT(M231,FIND("-",M231)-1)),M231)*150&lt;=154507,IFERROR(VALUE(LEFT(M231,FIND("-",M231)-1)),M231)*200&gt;154507),"Вы уменьшили цену в несколько раз, товар попадет в карантин цен",IF(IFERROR(VALUE(LEFT(M231,FIND("-",M231)-1)),M231)*200&lt;=154507,"Не сохранили изменения, чтобы защитить от ошибки — новые цены меньше текущих более чем в 2 раза. Снижайте их постепенно",IF(AND(IFERROR(VALUE(I231),0)=0,ISNUMBER(J231),OR(J231&lt;458,ABS(IFERROR(VALUE(LEFT(M231,FIND("-",M231)-1)),M231))*100&lt;45800)),"Проверьте цену товара. Большинство товаров в выбранной категории стоят дороже 458","")))))),"")</f>
      </c>
    </row>
    <row r="232">
      <c r="A232" s="2" t="inlineStr">
        <is>
          <t>Veloria</t>
        </is>
      </c>
      <c r="B232" s="2" t="inlineStr">
        <is>
          <t>Накладки-протекторы для мебели</t>
        </is>
      </c>
      <c r="C232" s="2">
        <v>248464233</v>
      </c>
      <c r="D232" s="2" t="inlineStr">
        <is>
          <t>513129</t>
        </is>
      </c>
      <c r="E232" s="2" t="inlineStr">
        <is>
          <t>4670294452562</t>
        </is>
      </c>
      <c r="F232" s="2">
        <v>0</v>
      </c>
      <c r="G232" s="2">
        <v>0</v>
      </c>
      <c r="H232" s="2">
        <v>1</v>
      </c>
      <c r="I232" s="2" t="inlineStr">
        <is>
          <t>1668</t>
        </is>
      </c>
      <c r="J232" s="4"/>
      <c r="K232" s="2">
        <v>65</v>
      </c>
      <c r="L232" s="6"/>
      <c r="M232" s="2" t="str">
        <f>IF(J232="",ROUND(I232*(1-IF(ISBLANK(L232),K232,L232)/100),2),ROUND(J232*(1-IF(ISBLANK(L232),K232,L232)/100),2))</f>
      </c>
      <c r="N232" s="7" t="str">
        <f>IF(NOT(AND(J232="",L232="")),IF(OR(AND(L232&lt;&gt;"",NOT(ISNUMBER(L232))),IFERROR(MOD(L232,1),1)&gt;0,AND(ISNUMBER(L232),OR(L232&lt;0,L232&gt;95))),"Введите целое число от 0 до 95",IF(OR(AND(J232&lt;&gt;"",NOT(ISNUMBER(J232))),IFERROR(MOD(J232,1),1)&gt;0,AND(ISNUMBER(J232),OR(J232&lt;50,J232&gt;20000000))),"Введите целое число от 50 до 20000000",IF(NOT(ABS(IFERROR(VALUE(LEFT(M232,FIND("-",M232)-1)),M232)*100-(2500+2000000000)/2)&lt;=ABS(2500-2000000000)/2),"Цена со скидкой должна быть от 25 до 20000000",IF(AND(IFERROR(VALUE(LEFT(M232,FIND("-",M232)-1)),M232)*150&lt;=58379,IFERROR(VALUE(LEFT(M232,FIND("-",M232)-1)),M232)*200&gt;58379),"Вы уменьшили цену в несколько раз, товар попадет в карантин цен",IF(IFERROR(VALUE(LEFT(M232,FIND("-",M232)-1)),M232)*200&lt;=58379,"Не сохранили изменения, чтобы защитить от ошибки — новые цены меньше текущих более чем в 2 раза. Снижайте их постепенно",IF(AND(IFERROR(VALUE(I232),0)=0,ISNUMBER(J232),OR(J232&lt;190,ABS(IFERROR(VALUE(LEFT(M232,FIND("-",M232)-1)),M232))*100&lt;19000)),"Проверьте цену товара. Большинство товаров в выбранной категории стоят дороже 190","")))))),"")</f>
      </c>
    </row>
    <row r="233">
      <c r="A233" s="2" t="inlineStr">
        <is>
          <t>Pasabahce</t>
        </is>
      </c>
      <c r="B233" s="2" t="inlineStr">
        <is>
          <t>Графины</t>
        </is>
      </c>
      <c r="C233" s="2">
        <v>253397438</v>
      </c>
      <c r="D233" s="2" t="inlineStr">
        <is>
          <t>121819</t>
        </is>
      </c>
      <c r="E233" s="2" t="inlineStr">
        <is>
          <t>2040952090795</t>
        </is>
      </c>
      <c r="F233" s="2">
        <v>0</v>
      </c>
      <c r="G233" s="2">
        <v>0</v>
      </c>
      <c r="H233" s="2">
        <v>999</v>
      </c>
      <c r="I233" s="2" t="inlineStr">
        <is>
          <t>3075</t>
        </is>
      </c>
      <c r="J233" s="4"/>
      <c r="K233" s="2">
        <v>65</v>
      </c>
      <c r="L233" s="6"/>
      <c r="M233" s="2" t="str">
        <f>IF(J233="",ROUND(I233*(1-IF(ISBLANK(L233),K233,L233)/100),2),ROUND(J233*(1-IF(ISBLANK(L233),K233,L233)/100),2))</f>
      </c>
      <c r="N233" s="7" t="str">
        <f>IF(NOT(AND(J233="",L233="")),IF(OR(AND(L233&lt;&gt;"",NOT(ISNUMBER(L233))),IFERROR(MOD(L233,1),1)&gt;0,AND(ISNUMBER(L233),OR(L233&lt;0,L233&gt;95))),"Введите целое число от 0 до 95",IF(OR(AND(J233&lt;&gt;"",NOT(ISNUMBER(J233))),IFERROR(MOD(J233,1),1)&gt;0,AND(ISNUMBER(J233),OR(J233&lt;50,J233&gt;20000000))),"Введите целое число от 50 до 20000000",IF(NOT(ABS(IFERROR(VALUE(LEFT(M233,FIND("-",M233)-1)),M233)*100-(2500+2000000000)/2)&lt;=ABS(2500-2000000000)/2),"Цена со скидкой должна быть от 25 до 20000000",IF(AND(IFERROR(VALUE(LEFT(M233,FIND("-",M233)-1)),M233)*150&lt;=107625,IFERROR(VALUE(LEFT(M233,FIND("-",M233)-1)),M233)*200&gt;107625),"Вы уменьшили цену в несколько раз, товар попадет в карантин цен",IF(IFERROR(VALUE(LEFT(M233,FIND("-",M233)-1)),M233)*200&lt;=107625,"Не сохранили изменения, чтобы защитить от ошибки — новые цены меньше текущих более чем в 2 раза. Снижайте их постепенно",IF(AND(IFERROR(VALUE(I233),0)=0,ISNUMBER(J233),OR(J233&lt;458,ABS(IFERROR(VALUE(LEFT(M233,FIND("-",M233)-1)),M233))*100&lt;45800)),"Проверьте цену товара. Большинство товаров в выбранной категории стоят дороже 458","")))))),"")</f>
      </c>
    </row>
    <row r="234">
      <c r="A234" s="2" t="inlineStr">
        <is>
          <t>Luxaro</t>
        </is>
      </c>
      <c r="B234" s="2" t="inlineStr">
        <is>
          <t>Салатники</t>
        </is>
      </c>
      <c r="C234" s="2">
        <v>253240296</v>
      </c>
      <c r="D234" s="2" t="inlineStr">
        <is>
          <t>072152</t>
        </is>
      </c>
      <c r="E234" s="2" t="inlineStr">
        <is>
          <t>2040948748334</t>
        </is>
      </c>
      <c r="F234" s="2">
        <v>3</v>
      </c>
      <c r="G234" s="2">
        <v>0</v>
      </c>
      <c r="H234" s="2">
        <v>999</v>
      </c>
      <c r="I234" s="2" t="inlineStr">
        <is>
          <t>2308</t>
        </is>
      </c>
      <c r="J234" s="4"/>
      <c r="K234" s="2">
        <v>78</v>
      </c>
      <c r="L234" s="6"/>
      <c r="M234" s="2" t="str">
        <f>IF(J234="",ROUND(I234*(1-IF(ISBLANK(L234),K234,L234)/100),2),ROUND(J234*(1-IF(ISBLANK(L234),K234,L234)/100),2))</f>
      </c>
      <c r="N234" s="7" t="str">
        <f>IF(NOT(AND(J234="",L234="")),IF(OR(AND(L234&lt;&gt;"",NOT(ISNUMBER(L234))),IFERROR(MOD(L234,1),1)&gt;0,AND(ISNUMBER(L234),OR(L234&lt;0,L234&gt;95))),"Введите целое число от 0 до 95",IF(OR(AND(J234&lt;&gt;"",NOT(ISNUMBER(J234))),IFERROR(MOD(J234,1),1)&gt;0,AND(ISNUMBER(J234),OR(J234&lt;50,J234&gt;20000000))),"Введите целое число от 50 до 20000000",IF(NOT(ABS(IFERROR(VALUE(LEFT(M234,FIND("-",M234)-1)),M234)*100-(2500+2000000000)/2)&lt;=ABS(2500-2000000000)/2),"Цена со скидкой должна быть от 25 до 20000000",IF(AND(IFERROR(VALUE(LEFT(M234,FIND("-",M234)-1)),M234)*150&lt;=50775,IFERROR(VALUE(LEFT(M234,FIND("-",M234)-1)),M234)*200&gt;50775),"Вы уменьшили цену в несколько раз, товар попадет в карантин цен",IF(IFERROR(VALUE(LEFT(M234,FIND("-",M234)-1)),M234)*200&lt;=50775,"Не сохранили изменения, чтобы защитить от ошибки — новые цены меньше текущих более чем в 2 раза. Снижайте их постепенно",IF(AND(IFERROR(VALUE(I234),0)=0,ISNUMBER(J234),OR(J234&lt;438,ABS(IFERROR(VALUE(LEFT(M234,FIND("-",M234)-1)),M234))*100&lt;43800)),"Проверьте цену товара. Большинство товаров в выбранной категории стоят дороже 438","")))))),"")</f>
      </c>
    </row>
    <row r="235">
      <c r="A235" s="2" t="inlineStr">
        <is>
          <t>Veloria</t>
        </is>
      </c>
      <c r="B235" s="2" t="inlineStr">
        <is>
          <t>Прищепки декоративные</t>
        </is>
      </c>
      <c r="C235" s="2">
        <v>248580547</v>
      </c>
      <c r="D235" s="2" t="inlineStr">
        <is>
          <t>522776</t>
        </is>
      </c>
      <c r="E235" s="2" t="inlineStr">
        <is>
          <t>4670294452548</t>
        </is>
      </c>
      <c r="F235" s="2">
        <v>3</v>
      </c>
      <c r="G235" s="2">
        <v>0</v>
      </c>
      <c r="H235" s="2">
        <v>110</v>
      </c>
      <c r="I235" s="2" t="inlineStr">
        <is>
          <t>1960</t>
        </is>
      </c>
      <c r="J235" s="4"/>
      <c r="K235" s="2">
        <v>80</v>
      </c>
      <c r="L235" s="6"/>
      <c r="M235" s="2" t="str">
        <f>IF(J235="",ROUND(I235*(1-IF(ISBLANK(L235),K235,L235)/100),2),ROUND(J235*(1-IF(ISBLANK(L235),K235,L235)/100),2))</f>
      </c>
      <c r="N235" s="7" t="str">
        <f>IF(NOT(AND(J235="",L235="")),IF(OR(AND(L235&lt;&gt;"",NOT(ISNUMBER(L235))),IFERROR(MOD(L235,1),1)&gt;0,AND(ISNUMBER(L235),OR(L235&lt;0,L235&gt;95))),"Введите целое число от 0 до 95",IF(OR(AND(J235&lt;&gt;"",NOT(ISNUMBER(J235))),IFERROR(MOD(J235,1),1)&gt;0,AND(ISNUMBER(J235),OR(J235&lt;50,J235&gt;20000000))),"Введите целое число от 50 до 20000000",IF(NOT(ABS(IFERROR(VALUE(LEFT(M235,FIND("-",M235)-1)),M235)*100-(2500+2000000000)/2)&lt;=ABS(2500-2000000000)/2),"Цена со скидкой должна быть от 25 до 20000000",IF(AND(IFERROR(VALUE(LEFT(M235,FIND("-",M235)-1)),M235)*150&lt;=39199,IFERROR(VALUE(LEFT(M235,FIND("-",M235)-1)),M235)*200&gt;39199),"Вы уменьшили цену в несколько раз, товар попадет в карантин цен",IF(IFERROR(VALUE(LEFT(M235,FIND("-",M235)-1)),M235)*200&lt;=39199,"Не сохранили изменения, чтобы защитить от ошибки — новые цены меньше текущих более чем в 2 раза. Снижайте их постепенно",IF(AND(IFERROR(VALUE(I235),0)=0,ISNUMBER(J235),OR(J235&lt;180,ABS(IFERROR(VALUE(LEFT(M235,FIND("-",M235)-1)),M235))*100&lt;18000)),"Проверьте цену товара. Большинство товаров в выбранной категории стоят дороже 180","")))))),"")</f>
      </c>
    </row>
    <row r="236">
      <c r="A236" s="2" t="inlineStr">
        <is>
          <t>Veloria</t>
        </is>
      </c>
      <c r="B236" s="2" t="inlineStr">
        <is>
          <t>Накладки-протекторы для мебели</t>
        </is>
      </c>
      <c r="C236" s="2">
        <v>248463752</v>
      </c>
      <c r="D236" s="2" t="inlineStr">
        <is>
          <t>513130</t>
        </is>
      </c>
      <c r="E236" s="2" t="inlineStr">
        <is>
          <t>4670294452555</t>
        </is>
      </c>
      <c r="F236" s="2">
        <v>3</v>
      </c>
      <c r="G236" s="2">
        <v>0</v>
      </c>
      <c r="H236" s="2">
        <v>999</v>
      </c>
      <c r="I236" s="2" t="inlineStr">
        <is>
          <t>1384</t>
        </is>
      </c>
      <c r="J236" s="4"/>
      <c r="K236" s="2">
        <v>80</v>
      </c>
      <c r="L236" s="6"/>
      <c r="M236" s="2" t="str">
        <f>IF(J236="",ROUND(I236*(1-IF(ISBLANK(L236),K236,L236)/100),2),ROUND(J236*(1-IF(ISBLANK(L236),K236,L236)/100),2))</f>
      </c>
      <c r="N236" s="7" t="str">
        <f>IF(NOT(AND(J236="",L236="")),IF(OR(AND(L236&lt;&gt;"",NOT(ISNUMBER(L236))),IFERROR(MOD(L236,1),1)&gt;0,AND(ISNUMBER(L236),OR(L236&lt;0,L236&gt;95))),"Введите целое число от 0 до 95",IF(OR(AND(J236&lt;&gt;"",NOT(ISNUMBER(J236))),IFERROR(MOD(J236,1),1)&gt;0,AND(ISNUMBER(J236),OR(J236&lt;50,J236&gt;20000000))),"Введите целое число от 50 до 20000000",IF(NOT(ABS(IFERROR(VALUE(LEFT(M236,FIND("-",M236)-1)),M236)*100-(2500+2000000000)/2)&lt;=ABS(2500-2000000000)/2),"Цена со скидкой должна быть от 25 до 20000000",IF(AND(IFERROR(VALUE(LEFT(M236,FIND("-",M236)-1)),M236)*150&lt;=27679,IFERROR(VALUE(LEFT(M236,FIND("-",M236)-1)),M236)*200&gt;27679),"Вы уменьшили цену в несколько раз, товар попадет в карантин цен",IF(IFERROR(VALUE(LEFT(M236,FIND("-",M236)-1)),M236)*200&lt;=27679,"Не сохранили изменения, чтобы защитить от ошибки — новые цены меньше текущих более чем в 2 раза. Снижайте их постепенно",IF(AND(IFERROR(VALUE(I236),0)=0,ISNUMBER(J236),OR(J236&lt;190,ABS(IFERROR(VALUE(LEFT(M236,FIND("-",M236)-1)),M236))*100&lt;19000)),"Проверьте цену товара. Большинство товаров в выбранной категории стоят дороже 190","")))))),"")</f>
      </c>
    </row>
    <row r="237">
      <c r="A237" s="2" t="inlineStr">
        <is>
          <t>Veloria</t>
        </is>
      </c>
      <c r="B237" s="2" t="inlineStr">
        <is>
          <t>Искусственные растения</t>
        </is>
      </c>
      <c r="C237" s="2">
        <v>249182055</v>
      </c>
      <c r="D237" s="2" t="inlineStr">
        <is>
          <t>600364</t>
        </is>
      </c>
      <c r="E237" s="2" t="inlineStr">
        <is>
          <t>4680638701317</t>
        </is>
      </c>
      <c r="F237" s="2">
        <v>0</v>
      </c>
      <c r="G237" s="2">
        <v>0</v>
      </c>
      <c r="H237" s="2">
        <v>999</v>
      </c>
      <c r="I237" s="2" t="inlineStr">
        <is>
          <t>1566</t>
        </is>
      </c>
      <c r="J237" s="4"/>
      <c r="K237" s="2">
        <v>65</v>
      </c>
      <c r="L237" s="6"/>
      <c r="M237" s="2" t="str">
        <f>IF(J237="",ROUND(I237*(1-IF(ISBLANK(L237),K237,L237)/100),2),ROUND(J237*(1-IF(ISBLANK(L237),K237,L237)/100),2))</f>
      </c>
      <c r="N237" s="7" t="str">
        <f>IF(NOT(AND(J237="",L237="")),IF(OR(AND(L237&lt;&gt;"",NOT(ISNUMBER(L237))),IFERROR(MOD(L237,1),1)&gt;0,AND(ISNUMBER(L237),OR(L237&lt;0,L237&gt;95))),"Введите целое число от 0 до 95",IF(OR(AND(J237&lt;&gt;"",NOT(ISNUMBER(J237))),IFERROR(MOD(J237,1),1)&gt;0,AND(ISNUMBER(J237),OR(J237&lt;50,J237&gt;20000000))),"Введите целое число от 50 до 20000000",IF(NOT(ABS(IFERROR(VALUE(LEFT(M237,FIND("-",M237)-1)),M237)*100-(2500+2000000000)/2)&lt;=ABS(2500-2000000000)/2),"Цена со скидкой должна быть от 25 до 20000000",IF(AND(IFERROR(VALUE(LEFT(M237,FIND("-",M237)-1)),M237)*150&lt;=54809,IFERROR(VALUE(LEFT(M237,FIND("-",M237)-1)),M237)*200&gt;54809),"Вы уменьшили цену в несколько раз, товар попадет в карантин цен",IF(IFERROR(VALUE(LEFT(M237,FIND("-",M237)-1)),M237)*200&lt;=54809,"Не сохранили изменения, чтобы защитить от ошибки — новые цены меньше текущих более чем в 2 раза. Снижайте их постепенно",IF(AND(IFERROR(VALUE(I237),0)=0,ISNUMBER(J237),OR(J237&lt;220,ABS(IFERROR(VALUE(LEFT(M237,FIND("-",M237)-1)),M237))*100&lt;22000)),"Проверьте цену товара. Большинство товаров в выбранной категории стоят дороже 220","")))))),"")</f>
      </c>
    </row>
    <row r="238">
      <c r="A238" s="2" t="inlineStr">
        <is>
          <t/>
        </is>
      </c>
      <c r="B238" s="2" t="inlineStr">
        <is>
          <t>Пассатижи</t>
        </is>
      </c>
      <c r="C238" s="2">
        <v>619503604</v>
      </c>
      <c r="D238" s="2" t="inlineStr">
        <is>
          <t>891055</t>
        </is>
      </c>
      <c r="E238" s="2" t="inlineStr">
        <is>
          <t>2047325145779</t>
        </is>
      </c>
      <c r="F238" s="2">
        <v>41</v>
      </c>
      <c r="G238" s="2">
        <v>0</v>
      </c>
      <c r="H238" s="2">
        <v>999</v>
      </c>
      <c r="I238" s="2" t="inlineStr">
        <is>
          <t>2060</t>
        </is>
      </c>
      <c r="J238" s="4"/>
      <c r="K238" s="2">
        <v>83</v>
      </c>
      <c r="L238" s="6"/>
      <c r="M238" s="2" t="str">
        <f>IF(J238="",ROUND(I238*(1-IF(ISBLANK(L238),K238,L238)/100),2),ROUND(J238*(1-IF(ISBLANK(L238),K238,L238)/100),2))</f>
      </c>
      <c r="N238" s="7" t="str">
        <f>IF(NOT(AND(J238="",L238="")),IF(OR(AND(L238&lt;&gt;"",NOT(ISNUMBER(L238))),IFERROR(MOD(L238,1),1)&gt;0,AND(ISNUMBER(L238),OR(L238&lt;0,L238&gt;95))),"Введите целое число от 0 до 95",IF(OR(AND(J238&lt;&gt;"",NOT(ISNUMBER(J238))),IFERROR(MOD(J238,1),1)&gt;0,AND(ISNUMBER(J238),OR(J238&lt;50,J238&gt;20000000))),"Введите целое число от 50 до 20000000",IF(NOT(ABS(IFERROR(VALUE(LEFT(M238,FIND("-",M238)-1)),M238)*100-(2500+2000000000)/2)&lt;=ABS(2500-2000000000)/2),"Цена со скидкой должна быть от 25 до 20000000",IF(AND(IFERROR(VALUE(LEFT(M238,FIND("-",M238)-1)),M238)*150&lt;=35020,IFERROR(VALUE(LEFT(M238,FIND("-",M238)-1)),M238)*200&gt;35020),"Вы уменьшили цену в несколько раз, товар попадет в карантин цен",IF(IFERROR(VALUE(LEFT(M238,FIND("-",M238)-1)),M238)*200&lt;=35020,"Не сохранили изменения, чтобы защитить от ошибки — новые цены меньше текущих более чем в 2 раза. Снижайте их постепенно",IF(AND(IFERROR(VALUE(I238),0)=0,ISNUMBER(J238),OR(J238&lt;197,ABS(IFERROR(VALUE(LEFT(M238,FIND("-",M238)-1)),M238))*100&lt;19700)),"Проверьте цену товара. Большинство товаров в выбранной категории стоят дороже 197","")))))),"")</f>
      </c>
    </row>
    <row r="239">
      <c r="A239" s="2" t="inlineStr">
        <is>
          <t/>
        </is>
      </c>
      <c r="B239" s="2" t="inlineStr">
        <is>
          <t>Подносы</t>
        </is>
      </c>
      <c r="C239" s="2">
        <v>600630472</v>
      </c>
      <c r="D239" s="2" t="inlineStr">
        <is>
          <t>93778</t>
        </is>
      </c>
      <c r="E239" s="2" t="inlineStr">
        <is>
          <t>2047129101926</t>
        </is>
      </c>
      <c r="F239" s="2">
        <v>0</v>
      </c>
      <c r="G239" s="2">
        <v>0</v>
      </c>
      <c r="H239" s="2" t="inlineStr">
        <is>
          <t/>
        </is>
      </c>
      <c r="I239" s="2" t="inlineStr">
        <is>
          <t>11542</t>
        </is>
      </c>
      <c r="J239" s="4"/>
      <c r="K239" s="2">
        <v>65</v>
      </c>
      <c r="L239" s="6"/>
      <c r="M239" s="2" t="str">
        <f>IF(J239="",ROUND(I239*(1-IF(ISBLANK(L239),K239,L239)/100),2),ROUND(J239*(1-IF(ISBLANK(L239),K239,L239)/100),2))</f>
      </c>
      <c r="N239" s="7" t="str">
        <f>IF(NOT(AND(J239="",L239="")),IF(OR(AND(L239&lt;&gt;"",NOT(ISNUMBER(L239))),IFERROR(MOD(L239,1),1)&gt;0,AND(ISNUMBER(L239),OR(L239&lt;0,L239&gt;95))),"Введите целое число от 0 до 95",IF(OR(AND(J239&lt;&gt;"",NOT(ISNUMBER(J239))),IFERROR(MOD(J239,1),1)&gt;0,AND(ISNUMBER(J239),OR(J239&lt;50,J239&gt;20000000))),"Введите целое число от 50 до 20000000",IF(NOT(ABS(IFERROR(VALUE(LEFT(M239,FIND("-",M239)-1)),M239)*100-(2500+2000000000)/2)&lt;=ABS(2500-2000000000)/2),"Цена со скидкой должна быть от 25 до 20000000",IF(AND(IFERROR(VALUE(LEFT(M239,FIND("-",M239)-1)),M239)*150&lt;=403970,IFERROR(VALUE(LEFT(M239,FIND("-",M239)-1)),M239)*200&gt;403970),"Вы уменьшили цену в несколько раз, товар попадет в карантин цен",IF(IFERROR(VALUE(LEFT(M239,FIND("-",M239)-1)),M239)*200&lt;=403970,"Не сохранили изменения, чтобы защитить от ошибки — новые цены меньше текущих более чем в 2 раза. Снижайте их постепенно",IF(AND(IFERROR(VALUE(I239),0)=0,ISNUMBER(J239),OR(J239&lt;450,ABS(IFERROR(VALUE(LEFT(M239,FIND("-",M239)-1)),M239))*100&lt;45000)),"Проверьте цену товара. Большинство товаров в выбранной категории стоят дороже 450","")))))),"")</f>
      </c>
    </row>
    <row r="240">
      <c r="A240" s="2" t="inlineStr">
        <is>
          <t>Luxaro</t>
        </is>
      </c>
      <c r="B240" s="2" t="inlineStr">
        <is>
          <t>Тарелки</t>
        </is>
      </c>
      <c r="C240" s="2">
        <v>866577336</v>
      </c>
      <c r="D240" s="2" t="inlineStr">
        <is>
          <t>14009</t>
        </is>
      </c>
      <c r="E240" s="2" t="inlineStr">
        <is>
          <t>2049459720310</t>
        </is>
      </c>
      <c r="F240" s="2">
        <v>138</v>
      </c>
      <c r="G240" s="2">
        <v>2</v>
      </c>
      <c r="H240" s="2">
        <v>334</v>
      </c>
      <c r="I240" s="2" t="inlineStr">
        <is>
          <t>6775</t>
        </is>
      </c>
      <c r="J240" s="4"/>
      <c r="K240" s="2">
        <v>77</v>
      </c>
      <c r="L240" s="6"/>
      <c r="M240" s="2" t="str">
        <f>IF(J240="",ROUND(I240*(1-IF(ISBLANK(L240),K240,L240)/100),2),ROUND(J240*(1-IF(ISBLANK(L240),K240,L240)/100),2))</f>
      </c>
      <c r="N240" s="7" t="str">
        <f>IF(NOT(AND(J240="",L240="")),IF(OR(AND(L240&lt;&gt;"",NOT(ISNUMBER(L240))),IFERROR(MOD(L240,1),1)&gt;0,AND(ISNUMBER(L240),OR(L240&lt;0,L240&gt;95))),"Введите целое число от 0 до 95",IF(OR(AND(J240&lt;&gt;"",NOT(ISNUMBER(J240))),IFERROR(MOD(J240,1),1)&gt;0,AND(ISNUMBER(J240),OR(J240&lt;50,J240&gt;20000000))),"Введите целое число от 50 до 20000000",IF(NOT(ABS(IFERROR(VALUE(LEFT(M240,FIND("-",M240)-1)),M240)*100-(2500+2000000000)/2)&lt;=ABS(2500-2000000000)/2),"Цена со скидкой должна быть от 25 до 20000000",IF(AND(IFERROR(VALUE(LEFT(M240,FIND("-",M240)-1)),M240)*150&lt;=155824,IFERROR(VALUE(LEFT(M240,FIND("-",M240)-1)),M240)*200&gt;155824),"Вы уменьшили цену в несколько раз, товар попадет в карантин цен",IF(IFERROR(VALUE(LEFT(M240,FIND("-",M240)-1)),M240)*200&lt;=155824,"Не сохранили изменения, чтобы защитить от ошибки — новые цены меньше текущих более чем в 2 раза. Снижайте их постепенно",IF(AND(IFERROR(VALUE(I240),0)=0,ISNUMBER(J240),OR(J240&lt;413,ABS(IFERROR(VALUE(LEFT(M240,FIND("-",M240)-1)),M240))*100&lt;41300)),"Проверьте цену товара. Большинство товаров в выбранной категории стоят дороже 413","")))))),"")</f>
      </c>
    </row>
    <row r="241">
      <c r="A241" s="2" t="inlineStr">
        <is>
          <t>Veloria</t>
        </is>
      </c>
      <c r="B241" s="2" t="inlineStr">
        <is>
          <t>Искусственные растения</t>
        </is>
      </c>
      <c r="C241" s="2">
        <v>249182278</v>
      </c>
      <c r="D241" s="2" t="inlineStr">
        <is>
          <t>600363</t>
        </is>
      </c>
      <c r="E241" s="2" t="inlineStr">
        <is>
          <t>4680638701300</t>
        </is>
      </c>
      <c r="F241" s="2">
        <v>0</v>
      </c>
      <c r="G241" s="2">
        <v>0</v>
      </c>
      <c r="H241" s="2">
        <v>1</v>
      </c>
      <c r="I241" s="2" t="inlineStr">
        <is>
          <t>1921</t>
        </is>
      </c>
      <c r="J241" s="4"/>
      <c r="K241" s="2">
        <v>65</v>
      </c>
      <c r="L241" s="6"/>
      <c r="M241" s="2" t="str">
        <f>IF(J241="",ROUND(I241*(1-IF(ISBLANK(L241),K241,L241)/100),2),ROUND(J241*(1-IF(ISBLANK(L241),K241,L241)/100),2))</f>
      </c>
      <c r="N241" s="7" t="str">
        <f>IF(NOT(AND(J241="",L241="")),IF(OR(AND(L241&lt;&gt;"",NOT(ISNUMBER(L241))),IFERROR(MOD(L241,1),1)&gt;0,AND(ISNUMBER(L241),OR(L241&lt;0,L241&gt;95))),"Введите целое число от 0 до 95",IF(OR(AND(J241&lt;&gt;"",NOT(ISNUMBER(J241))),IFERROR(MOD(J241,1),1)&gt;0,AND(ISNUMBER(J241),OR(J241&lt;50,J241&gt;20000000))),"Введите целое число от 50 до 20000000",IF(NOT(ABS(IFERROR(VALUE(LEFT(M241,FIND("-",M241)-1)),M241)*100-(2500+2000000000)/2)&lt;=ABS(2500-2000000000)/2),"Цена со скидкой должна быть от 25 до 20000000",IF(AND(IFERROR(VALUE(LEFT(M241,FIND("-",M241)-1)),M241)*150&lt;=67234,IFERROR(VALUE(LEFT(M241,FIND("-",M241)-1)),M241)*200&gt;67234),"Вы уменьшили цену в несколько раз, товар попадет в карантин цен",IF(IFERROR(VALUE(LEFT(M241,FIND("-",M241)-1)),M241)*200&lt;=67234,"Не сохранили изменения, чтобы защитить от ошибки — новые цены меньше текущих более чем в 2 раза. Снижайте их постепенно",IF(AND(IFERROR(VALUE(I241),0)=0,ISNUMBER(J241),OR(J241&lt;220,ABS(IFERROR(VALUE(LEFT(M241,FIND("-",M241)-1)),M241))*100&lt;22000)),"Проверьте цену товара. Большинство товаров в выбранной категории стоят дороже 220","")))))),"")</f>
      </c>
    </row>
    <row r="242">
      <c r="A242" s="2" t="inlineStr">
        <is>
          <t>Luxaro</t>
        </is>
      </c>
      <c r="B242" s="2" t="inlineStr">
        <is>
          <t>Тарелки</t>
        </is>
      </c>
      <c r="C242" s="2">
        <v>866577343</v>
      </c>
      <c r="D242" s="2" t="inlineStr">
        <is>
          <t>14002</t>
        </is>
      </c>
      <c r="E242" s="2" t="inlineStr">
        <is>
          <t>2049459720471</t>
        </is>
      </c>
      <c r="F242" s="2">
        <v>98</v>
      </c>
      <c r="G242" s="2">
        <v>96</v>
      </c>
      <c r="H242" s="2">
        <v>33</v>
      </c>
      <c r="I242" s="2" t="inlineStr">
        <is>
          <t>5354</t>
        </is>
      </c>
      <c r="J242" s="4"/>
      <c r="K242" s="2">
        <v>77</v>
      </c>
      <c r="L242" s="6"/>
      <c r="M242" s="2" t="str">
        <f>IF(J242="",ROUND(I242*(1-IF(ISBLANK(L242),K242,L242)/100),2),ROUND(J242*(1-IF(ISBLANK(L242),K242,L242)/100),2))</f>
      </c>
      <c r="N242" s="7" t="str">
        <f>IF(NOT(AND(J242="",L242="")),IF(OR(AND(L242&lt;&gt;"",NOT(ISNUMBER(L242))),IFERROR(MOD(L242,1),1)&gt;0,AND(ISNUMBER(L242),OR(L242&lt;0,L242&gt;95))),"Введите целое число от 0 до 95",IF(OR(AND(J242&lt;&gt;"",NOT(ISNUMBER(J242))),IFERROR(MOD(J242,1),1)&gt;0,AND(ISNUMBER(J242),OR(J242&lt;50,J242&gt;20000000))),"Введите целое число от 50 до 20000000",IF(NOT(ABS(IFERROR(VALUE(LEFT(M242,FIND("-",M242)-1)),M242)*100-(2500+2000000000)/2)&lt;=ABS(2500-2000000000)/2),"Цена со скидкой должна быть от 25 до 20000000",IF(AND(IFERROR(VALUE(LEFT(M242,FIND("-",M242)-1)),M242)*150&lt;=123141,IFERROR(VALUE(LEFT(M242,FIND("-",M242)-1)),M242)*200&gt;123141),"Вы уменьшили цену в несколько раз, товар попадет в карантин цен",IF(IFERROR(VALUE(LEFT(M242,FIND("-",M242)-1)),M242)*200&lt;=123141,"Не сохранили изменения, чтобы защитить от ошибки — новые цены меньше текущих более чем в 2 раза. Снижайте их постепенно",IF(AND(IFERROR(VALUE(I242),0)=0,ISNUMBER(J242),OR(J242&lt;413,ABS(IFERROR(VALUE(LEFT(M242,FIND("-",M242)-1)),M242))*100&lt;41300)),"Проверьте цену товара. Большинство товаров в выбранной категории стоят дороже 413","")))))),"")</f>
      </c>
    </row>
    <row r="243">
      <c r="A243" s="2" t="inlineStr">
        <is>
          <t>Veloria</t>
        </is>
      </c>
      <c r="B243" s="2" t="inlineStr">
        <is>
          <t>Искусственные растения</t>
        </is>
      </c>
      <c r="C243" s="2">
        <v>249183145</v>
      </c>
      <c r="D243" s="2" t="inlineStr">
        <is>
          <t>600362</t>
        </is>
      </c>
      <c r="E243" s="2" t="inlineStr">
        <is>
          <t>4680638701294</t>
        </is>
      </c>
      <c r="F243" s="2">
        <v>16</v>
      </c>
      <c r="G243" s="2">
        <v>0</v>
      </c>
      <c r="H243" s="2">
        <v>999</v>
      </c>
      <c r="I243" s="2" t="inlineStr">
        <is>
          <t>2400</t>
        </is>
      </c>
      <c r="J243" s="4"/>
      <c r="K243" s="2">
        <v>79</v>
      </c>
      <c r="L243" s="6"/>
      <c r="M243" s="2" t="str">
        <f>IF(J243="",ROUND(I243*(1-IF(ISBLANK(L243),K243,L243)/100),2),ROUND(J243*(1-IF(ISBLANK(L243),K243,L243)/100),2))</f>
      </c>
      <c r="N243" s="7" t="str">
        <f>IF(NOT(AND(J243="",L243="")),IF(OR(AND(L243&lt;&gt;"",NOT(ISNUMBER(L243))),IFERROR(MOD(L243,1),1)&gt;0,AND(ISNUMBER(L243),OR(L243&lt;0,L243&gt;95))),"Введите целое число от 0 до 95",IF(OR(AND(J243&lt;&gt;"",NOT(ISNUMBER(J243))),IFERROR(MOD(J243,1),1)&gt;0,AND(ISNUMBER(J243),OR(J243&lt;50,J243&gt;20000000))),"Введите целое число от 50 до 20000000",IF(NOT(ABS(IFERROR(VALUE(LEFT(M243,FIND("-",M243)-1)),M243)*100-(2500+2000000000)/2)&lt;=ABS(2500-2000000000)/2),"Цена со скидкой должна быть от 25 до 20000000",IF(AND(IFERROR(VALUE(LEFT(M243,FIND("-",M243)-1)),M243)*150&lt;=50399,IFERROR(VALUE(LEFT(M243,FIND("-",M243)-1)),M243)*200&gt;50399),"Вы уменьшили цену в несколько раз, товар попадет в карантин цен",IF(IFERROR(VALUE(LEFT(M243,FIND("-",M243)-1)),M243)*200&lt;=50399,"Не сохранили изменения, чтобы защитить от ошибки — новые цены меньше текущих более чем в 2 раза. Снижайте их постепенно",IF(AND(IFERROR(VALUE(I243),0)=0,ISNUMBER(J243),OR(J243&lt;220,ABS(IFERROR(VALUE(LEFT(M243,FIND("-",M243)-1)),M243))*100&lt;22000)),"Проверьте цену товара. Большинство товаров в выбранной категории стоят дороже 220","")))))),"")</f>
      </c>
    </row>
    <row r="244">
      <c r="A244" s="2" t="inlineStr">
        <is>
          <t>Luxaro</t>
        </is>
      </c>
      <c r="B244" s="2" t="inlineStr">
        <is>
          <t>Тарелки</t>
        </is>
      </c>
      <c r="C244" s="2">
        <v>611901052</v>
      </c>
      <c r="D244" s="2" t="inlineStr">
        <is>
          <t>700590</t>
        </is>
      </c>
      <c r="E244" s="2" t="inlineStr">
        <is>
          <t>2047237190553</t>
        </is>
      </c>
      <c r="F244" s="2">
        <v>247</v>
      </c>
      <c r="G244" s="2">
        <v>3</v>
      </c>
      <c r="H244" s="2">
        <v>34</v>
      </c>
      <c r="I244" s="2" t="inlineStr">
        <is>
          <t>5475</t>
        </is>
      </c>
      <c r="J244" s="4"/>
      <c r="K244" s="2">
        <v>77</v>
      </c>
      <c r="L244" s="6"/>
      <c r="M244" s="2" t="str">
        <f>IF(J244="",ROUND(I244*(1-IF(ISBLANK(L244),K244,L244)/100),2),ROUND(J244*(1-IF(ISBLANK(L244),K244,L244)/100),2))</f>
      </c>
      <c r="N244" s="7" t="str">
        <f>IF(NOT(AND(J244="",L244="")),IF(OR(AND(L244&lt;&gt;"",NOT(ISNUMBER(L244))),IFERROR(MOD(L244,1),1)&gt;0,AND(ISNUMBER(L244),OR(L244&lt;0,L244&gt;95))),"Введите целое число от 0 до 95",IF(OR(AND(J244&lt;&gt;"",NOT(ISNUMBER(J244))),IFERROR(MOD(J244,1),1)&gt;0,AND(ISNUMBER(J244),OR(J244&lt;50,J244&gt;20000000))),"Введите целое число от 50 до 20000000",IF(NOT(ABS(IFERROR(VALUE(LEFT(M244,FIND("-",M244)-1)),M244)*100-(2500+2000000000)/2)&lt;=ABS(2500-2000000000)/2),"Цена со скидкой должна быть от 25 до 20000000",IF(AND(IFERROR(VALUE(LEFT(M244,FIND("-",M244)-1)),M244)*150&lt;=125925,IFERROR(VALUE(LEFT(M244,FIND("-",M244)-1)),M244)*200&gt;125925),"Вы уменьшили цену в несколько раз, товар попадет в карантин цен",IF(IFERROR(VALUE(LEFT(M244,FIND("-",M244)-1)),M244)*200&lt;=125925,"Не сохранили изменения, чтобы защитить от ошибки — новые цены меньше текущих более чем в 2 раза. Снижайте их постепенно",IF(AND(IFERROR(VALUE(I244),0)=0,ISNUMBER(J244),OR(J244&lt;413,ABS(IFERROR(VALUE(LEFT(M244,FIND("-",M244)-1)),M244))*100&lt;41300)),"Проверьте цену товара. Большинство товаров в выбранной категории стоят дороже 413","")))))),"")</f>
      </c>
    </row>
    <row r="245">
      <c r="A245" s="2" t="inlineStr">
        <is>
          <t>Luxaro</t>
        </is>
      </c>
      <c r="B245" s="2" t="inlineStr">
        <is>
          <t>Тарелки</t>
        </is>
      </c>
      <c r="C245" s="2">
        <v>608869950</v>
      </c>
      <c r="D245" s="2" t="inlineStr">
        <is>
          <t>69321</t>
        </is>
      </c>
      <c r="E245" s="2" t="inlineStr">
        <is>
          <t>2047215417122</t>
        </is>
      </c>
      <c r="F245" s="2">
        <v>0</v>
      </c>
      <c r="G245" s="2">
        <v>0</v>
      </c>
      <c r="H245" s="2">
        <v>1</v>
      </c>
      <c r="I245" s="2" t="inlineStr">
        <is>
          <t>5048</t>
        </is>
      </c>
      <c r="J245" s="4"/>
      <c r="K245" s="2">
        <v>65</v>
      </c>
      <c r="L245" s="6"/>
      <c r="M245" s="2" t="str">
        <f>IF(J245="",ROUND(I245*(1-IF(ISBLANK(L245),K245,L245)/100),2),ROUND(J245*(1-IF(ISBLANK(L245),K245,L245)/100),2))</f>
      </c>
      <c r="N245" s="7" t="str">
        <f>IF(NOT(AND(J245="",L245="")),IF(OR(AND(L245&lt;&gt;"",NOT(ISNUMBER(L245))),IFERROR(MOD(L245,1),1)&gt;0,AND(ISNUMBER(L245),OR(L245&lt;0,L245&gt;95))),"Введите целое число от 0 до 95",IF(OR(AND(J245&lt;&gt;"",NOT(ISNUMBER(J245))),IFERROR(MOD(J245,1),1)&gt;0,AND(ISNUMBER(J245),OR(J245&lt;50,J245&gt;20000000))),"Введите целое число от 50 до 20000000",IF(NOT(ABS(IFERROR(VALUE(LEFT(M245,FIND("-",M245)-1)),M245)*100-(2500+2000000000)/2)&lt;=ABS(2500-2000000000)/2),"Цена со скидкой должна быть от 25 до 20000000",IF(AND(IFERROR(VALUE(LEFT(M245,FIND("-",M245)-1)),M245)*150&lt;=176680,IFERROR(VALUE(LEFT(M245,FIND("-",M245)-1)),M245)*200&gt;176680),"Вы уменьшили цену в несколько раз, товар попадет в карантин цен",IF(IFERROR(VALUE(LEFT(M245,FIND("-",M245)-1)),M245)*200&lt;=176680,"Не сохранили изменения, чтобы защитить от ошибки — новые цены меньше текущих более чем в 2 раза. Снижайте их постепенно",IF(AND(IFERROR(VALUE(I245),0)=0,ISNUMBER(J245),OR(J245&lt;413,ABS(IFERROR(VALUE(LEFT(M245,FIND("-",M245)-1)),M245))*100&lt;41300)),"Проверьте цену товара. Большинство товаров в выбранной категории стоят дороже 413","")))))),"")</f>
      </c>
    </row>
    <row r="246">
      <c r="A246" s="2" t="inlineStr">
        <is>
          <t>Luxaro</t>
        </is>
      </c>
      <c r="B246" s="2" t="inlineStr">
        <is>
          <t>Тарелки</t>
        </is>
      </c>
      <c r="C246" s="2">
        <v>608869952</v>
      </c>
      <c r="D246" s="2" t="inlineStr">
        <is>
          <t>075728</t>
        </is>
      </c>
      <c r="E246" s="2" t="inlineStr">
        <is>
          <t>2047215142932</t>
        </is>
      </c>
      <c r="F246" s="2">
        <v>0</v>
      </c>
      <c r="G246" s="2">
        <v>5</v>
      </c>
      <c r="H246" s="2">
        <v>1</v>
      </c>
      <c r="I246" s="2" t="inlineStr">
        <is>
          <t>4736</t>
        </is>
      </c>
      <c r="J246" s="4"/>
      <c r="K246" s="2">
        <v>72</v>
      </c>
      <c r="L246" s="6"/>
      <c r="M246" s="2" t="str">
        <f>IF(J246="",ROUND(I246*(1-IF(ISBLANK(L246),K246,L246)/100),2),ROUND(J246*(1-IF(ISBLANK(L246),K246,L246)/100),2))</f>
      </c>
      <c r="N246" s="7" t="str">
        <f>IF(NOT(AND(J246="",L246="")),IF(OR(AND(L246&lt;&gt;"",NOT(ISNUMBER(L246))),IFERROR(MOD(L246,1),1)&gt;0,AND(ISNUMBER(L246),OR(L246&lt;0,L246&gt;95))),"Введите целое число от 0 до 95",IF(OR(AND(J246&lt;&gt;"",NOT(ISNUMBER(J246))),IFERROR(MOD(J246,1),1)&gt;0,AND(ISNUMBER(J246),OR(J246&lt;50,J246&gt;20000000))),"Введите целое число от 50 до 20000000",IF(NOT(ABS(IFERROR(VALUE(LEFT(M246,FIND("-",M246)-1)),M246)*100-(2500+2000000000)/2)&lt;=ABS(2500-2000000000)/2),"Цена со скидкой должна быть от 25 до 20000000",IF(AND(IFERROR(VALUE(LEFT(M246,FIND("-",M246)-1)),M246)*150&lt;=132608,IFERROR(VALUE(LEFT(M246,FIND("-",M246)-1)),M246)*200&gt;132608),"Вы уменьшили цену в несколько раз, товар попадет в карантин цен",IF(IFERROR(VALUE(LEFT(M246,FIND("-",M246)-1)),M246)*200&lt;=132608,"Не сохранили изменения, чтобы защитить от ошибки — новые цены меньше текущих более чем в 2 раза. Снижайте их постепенно",IF(AND(IFERROR(VALUE(I246),0)=0,ISNUMBER(J246),OR(J246&lt;413,ABS(IFERROR(VALUE(LEFT(M246,FIND("-",M246)-1)),M246))*100&lt;41300)),"Проверьте цену товара. Большинство товаров в выбранной категории стоят дороже 413","")))))),"")</f>
      </c>
    </row>
    <row r="247">
      <c r="A247" s="2" t="inlineStr">
        <is>
          <t/>
        </is>
      </c>
      <c r="B247" s="2" t="inlineStr">
        <is>
          <t>Термокружки</t>
        </is>
      </c>
      <c r="C247" s="2">
        <v>600639329</v>
      </c>
      <c r="D247" s="2" t="inlineStr">
        <is>
          <t>281586</t>
        </is>
      </c>
      <c r="E247" s="2" t="inlineStr">
        <is>
          <t>2047129194324</t>
        </is>
      </c>
      <c r="F247" s="2">
        <v>0</v>
      </c>
      <c r="G247" s="2">
        <v>14</v>
      </c>
      <c r="H247" s="2" t="inlineStr">
        <is>
          <t/>
        </is>
      </c>
      <c r="I247" s="2" t="inlineStr">
        <is>
          <t>4280</t>
        </is>
      </c>
      <c r="J247" s="4"/>
      <c r="K247" s="2">
        <v>78</v>
      </c>
      <c r="L247" s="6"/>
      <c r="M247" s="2" t="str">
        <f>IF(J247="",ROUND(I247*(1-IF(ISBLANK(L247),K247,L247)/100),2),ROUND(J247*(1-IF(ISBLANK(L247),K247,L247)/100),2))</f>
      </c>
      <c r="N247" s="7" t="str">
        <f>IF(NOT(AND(J247="",L247="")),IF(OR(AND(L247&lt;&gt;"",NOT(ISNUMBER(L247))),IFERROR(MOD(L247,1),1)&gt;0,AND(ISNUMBER(L247),OR(L247&lt;0,L247&gt;95))),"Введите целое число от 0 до 95",IF(OR(AND(J247&lt;&gt;"",NOT(ISNUMBER(J247))),IFERROR(MOD(J247,1),1)&gt;0,AND(ISNUMBER(J247),OR(J247&lt;50,J247&gt;20000000))),"Введите целое число от 50 до 20000000",IF(NOT(ABS(IFERROR(VALUE(LEFT(M247,FIND("-",M247)-1)),M247)*100-(2500+2000000000)/2)&lt;=ABS(2500-2000000000)/2),"Цена со скидкой должна быть от 25 до 20000000",IF(AND(IFERROR(VALUE(LEFT(M247,FIND("-",M247)-1)),M247)*150&lt;=94159,IFERROR(VALUE(LEFT(M247,FIND("-",M247)-1)),M247)*200&gt;94159),"Вы уменьшили цену в несколько раз, товар попадет в карантин цен",IF(IFERROR(VALUE(LEFT(M247,FIND("-",M247)-1)),M247)*200&lt;=94159,"Не сохранили изменения, чтобы защитить от ошибки — новые цены меньше текущих более чем в 2 раза. Снижайте их постепенно",IF(AND(IFERROR(VALUE(I247),0)=0,ISNUMBER(J247),OR(J247&lt;564,ABS(IFERROR(VALUE(LEFT(M247,FIND("-",M247)-1)),M247))*100&lt;56400)),"Проверьте цену товара. Большинство товаров в выбранной категории стоят дороже 564","")))))),"")</f>
      </c>
    </row>
    <row r="248">
      <c r="A248" s="2" t="inlineStr">
        <is>
          <t/>
        </is>
      </c>
      <c r="B248" s="2" t="inlineStr">
        <is>
          <t>Пельменницы</t>
        </is>
      </c>
      <c r="C248" s="2">
        <v>600630468</v>
      </c>
      <c r="D248" s="2" t="inlineStr">
        <is>
          <t>50186</t>
        </is>
      </c>
      <c r="E248" s="2" t="inlineStr">
        <is>
          <t>2047129101698</t>
        </is>
      </c>
      <c r="F248" s="2">
        <v>0</v>
      </c>
      <c r="G248" s="2">
        <v>0</v>
      </c>
      <c r="H248" s="2" t="inlineStr">
        <is>
          <t/>
        </is>
      </c>
      <c r="I248" s="2" t="inlineStr">
        <is>
          <t>11092</t>
        </is>
      </c>
      <c r="J248" s="4"/>
      <c r="K248" s="2">
        <v>65</v>
      </c>
      <c r="L248" s="6"/>
      <c r="M248" s="2" t="str">
        <f>IF(J248="",ROUND(I248*(1-IF(ISBLANK(L248),K248,L248)/100),2),ROUND(J248*(1-IF(ISBLANK(L248),K248,L248)/100),2))</f>
      </c>
      <c r="N248" s="7" t="str">
        <f>IF(NOT(AND(J248="",L248="")),IF(OR(AND(L248&lt;&gt;"",NOT(ISNUMBER(L248))),IFERROR(MOD(L248,1),1)&gt;0,AND(ISNUMBER(L248),OR(L248&lt;0,L248&gt;95))),"Введите целое число от 0 до 95",IF(OR(AND(J248&lt;&gt;"",NOT(ISNUMBER(J248))),IFERROR(MOD(J248,1),1)&gt;0,AND(ISNUMBER(J248),OR(J248&lt;50,J248&gt;20000000))),"Введите целое число от 50 до 20000000",IF(NOT(ABS(IFERROR(VALUE(LEFT(M248,FIND("-",M248)-1)),M248)*100-(2500+2000000000)/2)&lt;=ABS(2500-2000000000)/2),"Цена со скидкой должна быть от 25 до 20000000",IF(AND(IFERROR(VALUE(LEFT(M248,FIND("-",M248)-1)),M248)*150&lt;=388220,IFERROR(VALUE(LEFT(M248,FIND("-",M248)-1)),M248)*200&gt;388220),"Вы уменьшили цену в несколько раз, товар попадет в карантин цен",IF(IFERROR(VALUE(LEFT(M248,FIND("-",M248)-1)),M248)*200&lt;=388220,"Не сохранили изменения, чтобы защитить от ошибки — новые цены меньше текущих более чем в 2 раза. Снижайте их постепенно",IF(AND(IFERROR(VALUE(I248),0)=0,ISNUMBER(J248),OR(J248&lt;289,ABS(IFERROR(VALUE(LEFT(M248,FIND("-",M248)-1)),M248))*100&lt;28900)),"Проверьте цену товара. Большинство товаров в выбранной категории стоят дороже 289","")))))),"")</f>
      </c>
    </row>
    <row r="249">
      <c r="A249" s="2" t="inlineStr">
        <is>
          <t/>
        </is>
      </c>
      <c r="B249" s="2" t="inlineStr">
        <is>
          <t>Сахарницы</t>
        </is>
      </c>
      <c r="C249" s="2">
        <v>600639316</v>
      </c>
      <c r="D249" s="2" t="inlineStr">
        <is>
          <t>076351</t>
        </is>
      </c>
      <c r="E249" s="2" t="inlineStr">
        <is>
          <t>2047129195178</t>
        </is>
      </c>
      <c r="F249" s="2" t="inlineStr">
        <is>
          <t/>
        </is>
      </c>
      <c r="G249" s="2" t="inlineStr">
        <is>
          <t/>
        </is>
      </c>
      <c r="H249" s="2" t="inlineStr">
        <is>
          <t/>
        </is>
      </c>
      <c r="I249" s="2" t="inlineStr">
        <is>
          <t>0</t>
        </is>
      </c>
      <c r="J249" s="4"/>
      <c r="K249" s="2">
        <v>0</v>
      </c>
      <c r="L249" s="6"/>
      <c r="M249" s="2" t="str">
        <f>IF(J249="",ROUND(I249*(1-IF(ISBLANK(L249),K249,L249)/100),2),ROUND(J249*(1-IF(ISBLANK(L249),K249,L249)/100),2))</f>
      </c>
      <c r="N249" s="7" t="str">
        <f>IF(NOT(AND(J249="",L249="")),IF(OR(AND(L249&lt;&gt;"",NOT(ISNUMBER(L249))),IFERROR(MOD(L249,1),1)&gt;0,AND(ISNUMBER(L249),OR(L249&lt;0,L249&gt;95))),"Введите целое число от 0 до 95",IF(OR(AND(J249&lt;&gt;"",NOT(ISNUMBER(J249))),IFERROR(MOD(J249,1),1)&gt;0,AND(ISNUMBER(J249),OR(J249&lt;50,J249&gt;20000000))),"Введите целое число от 50 до 20000000",IF(NOT(ABS(IFERROR(VALUE(LEFT(M249,FIND("-",M249)-1)),M249)*100-(2500+2000000000)/2)&lt;=ABS(2500-2000000000)/2),"Цена со скидкой должна быть от 25 до 20000000",IF(AND(IFERROR(VALUE(LEFT(M249,FIND("-",M249)-1)),M249)*150&lt;=0,IFERROR(VALUE(LEFT(M249,FIND("-",M249)-1)),M249)*200&gt;0),"Вы уменьшили цену в несколько раз, товар попадет в карантин цен",IF(IFERROR(VALUE(LEFT(M249,FIND("-",M249)-1)),M249)*200&lt;=0,"Не сохранили изменения, чтобы защитить от ошибки — новые цены меньше текущих более чем в 2 раза. Снижайте их постепенно",IF(AND(IFERROR(VALUE(I249),0)=0,ISNUMBER(J249),OR(J249&lt;417,ABS(IFERROR(VALUE(LEFT(M249,FIND("-",M249)-1)),M249))*100&lt;41700)),"Проверьте цену товара. Большинство товаров в выбранной категории стоят дороже 417","")))))),"")</f>
      </c>
    </row>
    <row r="250">
      <c r="A250" s="2" t="inlineStr">
        <is>
          <t/>
        </is>
      </c>
      <c r="B250" s="2" t="inlineStr">
        <is>
          <t>Термокружки</t>
        </is>
      </c>
      <c r="C250" s="2">
        <v>600639328</v>
      </c>
      <c r="D250" s="2" t="inlineStr">
        <is>
          <t>283041</t>
        </is>
      </c>
      <c r="E250" s="2" t="inlineStr">
        <is>
          <t>2047129194317</t>
        </is>
      </c>
      <c r="F250" s="2">
        <v>0</v>
      </c>
      <c r="G250" s="2">
        <v>0</v>
      </c>
      <c r="H250" s="2" t="inlineStr">
        <is>
          <t/>
        </is>
      </c>
      <c r="I250" s="2" t="inlineStr">
        <is>
          <t>16768</t>
        </is>
      </c>
      <c r="J250" s="4"/>
      <c r="K250" s="2">
        <v>65</v>
      </c>
      <c r="L250" s="6"/>
      <c r="M250" s="2" t="str">
        <f>IF(J250="",ROUND(I250*(1-IF(ISBLANK(L250),K250,L250)/100),2),ROUND(J250*(1-IF(ISBLANK(L250),K250,L250)/100),2))</f>
      </c>
      <c r="N250" s="7" t="str">
        <f>IF(NOT(AND(J250="",L250="")),IF(OR(AND(L250&lt;&gt;"",NOT(ISNUMBER(L250))),IFERROR(MOD(L250,1),1)&gt;0,AND(ISNUMBER(L250),OR(L250&lt;0,L250&gt;95))),"Введите целое число от 0 до 95",IF(OR(AND(J250&lt;&gt;"",NOT(ISNUMBER(J250))),IFERROR(MOD(J250,1),1)&gt;0,AND(ISNUMBER(J250),OR(J250&lt;50,J250&gt;20000000))),"Введите целое число от 50 до 20000000",IF(NOT(ABS(IFERROR(VALUE(LEFT(M250,FIND("-",M250)-1)),M250)*100-(2500+2000000000)/2)&lt;=ABS(2500-2000000000)/2),"Цена со скидкой должна быть от 25 до 20000000",IF(AND(IFERROR(VALUE(LEFT(M250,FIND("-",M250)-1)),M250)*150&lt;=586879,IFERROR(VALUE(LEFT(M250,FIND("-",M250)-1)),M250)*200&gt;586879),"Вы уменьшили цену в несколько раз, товар попадет в карантин цен",IF(IFERROR(VALUE(LEFT(M250,FIND("-",M250)-1)),M250)*200&lt;=586879,"Не сохранили изменения, чтобы защитить от ошибки — новые цены меньше текущих более чем в 2 раза. Снижайте их постепенно",IF(AND(IFERROR(VALUE(I250),0)=0,ISNUMBER(J250),OR(J250&lt;564,ABS(IFERROR(VALUE(LEFT(M250,FIND("-",M250)-1)),M250))*100&lt;56400)),"Проверьте цену товара. Большинство товаров в выбранной категории стоят дороже 564","")))))),"")</f>
      </c>
    </row>
    <row r="251">
      <c r="A251" s="2" t="inlineStr">
        <is>
          <t/>
        </is>
      </c>
      <c r="B251" s="2" t="inlineStr">
        <is>
          <t>Сахарницы</t>
        </is>
      </c>
      <c r="C251" s="2">
        <v>600639317</v>
      </c>
      <c r="D251" s="2" t="inlineStr">
        <is>
          <t>076352</t>
        </is>
      </c>
      <c r="E251" s="2" t="inlineStr">
        <is>
          <t>2047129195185</t>
        </is>
      </c>
      <c r="F251" s="2" t="inlineStr">
        <is>
          <t/>
        </is>
      </c>
      <c r="G251" s="2" t="inlineStr">
        <is>
          <t/>
        </is>
      </c>
      <c r="H251" s="2" t="inlineStr">
        <is>
          <t/>
        </is>
      </c>
      <c r="I251" s="2" t="inlineStr">
        <is>
          <t>0</t>
        </is>
      </c>
      <c r="J251" s="4"/>
      <c r="K251" s="2">
        <v>0</v>
      </c>
      <c r="L251" s="6"/>
      <c r="M251" s="2" t="str">
        <f>IF(J251="",ROUND(I251*(1-IF(ISBLANK(L251),K251,L251)/100),2),ROUND(J251*(1-IF(ISBLANK(L251),K251,L251)/100),2))</f>
      </c>
      <c r="N251" s="7" t="str">
        <f>IF(NOT(AND(J251="",L251="")),IF(OR(AND(L251&lt;&gt;"",NOT(ISNUMBER(L251))),IFERROR(MOD(L251,1),1)&gt;0,AND(ISNUMBER(L251),OR(L251&lt;0,L251&gt;95))),"Введите целое число от 0 до 95",IF(OR(AND(J251&lt;&gt;"",NOT(ISNUMBER(J251))),IFERROR(MOD(J251,1),1)&gt;0,AND(ISNUMBER(J251),OR(J251&lt;50,J251&gt;20000000))),"Введите целое число от 50 до 20000000",IF(NOT(ABS(IFERROR(VALUE(LEFT(M251,FIND("-",M251)-1)),M251)*100-(2500+2000000000)/2)&lt;=ABS(2500-2000000000)/2),"Цена со скидкой должна быть от 25 до 20000000",IF(AND(IFERROR(VALUE(LEFT(M251,FIND("-",M251)-1)),M251)*150&lt;=0,IFERROR(VALUE(LEFT(M251,FIND("-",M251)-1)),M251)*200&gt;0),"Вы уменьшили цену в несколько раз, товар попадет в карантин цен",IF(IFERROR(VALUE(LEFT(M251,FIND("-",M251)-1)),M251)*200&lt;=0,"Не сохранили изменения, чтобы защитить от ошибки — новые цены меньше текущих более чем в 2 раза. Снижайте их постепенно",IF(AND(IFERROR(VALUE(I251),0)=0,ISNUMBER(J251),OR(J251&lt;417,ABS(IFERROR(VALUE(LEFT(M251,FIND("-",M251)-1)),M251))*100&lt;41700)),"Проверьте цену товара. Большинство товаров в выбранной категории стоят дороже 417","")))))),"")</f>
      </c>
    </row>
    <row r="252">
      <c r="A252" s="2" t="inlineStr">
        <is>
          <t/>
        </is>
      </c>
      <c r="B252" s="2" t="inlineStr">
        <is>
          <t>Графины</t>
        </is>
      </c>
      <c r="C252" s="2">
        <v>727362670</v>
      </c>
      <c r="D252" s="2" t="inlineStr">
        <is>
          <t>122046</t>
        </is>
      </c>
      <c r="E252" s="2" t="inlineStr">
        <is>
          <t>4670294458724</t>
        </is>
      </c>
      <c r="F252" s="2">
        <v>179</v>
      </c>
      <c r="G252" s="2">
        <v>819</v>
      </c>
      <c r="H252" s="2">
        <v>308</v>
      </c>
      <c r="I252" s="2" t="inlineStr">
        <is>
          <t>5836</t>
        </is>
      </c>
      <c r="J252" s="4"/>
      <c r="K252" s="2">
        <v>80</v>
      </c>
      <c r="L252" s="6"/>
      <c r="M252" s="2" t="str">
        <f>IF(J252="",ROUND(I252*(1-IF(ISBLANK(L252),K252,L252)/100),2),ROUND(J252*(1-IF(ISBLANK(L252),K252,L252)/100),2))</f>
      </c>
      <c r="N252" s="7" t="str">
        <f>IF(NOT(AND(J252="",L252="")),IF(OR(AND(L252&lt;&gt;"",NOT(ISNUMBER(L252))),IFERROR(MOD(L252,1),1)&gt;0,AND(ISNUMBER(L252),OR(L252&lt;0,L252&gt;95))),"Введите целое число от 0 до 95",IF(OR(AND(J252&lt;&gt;"",NOT(ISNUMBER(J252))),IFERROR(MOD(J252,1),1)&gt;0,AND(ISNUMBER(J252),OR(J252&lt;50,J252&gt;20000000))),"Введите целое число от 50 до 20000000",IF(NOT(ABS(IFERROR(VALUE(LEFT(M252,FIND("-",M252)-1)),M252)*100-(2500+2000000000)/2)&lt;=ABS(2500-2000000000)/2),"Цена со скидкой должна быть от 25 до 20000000",IF(AND(IFERROR(VALUE(LEFT(M252,FIND("-",M252)-1)),M252)*150&lt;=116719,IFERROR(VALUE(LEFT(M252,FIND("-",M252)-1)),M252)*200&gt;116719),"Вы уменьшили цену в несколько раз, товар попадет в карантин цен",IF(IFERROR(VALUE(LEFT(M252,FIND("-",M252)-1)),M252)*200&lt;=116719,"Не сохранили изменения, чтобы защитить от ошибки — новые цены меньше текущих более чем в 2 раза. Снижайте их постепенно",IF(AND(IFERROR(VALUE(I252),0)=0,ISNUMBER(J252),OR(J252&lt;458,ABS(IFERROR(VALUE(LEFT(M252,FIND("-",M252)-1)),M252))*100&lt;45800)),"Проверьте цену товара. Большинство товаров в выбранной категории стоят дороже 458","")))))),"")</f>
      </c>
    </row>
    <row r="253">
      <c r="A253" s="2" t="inlineStr">
        <is>
          <t/>
        </is>
      </c>
      <c r="B253" s="2" t="inlineStr">
        <is>
          <t>Графины</t>
        </is>
      </c>
      <c r="C253" s="2">
        <v>727362664</v>
      </c>
      <c r="D253" s="2" t="inlineStr">
        <is>
          <t>121931</t>
        </is>
      </c>
      <c r="E253" s="2" t="inlineStr">
        <is>
          <t>2048062588751</t>
        </is>
      </c>
      <c r="F253" s="2">
        <v>36</v>
      </c>
      <c r="G253" s="2">
        <v>0</v>
      </c>
      <c r="H253" s="2">
        <v>999</v>
      </c>
      <c r="I253" s="2" t="inlineStr">
        <is>
          <t>6180</t>
        </is>
      </c>
      <c r="J253" s="4"/>
      <c r="K253" s="2">
        <v>82</v>
      </c>
      <c r="L253" s="6"/>
      <c r="M253" s="2" t="str">
        <f>IF(J253="",ROUND(I253*(1-IF(ISBLANK(L253),K253,L253)/100),2),ROUND(J253*(1-IF(ISBLANK(L253),K253,L253)/100),2))</f>
      </c>
      <c r="N253" s="7" t="str">
        <f>IF(NOT(AND(J253="",L253="")),IF(OR(AND(L253&lt;&gt;"",NOT(ISNUMBER(L253))),IFERROR(MOD(L253,1),1)&gt;0,AND(ISNUMBER(L253),OR(L253&lt;0,L253&gt;95))),"Введите целое число от 0 до 95",IF(OR(AND(J253&lt;&gt;"",NOT(ISNUMBER(J253))),IFERROR(MOD(J253,1),1)&gt;0,AND(ISNUMBER(J253),OR(J253&lt;50,J253&gt;20000000))),"Введите целое число от 50 до 20000000",IF(NOT(ABS(IFERROR(VALUE(LEFT(M253,FIND("-",M253)-1)),M253)*100-(2500+2000000000)/2)&lt;=ABS(2500-2000000000)/2),"Цена со скидкой должна быть от 25 до 20000000",IF(AND(IFERROR(VALUE(LEFT(M253,FIND("-",M253)-1)),M253)*150&lt;=111240,IFERROR(VALUE(LEFT(M253,FIND("-",M253)-1)),M253)*200&gt;111240),"Вы уменьшили цену в несколько раз, товар попадет в карантин цен",IF(IFERROR(VALUE(LEFT(M253,FIND("-",M253)-1)),M253)*200&lt;=111240,"Не сохранили изменения, чтобы защитить от ошибки — новые цены меньше текущих более чем в 2 раза. Снижайте их постепенно",IF(AND(IFERROR(VALUE(I253),0)=0,ISNUMBER(J253),OR(J253&lt;458,ABS(IFERROR(VALUE(LEFT(M253,FIND("-",M253)-1)),M253))*100&lt;45800)),"Проверьте цену товара. Большинство товаров в выбранной категории стоят дороже 458","")))))),"")</f>
      </c>
    </row>
    <row r="254">
      <c r="A254" s="2" t="inlineStr">
        <is>
          <t/>
        </is>
      </c>
      <c r="B254" s="2" t="inlineStr">
        <is>
          <t>Терки</t>
        </is>
      </c>
      <c r="C254" s="2">
        <v>600630463</v>
      </c>
      <c r="D254" s="2" t="inlineStr">
        <is>
          <t>93880</t>
        </is>
      </c>
      <c r="E254" s="2" t="inlineStr">
        <is>
          <t>2047129101506</t>
        </is>
      </c>
      <c r="F254" s="2">
        <v>0</v>
      </c>
      <c r="G254" s="2">
        <v>0</v>
      </c>
      <c r="H254" s="2" t="inlineStr">
        <is>
          <t/>
        </is>
      </c>
      <c r="I254" s="2" t="inlineStr">
        <is>
          <t>19023</t>
        </is>
      </c>
      <c r="J254" s="4"/>
      <c r="K254" s="2">
        <v>65</v>
      </c>
      <c r="L254" s="6"/>
      <c r="M254" s="2" t="str">
        <f>IF(J254="",ROUND(I254*(1-IF(ISBLANK(L254),K254,L254)/100),2),ROUND(J254*(1-IF(ISBLANK(L254),K254,L254)/100),2))</f>
      </c>
      <c r="N254" s="7" t="str">
        <f>IF(NOT(AND(J254="",L254="")),IF(OR(AND(L254&lt;&gt;"",NOT(ISNUMBER(L254))),IFERROR(MOD(L254,1),1)&gt;0,AND(ISNUMBER(L254),OR(L254&lt;0,L254&gt;95))),"Введите целое число от 0 до 95",IF(OR(AND(J254&lt;&gt;"",NOT(ISNUMBER(J254))),IFERROR(MOD(J254,1),1)&gt;0,AND(ISNUMBER(J254),OR(J254&lt;50,J254&gt;20000000))),"Введите целое число от 50 до 20000000",IF(NOT(ABS(IFERROR(VALUE(LEFT(M254,FIND("-",M254)-1)),M254)*100-(2500+2000000000)/2)&lt;=ABS(2500-2000000000)/2),"Цена со скидкой должна быть от 25 до 20000000",IF(AND(IFERROR(VALUE(LEFT(M254,FIND("-",M254)-1)),M254)*150&lt;=665804,IFERROR(VALUE(LEFT(M254,FIND("-",M254)-1)),M254)*200&gt;665804),"Вы уменьшили цену в несколько раз, товар попадет в карантин цен",IF(IFERROR(VALUE(LEFT(M254,FIND("-",M254)-1)),M254)*200&lt;=665804,"Не сохранили изменения, чтобы защитить от ошибки — новые цены меньше текущих более чем в 2 раза. Снижайте их постепенно",IF(AND(IFERROR(VALUE(I254),0)=0,ISNUMBER(J254),OR(J254&lt;261,ABS(IFERROR(VALUE(LEFT(M254,FIND("-",M254)-1)),M254))*100&lt;26100)),"Проверьте цену товара. Большинство товаров в выбранной категории стоят дороже 261","")))))),"")</f>
      </c>
    </row>
    <row r="255">
      <c r="A255" s="2" t="inlineStr">
        <is>
          <t/>
        </is>
      </c>
      <c r="B255" s="2" t="inlineStr">
        <is>
          <t>Термосы</t>
        </is>
      </c>
      <c r="C255" s="2">
        <v>600647779</v>
      </c>
      <c r="D255" s="2" t="inlineStr">
        <is>
          <t>281794</t>
        </is>
      </c>
      <c r="E255" s="2" t="inlineStr">
        <is>
          <t>2047129194744</t>
        </is>
      </c>
      <c r="F255" s="2">
        <v>0</v>
      </c>
      <c r="G255" s="2">
        <v>1</v>
      </c>
      <c r="H255" s="2" t="inlineStr">
        <is>
          <t/>
        </is>
      </c>
      <c r="I255" s="2" t="inlineStr">
        <is>
          <t>10616</t>
        </is>
      </c>
      <c r="J255" s="4"/>
      <c r="K255" s="2">
        <v>78</v>
      </c>
      <c r="L255" s="6"/>
      <c r="M255" s="2" t="str">
        <f>IF(J255="",ROUND(I255*(1-IF(ISBLANK(L255),K255,L255)/100),2),ROUND(J255*(1-IF(ISBLANK(L255),K255,L255)/100),2))</f>
      </c>
      <c r="N255" s="7" t="str">
        <f>IF(NOT(AND(J255="",L255="")),IF(OR(AND(L255&lt;&gt;"",NOT(ISNUMBER(L255))),IFERROR(MOD(L255,1),1)&gt;0,AND(ISNUMBER(L255),OR(L255&lt;0,L255&gt;95))),"Введите целое число от 0 до 95",IF(OR(AND(J255&lt;&gt;"",NOT(ISNUMBER(J255))),IFERROR(MOD(J255,1),1)&gt;0,AND(ISNUMBER(J255),OR(J255&lt;50,J255&gt;20000000))),"Введите целое число от 50 до 20000000",IF(NOT(ABS(IFERROR(VALUE(LEFT(M255,FIND("-",M255)-1)),M255)*100-(2500+2000000000)/2)&lt;=ABS(2500-2000000000)/2),"Цена со скидкой должна быть от 25 до 20000000",IF(AND(IFERROR(VALUE(LEFT(M255,FIND("-",M255)-1)),M255)*150&lt;=233551,IFERROR(VALUE(LEFT(M255,FIND("-",M255)-1)),M255)*200&gt;233551),"Вы уменьшили цену в несколько раз, товар попадет в карантин цен",IF(IFERROR(VALUE(LEFT(M255,FIND("-",M255)-1)),M255)*200&lt;=233551,"Не сохранили изменения, чтобы защитить от ошибки — новые цены меньше текущих более чем в 2 раза. Снижайте их постепенно",IF(AND(IFERROR(VALUE(I255),0)=0,ISNUMBER(J255),OR(J255&lt;547,ABS(IFERROR(VALUE(LEFT(M255,FIND("-",M255)-1)),M255))*100&lt;54700)),"Проверьте цену товара. Большинство товаров в выбранной категории стоят дороже 547","")))))),"")</f>
      </c>
    </row>
    <row r="256">
      <c r="A256" s="2" t="inlineStr">
        <is>
          <t/>
        </is>
      </c>
      <c r="B256" s="2" t="inlineStr">
        <is>
          <t>Точилки для ножей</t>
        </is>
      </c>
      <c r="C256" s="2">
        <v>600630491</v>
      </c>
      <c r="D256" s="2" t="inlineStr">
        <is>
          <t>523155</t>
        </is>
      </c>
      <c r="E256" s="2" t="inlineStr">
        <is>
          <t>2047129102831</t>
        </is>
      </c>
      <c r="F256" s="2">
        <v>0</v>
      </c>
      <c r="G256" s="2">
        <v>0</v>
      </c>
      <c r="H256" s="2" t="inlineStr">
        <is>
          <t/>
        </is>
      </c>
      <c r="I256" s="2" t="inlineStr">
        <is>
          <t>9266</t>
        </is>
      </c>
      <c r="J256" s="4"/>
      <c r="K256" s="2">
        <v>65</v>
      </c>
      <c r="L256" s="6"/>
      <c r="M256" s="2" t="str">
        <f>IF(J256="",ROUND(I256*(1-IF(ISBLANK(L256),K256,L256)/100),2),ROUND(J256*(1-IF(ISBLANK(L256),K256,L256)/100),2))</f>
      </c>
      <c r="N256" s="7" t="str">
        <f>IF(NOT(AND(J256="",L256="")),IF(OR(AND(L256&lt;&gt;"",NOT(ISNUMBER(L256))),IFERROR(MOD(L256,1),1)&gt;0,AND(ISNUMBER(L256),OR(L256&lt;0,L256&gt;95))),"Введите целое число от 0 до 95",IF(OR(AND(J256&lt;&gt;"",NOT(ISNUMBER(J256))),IFERROR(MOD(J256,1),1)&gt;0,AND(ISNUMBER(J256),OR(J256&lt;50,J256&gt;20000000))),"Введите целое число от 50 до 20000000",IF(NOT(ABS(IFERROR(VALUE(LEFT(M256,FIND("-",M256)-1)),M256)*100-(2500+2000000000)/2)&lt;=ABS(2500-2000000000)/2),"Цена со скидкой должна быть от 25 до 20000000",IF(AND(IFERROR(VALUE(LEFT(M256,FIND("-",M256)-1)),M256)*150&lt;=324310,IFERROR(VALUE(LEFT(M256,FIND("-",M256)-1)),M256)*200&gt;324310),"Вы уменьшили цену в несколько раз, товар попадет в карантин цен",IF(IFERROR(VALUE(LEFT(M256,FIND("-",M256)-1)),M256)*200&lt;=324310,"Не сохранили изменения, чтобы защитить от ошибки — новые цены меньше текущих более чем в 2 раза. Снижайте их постепенно",IF(AND(IFERROR(VALUE(I256),0)=0,ISNUMBER(J256),OR(J256&lt;268,ABS(IFERROR(VALUE(LEFT(M256,FIND("-",M256)-1)),M256))*100&lt;26800)),"Проверьте цену товара. Большинство товаров в выбранной категории стоят дороже 268","")))))),"")</f>
      </c>
    </row>
    <row r="257">
      <c r="A257" s="2" t="inlineStr">
        <is>
          <t/>
        </is>
      </c>
      <c r="B257" s="2" t="inlineStr">
        <is>
          <t>Шейкеры спортивные</t>
        </is>
      </c>
      <c r="C257" s="2">
        <v>288351147</v>
      </c>
      <c r="D257" s="2" t="inlineStr">
        <is>
          <t>456852</t>
        </is>
      </c>
      <c r="E257" s="2" t="inlineStr">
        <is>
          <t>4670294453996</t>
        </is>
      </c>
      <c r="F257" s="2">
        <v>35</v>
      </c>
      <c r="G257" s="2">
        <v>49</v>
      </c>
      <c r="H257" s="2">
        <v>999</v>
      </c>
      <c r="I257" s="2" t="inlineStr">
        <is>
          <t>2568</t>
        </is>
      </c>
      <c r="J257" s="4"/>
      <c r="K257" s="2">
        <v>82</v>
      </c>
      <c r="L257" s="6"/>
      <c r="M257" s="2" t="str">
        <f>IF(J257="",ROUND(I257*(1-IF(ISBLANK(L257),K257,L257)/100),2),ROUND(J257*(1-IF(ISBLANK(L257),K257,L257)/100),2))</f>
      </c>
      <c r="N257" s="7" t="str">
        <f>IF(NOT(AND(J257="",L257="")),IF(OR(AND(L257&lt;&gt;"",NOT(ISNUMBER(L257))),IFERROR(MOD(L257,1),1)&gt;0,AND(ISNUMBER(L257),OR(L257&lt;0,L257&gt;95))),"Введите целое число от 0 до 95",IF(OR(AND(J257&lt;&gt;"",NOT(ISNUMBER(J257))),IFERROR(MOD(J257,1),1)&gt;0,AND(ISNUMBER(J257),OR(J257&lt;50,J257&gt;20000000))),"Введите целое число от 50 до 20000000",IF(NOT(ABS(IFERROR(VALUE(LEFT(M257,FIND("-",M257)-1)),M257)*100-(2500+2000000000)/2)&lt;=ABS(2500-2000000000)/2),"Цена со скидкой должна быть от 25 до 20000000",IF(AND(IFERROR(VALUE(LEFT(M257,FIND("-",M257)-1)),M257)*150&lt;=46224,IFERROR(VALUE(LEFT(M257,FIND("-",M257)-1)),M257)*200&gt;46224),"Вы уменьшили цену в несколько раз, товар попадет в карантин цен",IF(IFERROR(VALUE(LEFT(M257,FIND("-",M257)-1)),M257)*200&lt;=46224,"Не сохранили изменения, чтобы защитить от ошибки — новые цены меньше текущих более чем в 2 раза. Снижайте их постепенно",IF(AND(IFERROR(VALUE(I257),0)=0,ISNUMBER(J257),OR(J257&lt;312,ABS(IFERROR(VALUE(LEFT(M257,FIND("-",M257)-1)),M257))*100&lt;31200)),"Проверьте цену товара. Большинство товаров в выбранной категории стоят дороже 312","")))))),"")</f>
      </c>
    </row>
    <row r="258">
      <c r="A258" s="2" t="inlineStr">
        <is>
          <t/>
        </is>
      </c>
      <c r="B258" s="2" t="inlineStr">
        <is>
          <t>Фены</t>
        </is>
      </c>
      <c r="C258" s="2">
        <v>600650204</v>
      </c>
      <c r="D258" s="2" t="inlineStr">
        <is>
          <t>190359</t>
        </is>
      </c>
      <c r="E258" s="2" t="inlineStr">
        <is>
          <t>2047106057987</t>
        </is>
      </c>
      <c r="F258" s="2">
        <v>0</v>
      </c>
      <c r="G258" s="2">
        <v>0</v>
      </c>
      <c r="H258" s="2" t="inlineStr">
        <is>
          <t/>
        </is>
      </c>
      <c r="I258" s="2" t="inlineStr">
        <is>
          <t>45505</t>
        </is>
      </c>
      <c r="J258" s="4"/>
      <c r="K258" s="2">
        <v>65</v>
      </c>
      <c r="L258" s="6"/>
      <c r="M258" s="2" t="str">
        <f>IF(J258="",ROUND(I258*(1-IF(ISBLANK(L258),K258,L258)/100),2),ROUND(J258*(1-IF(ISBLANK(L258),K258,L258)/100),2))</f>
      </c>
      <c r="N258" s="7" t="str">
        <f>IF(NOT(AND(J258="",L258="")),IF(OR(AND(L258&lt;&gt;"",NOT(ISNUMBER(L258))),IFERROR(MOD(L258,1),1)&gt;0,AND(ISNUMBER(L258),OR(L258&lt;0,L258&gt;95))),"Введите целое число от 0 до 95",IF(OR(AND(J258&lt;&gt;"",NOT(ISNUMBER(J258))),IFERROR(MOD(J258,1),1)&gt;0,AND(ISNUMBER(J258),OR(J258&lt;50,J258&gt;20000000))),"Введите целое число от 50 до 20000000",IF(NOT(ABS(IFERROR(VALUE(LEFT(M258,FIND("-",M258)-1)),M258)*100-(2500+2000000000)/2)&lt;=ABS(2500-2000000000)/2),"Цена со скидкой должна быть от 25 до 20000000",IF(AND(IFERROR(VALUE(LEFT(M258,FIND("-",M258)-1)),M258)*150&lt;=1592674,IFERROR(VALUE(LEFT(M258,FIND("-",M258)-1)),M258)*200&gt;1592674),"Вы уменьшили цену в несколько раз, товар попадет в карантин цен",IF(IFERROR(VALUE(LEFT(M258,FIND("-",M258)-1)),M258)*200&lt;=1592674,"Не сохранили изменения, чтобы защитить от ошибки — новые цены меньше текущих более чем в 2 раза. Снижайте их постепенно",IF(AND(IFERROR(VALUE(I258),0)=0,ISNUMBER(J258),OR(J258&lt;411,ABS(IFERROR(VALUE(LEFT(M258,FIND("-",M258)-1)),M258))*100&lt;41100)),"Проверьте цену товара. Большинство товаров в выбранной категории стоят дороже 411","")))))),"")</f>
      </c>
    </row>
    <row r="259">
      <c r="A259" s="2" t="inlineStr">
        <is>
          <t/>
        </is>
      </c>
      <c r="B259" s="2" t="inlineStr">
        <is>
          <t>Графины</t>
        </is>
      </c>
      <c r="C259" s="2">
        <v>619243004</v>
      </c>
      <c r="D259" s="2" t="inlineStr">
        <is>
          <t>100647</t>
        </is>
      </c>
      <c r="E259" s="2" t="inlineStr">
        <is>
          <t>2047320670627</t>
        </is>
      </c>
      <c r="F259" s="2">
        <v>0</v>
      </c>
      <c r="G259" s="2">
        <v>0</v>
      </c>
      <c r="H259" s="2">
        <v>16</v>
      </c>
      <c r="I259" s="2" t="inlineStr">
        <is>
          <t>10632</t>
        </is>
      </c>
      <c r="J259" s="4"/>
      <c r="K259" s="2">
        <v>89</v>
      </c>
      <c r="L259" s="6"/>
      <c r="M259" s="2" t="str">
        <f>IF(J259="",ROUND(I259*(1-IF(ISBLANK(L259),K259,L259)/100),2),ROUND(J259*(1-IF(ISBLANK(L259),K259,L259)/100),2))</f>
      </c>
      <c r="N259" s="7" t="str">
        <f>IF(NOT(AND(J259="",L259="")),IF(OR(AND(L259&lt;&gt;"",NOT(ISNUMBER(L259))),IFERROR(MOD(L259,1),1)&gt;0,AND(ISNUMBER(L259),OR(L259&lt;0,L259&gt;95))),"Введите целое число от 0 до 95",IF(OR(AND(J259&lt;&gt;"",NOT(ISNUMBER(J259))),IFERROR(MOD(J259,1),1)&gt;0,AND(ISNUMBER(J259),OR(J259&lt;50,J259&gt;20000000))),"Введите целое число от 50 до 20000000",IF(NOT(ABS(IFERROR(VALUE(LEFT(M259,FIND("-",M259)-1)),M259)*100-(2500+2000000000)/2)&lt;=ABS(2500-2000000000)/2),"Цена со скидкой должна быть от 25 до 20000000",IF(AND(IFERROR(VALUE(LEFT(M259,FIND("-",M259)-1)),M259)*150&lt;=116951,IFERROR(VALUE(LEFT(M259,FIND("-",M259)-1)),M259)*200&gt;116951),"Вы уменьшили цену в несколько раз, товар попадет в карантин цен",IF(IFERROR(VALUE(LEFT(M259,FIND("-",M259)-1)),M259)*200&lt;=116951,"Не сохранили изменения, чтобы защитить от ошибки — новые цены меньше текущих более чем в 2 раза. Снижайте их постепенно",IF(AND(IFERROR(VALUE(I259),0)=0,ISNUMBER(J259),OR(J259&lt;458,ABS(IFERROR(VALUE(LEFT(M259,FIND("-",M259)-1)),M259))*100&lt;45800)),"Проверьте цену товара. Большинство товаров в выбранной категории стоят дороже 458","")))))),"")</f>
      </c>
    </row>
    <row r="260">
      <c r="A260" s="2" t="inlineStr">
        <is>
          <t/>
        </is>
      </c>
      <c r="B260" s="2" t="inlineStr">
        <is>
          <t>Фены</t>
        </is>
      </c>
      <c r="C260" s="2">
        <v>600650202</v>
      </c>
      <c r="D260" s="2" t="inlineStr">
        <is>
          <t>191510</t>
        </is>
      </c>
      <c r="E260" s="2" t="inlineStr">
        <is>
          <t>2047106057963</t>
        </is>
      </c>
      <c r="F260" s="2">
        <v>0</v>
      </c>
      <c r="G260" s="2">
        <v>0</v>
      </c>
      <c r="H260" s="2" t="inlineStr">
        <is>
          <t/>
        </is>
      </c>
      <c r="I260" s="2" t="inlineStr">
        <is>
          <t>35928</t>
        </is>
      </c>
      <c r="J260" s="4"/>
      <c r="K260" s="2">
        <v>65</v>
      </c>
      <c r="L260" s="6"/>
      <c r="M260" s="2" t="str">
        <f>IF(J260="",ROUND(I260*(1-IF(ISBLANK(L260),K260,L260)/100),2),ROUND(J260*(1-IF(ISBLANK(L260),K260,L260)/100),2))</f>
      </c>
      <c r="N260" s="7" t="str">
        <f>IF(NOT(AND(J260="",L260="")),IF(OR(AND(L260&lt;&gt;"",NOT(ISNUMBER(L260))),IFERROR(MOD(L260,1),1)&gt;0,AND(ISNUMBER(L260),OR(L260&lt;0,L260&gt;95))),"Введите целое число от 0 до 95",IF(OR(AND(J260&lt;&gt;"",NOT(ISNUMBER(J260))),IFERROR(MOD(J260,1),1)&gt;0,AND(ISNUMBER(J260),OR(J260&lt;50,J260&gt;20000000))),"Введите целое число от 50 до 20000000",IF(NOT(ABS(IFERROR(VALUE(LEFT(M260,FIND("-",M260)-1)),M260)*100-(2500+2000000000)/2)&lt;=ABS(2500-2000000000)/2),"Цена со скидкой должна быть от 25 до 20000000",IF(AND(IFERROR(VALUE(LEFT(M260,FIND("-",M260)-1)),M260)*150&lt;=1257480,IFERROR(VALUE(LEFT(M260,FIND("-",M260)-1)),M260)*200&gt;1257480),"Вы уменьшили цену в несколько раз, товар попадет в карантин цен",IF(IFERROR(VALUE(LEFT(M260,FIND("-",M260)-1)),M260)*200&lt;=1257480,"Не сохранили изменения, чтобы защитить от ошибки — новые цены меньше текущих более чем в 2 раза. Снижайте их постепенно",IF(AND(IFERROR(VALUE(I260),0)=0,ISNUMBER(J260),OR(J260&lt;411,ABS(IFERROR(VALUE(LEFT(M260,FIND("-",M260)-1)),M260))*100&lt;41100)),"Проверьте цену товара. Большинство товаров в выбранной категории стоят дороже 411","")))))),"")</f>
      </c>
    </row>
    <row r="261">
      <c r="A261" s="2" t="inlineStr">
        <is>
          <t/>
        </is>
      </c>
      <c r="B261" s="2" t="inlineStr">
        <is>
          <t>Фены</t>
        </is>
      </c>
      <c r="C261" s="2">
        <v>600650195</v>
      </c>
      <c r="D261" s="2" t="inlineStr">
        <is>
          <t>192527</t>
        </is>
      </c>
      <c r="E261" s="2" t="inlineStr">
        <is>
          <t>2047106057932</t>
        </is>
      </c>
      <c r="F261" s="2">
        <v>0</v>
      </c>
      <c r="G261" s="2">
        <v>8</v>
      </c>
      <c r="H261" s="2" t="inlineStr">
        <is>
          <t/>
        </is>
      </c>
      <c r="I261" s="2" t="inlineStr">
        <is>
          <t>10247</t>
        </is>
      </c>
      <c r="J261" s="4"/>
      <c r="K261" s="2">
        <v>78</v>
      </c>
      <c r="L261" s="6"/>
      <c r="M261" s="2" t="str">
        <f>IF(J261="",ROUND(I261*(1-IF(ISBLANK(L261),K261,L261)/100),2),ROUND(J261*(1-IF(ISBLANK(L261),K261,L261)/100),2))</f>
      </c>
      <c r="N261" s="7" t="str">
        <f>IF(NOT(AND(J261="",L261="")),IF(OR(AND(L261&lt;&gt;"",NOT(ISNUMBER(L261))),IFERROR(MOD(L261,1),1)&gt;0,AND(ISNUMBER(L261),OR(L261&lt;0,L261&gt;95))),"Введите целое число от 0 до 95",IF(OR(AND(J261&lt;&gt;"",NOT(ISNUMBER(J261))),IFERROR(MOD(J261,1),1)&gt;0,AND(ISNUMBER(J261),OR(J261&lt;50,J261&gt;20000000))),"Введите целое число от 50 до 20000000",IF(NOT(ABS(IFERROR(VALUE(LEFT(M261,FIND("-",M261)-1)),M261)*100-(2500+2000000000)/2)&lt;=ABS(2500-2000000000)/2),"Цена со скидкой должна быть от 25 до 20000000",IF(AND(IFERROR(VALUE(LEFT(M261,FIND("-",M261)-1)),M261)*150&lt;=225433,IFERROR(VALUE(LEFT(M261,FIND("-",M261)-1)),M261)*200&gt;225433),"Вы уменьшили цену в несколько раз, товар попадет в карантин цен",IF(IFERROR(VALUE(LEFT(M261,FIND("-",M261)-1)),M261)*200&lt;=225433,"Не сохранили изменения, чтобы защитить от ошибки — новые цены меньше текущих более чем в 2 раза. Снижайте их постепенно",IF(AND(IFERROR(VALUE(I261),0)=0,ISNUMBER(J261),OR(J261&lt;411,ABS(IFERROR(VALUE(LEFT(M261,FIND("-",M261)-1)),M261))*100&lt;41100)),"Проверьте цену товара. Большинство товаров в выбранной категории стоят дороже 411","")))))),"")</f>
      </c>
    </row>
    <row r="262">
      <c r="A262" s="2" t="inlineStr">
        <is>
          <t/>
        </is>
      </c>
      <c r="B262" s="2" t="inlineStr">
        <is>
          <t>Ланч-боксы</t>
        </is>
      </c>
      <c r="C262" s="2">
        <v>600645328</v>
      </c>
      <c r="D262" s="2" t="inlineStr">
        <is>
          <t>281774</t>
        </is>
      </c>
      <c r="E262" s="2" t="inlineStr">
        <is>
          <t>2047129195277</t>
        </is>
      </c>
      <c r="F262" s="2">
        <v>0</v>
      </c>
      <c r="G262" s="2">
        <v>4</v>
      </c>
      <c r="H262" s="2" t="inlineStr">
        <is>
          <t/>
        </is>
      </c>
      <c r="I262" s="2" t="inlineStr">
        <is>
          <t>7606</t>
        </is>
      </c>
      <c r="J262" s="4"/>
      <c r="K262" s="2">
        <v>78</v>
      </c>
      <c r="L262" s="6"/>
      <c r="M262" s="2" t="str">
        <f>IF(J262="",ROUND(I262*(1-IF(ISBLANK(L262),K262,L262)/100),2),ROUND(J262*(1-IF(ISBLANK(L262),K262,L262)/100),2))</f>
      </c>
      <c r="N262" s="7" t="str">
        <f>IF(NOT(AND(J262="",L262="")),IF(OR(AND(L262&lt;&gt;"",NOT(ISNUMBER(L262))),IFERROR(MOD(L262,1),1)&gt;0,AND(ISNUMBER(L262),OR(L262&lt;0,L262&gt;95))),"Введите целое число от 0 до 95",IF(OR(AND(J262&lt;&gt;"",NOT(ISNUMBER(J262))),IFERROR(MOD(J262,1),1)&gt;0,AND(ISNUMBER(J262),OR(J262&lt;50,J262&gt;20000000))),"Введите целое число от 50 до 20000000",IF(NOT(ABS(IFERROR(VALUE(LEFT(M262,FIND("-",M262)-1)),M262)*100-(2500+2000000000)/2)&lt;=ABS(2500-2000000000)/2),"Цена со скидкой должна быть от 25 до 20000000",IF(AND(IFERROR(VALUE(LEFT(M262,FIND("-",M262)-1)),M262)*150&lt;=167331,IFERROR(VALUE(LEFT(M262,FIND("-",M262)-1)),M262)*200&gt;167331),"Вы уменьшили цену в несколько раз, товар попадет в карантин цен",IF(IFERROR(VALUE(LEFT(M262,FIND("-",M262)-1)),M262)*200&lt;=167331,"Не сохранили изменения, чтобы защитить от ошибки — новые цены меньше текущих более чем в 2 раза. Снижайте их постепенно",IF(AND(IFERROR(VALUE(I262),0)=0,ISNUMBER(J262),OR(J262&lt;364,ABS(IFERROR(VALUE(LEFT(M262,FIND("-",M262)-1)),M262))*100&lt;36400)),"Проверьте цену товара. Большинство товаров в выбранной категории стоят дороже 364","")))))),"")</f>
      </c>
    </row>
    <row r="263">
      <c r="A263" s="2" t="inlineStr">
        <is>
          <t>Luxaro</t>
        </is>
      </c>
      <c r="B263" s="2" t="inlineStr">
        <is>
          <t>Бритвы электрические</t>
        </is>
      </c>
      <c r="C263" s="2">
        <v>600650237</v>
      </c>
      <c r="D263" s="2" t="inlineStr">
        <is>
          <t>191107</t>
        </is>
      </c>
      <c r="E263" s="2" t="inlineStr">
        <is>
          <t>2047106057734</t>
        </is>
      </c>
      <c r="F263" s="2">
        <v>0</v>
      </c>
      <c r="G263" s="2">
        <v>8</v>
      </c>
      <c r="H263" s="2" t="inlineStr">
        <is>
          <t/>
        </is>
      </c>
      <c r="I263" s="2" t="inlineStr">
        <is>
          <t>8876</t>
        </is>
      </c>
      <c r="J263" s="4"/>
      <c r="K263" s="2">
        <v>80</v>
      </c>
      <c r="L263" s="6"/>
      <c r="M263" s="2" t="str">
        <f>IF(J263="",ROUND(I263*(1-IF(ISBLANK(L263),K263,L263)/100),2),ROUND(J263*(1-IF(ISBLANK(L263),K263,L263)/100),2))</f>
      </c>
      <c r="N263" s="7" t="str">
        <f>IF(NOT(AND(J263="",L263="")),IF(OR(AND(L263&lt;&gt;"",NOT(ISNUMBER(L263))),IFERROR(MOD(L263,1),1)&gt;0,AND(ISNUMBER(L263),OR(L263&lt;0,L263&gt;95))),"Введите целое число от 0 до 95",IF(OR(AND(J263&lt;&gt;"",NOT(ISNUMBER(J263))),IFERROR(MOD(J263,1),1)&gt;0,AND(ISNUMBER(J263),OR(J263&lt;50,J263&gt;20000000))),"Введите целое число от 50 до 20000000",IF(NOT(ABS(IFERROR(VALUE(LEFT(M263,FIND("-",M263)-1)),M263)*100-(2500+2000000000)/2)&lt;=ABS(2500-2000000000)/2),"Цена со скидкой должна быть от 25 до 20000000",IF(AND(IFERROR(VALUE(LEFT(M263,FIND("-",M263)-1)),M263)*150&lt;=177519,IFERROR(VALUE(LEFT(M263,FIND("-",M263)-1)),M263)*200&gt;177519),"Вы уменьшили цену в несколько раз, товар попадет в карантин цен",IF(IFERROR(VALUE(LEFT(M263,FIND("-",M263)-1)),M263)*200&lt;=177519,"Не сохранили изменения, чтобы защитить от ошибки — новые цены меньше текущих более чем в 2 раза. Снижайте их постепенно",IF(AND(IFERROR(VALUE(I263),0)=0,ISNUMBER(J263),OR(J263&lt;295,ABS(IFERROR(VALUE(LEFT(M263,FIND("-",M263)-1)),M263))*100&lt;29500)),"Проверьте цену товара. Большинство товаров в выбранной категории стоят дороже 295","")))))),"")</f>
      </c>
    </row>
    <row r="264">
      <c r="A264" s="2" t="inlineStr">
        <is>
          <t/>
        </is>
      </c>
      <c r="B264" s="2" t="inlineStr">
        <is>
          <t>Термосы</t>
        </is>
      </c>
      <c r="C264" s="2">
        <v>600647780</v>
      </c>
      <c r="D264" s="2" t="inlineStr">
        <is>
          <t>282116</t>
        </is>
      </c>
      <c r="E264" s="2" t="inlineStr">
        <is>
          <t>2047129194751</t>
        </is>
      </c>
      <c r="F264" s="2">
        <v>0</v>
      </c>
      <c r="G264" s="2">
        <v>18</v>
      </c>
      <c r="H264" s="2" t="inlineStr">
        <is>
          <t/>
        </is>
      </c>
      <c r="I264" s="2" t="inlineStr">
        <is>
          <t>11796</t>
        </is>
      </c>
      <c r="J264" s="4"/>
      <c r="K264" s="2">
        <v>78</v>
      </c>
      <c r="L264" s="6"/>
      <c r="M264" s="2" t="str">
        <f>IF(J264="",ROUND(I264*(1-IF(ISBLANK(L264),K264,L264)/100),2),ROUND(J264*(1-IF(ISBLANK(L264),K264,L264)/100),2))</f>
      </c>
      <c r="N264" s="7" t="str">
        <f>IF(NOT(AND(J264="",L264="")),IF(OR(AND(L264&lt;&gt;"",NOT(ISNUMBER(L264))),IFERROR(MOD(L264,1),1)&gt;0,AND(ISNUMBER(L264),OR(L264&lt;0,L264&gt;95))),"Введите целое число от 0 до 95",IF(OR(AND(J264&lt;&gt;"",NOT(ISNUMBER(J264))),IFERROR(MOD(J264,1),1)&gt;0,AND(ISNUMBER(J264),OR(J264&lt;50,J264&gt;20000000))),"Введите целое число от 50 до 20000000",IF(NOT(ABS(IFERROR(VALUE(LEFT(M264,FIND("-",M264)-1)),M264)*100-(2500+2000000000)/2)&lt;=ABS(2500-2000000000)/2),"Цена со скидкой должна быть от 25 до 20000000",IF(AND(IFERROR(VALUE(LEFT(M264,FIND("-",M264)-1)),M264)*150&lt;=259512,IFERROR(VALUE(LEFT(M264,FIND("-",M264)-1)),M264)*200&gt;259512),"Вы уменьшили цену в несколько раз, товар попадет в карантин цен",IF(IFERROR(VALUE(LEFT(M264,FIND("-",M264)-1)),M264)*200&lt;=259512,"Не сохранили изменения, чтобы защитить от ошибки — новые цены меньше текущих более чем в 2 раза. Снижайте их постепенно",IF(AND(IFERROR(VALUE(I264),0)=0,ISNUMBER(J264),OR(J264&lt;547,ABS(IFERROR(VALUE(LEFT(M264,FIND("-",M264)-1)),M264))*100&lt;54700)),"Проверьте цену товара. Большинство товаров в выбранной категории стоят дороже 547","")))))),"")</f>
      </c>
    </row>
    <row r="265">
      <c r="A265" s="2" t="inlineStr">
        <is>
          <t/>
        </is>
      </c>
      <c r="B265" s="2" t="inlineStr">
        <is>
          <t>Дождевики</t>
        </is>
      </c>
      <c r="C265" s="2">
        <v>600651716</v>
      </c>
      <c r="D265" s="2" t="inlineStr">
        <is>
          <t>521301</t>
        </is>
      </c>
      <c r="E265" s="2" t="inlineStr">
        <is>
          <t>2047129380574</t>
        </is>
      </c>
      <c r="F265" s="2">
        <v>0</v>
      </c>
      <c r="G265" s="2">
        <v>27</v>
      </c>
      <c r="H265" s="2" t="inlineStr">
        <is>
          <t/>
        </is>
      </c>
      <c r="I265" s="2" t="inlineStr">
        <is>
          <t>2780</t>
        </is>
      </c>
      <c r="J265" s="4"/>
      <c r="K265" s="2">
        <v>78</v>
      </c>
      <c r="L265" s="6"/>
      <c r="M265" s="2" t="str">
        <f>IF(J265="",ROUND(I265*(1-IF(ISBLANK(L265),K265,L265)/100),2),ROUND(J265*(1-IF(ISBLANK(L265),K265,L265)/100),2))</f>
      </c>
      <c r="N265" s="7" t="str">
        <f>IF(NOT(AND(J265="",L265="")),IF(OR(AND(L265&lt;&gt;"",NOT(ISNUMBER(L265))),IFERROR(MOD(L265,1),1)&gt;0,AND(ISNUMBER(L265),OR(L265&lt;0,L265&gt;95))),"Введите целое число от 0 до 95",IF(OR(AND(J265&lt;&gt;"",NOT(ISNUMBER(J265))),IFERROR(MOD(J265,1),1)&gt;0,AND(ISNUMBER(J265),OR(J265&lt;50,J265&gt;20000000))),"Введите целое число от 50 до 20000000",IF(NOT(ABS(IFERROR(VALUE(LEFT(M265,FIND("-",M265)-1)),M265)*100-(2500+2000000000)/2)&lt;=ABS(2500-2000000000)/2),"Цена со скидкой должна быть от 25 до 20000000",IF(AND(IFERROR(VALUE(LEFT(M265,FIND("-",M265)-1)),M265)*150&lt;=61159,IFERROR(VALUE(LEFT(M265,FIND("-",M265)-1)),M265)*200&gt;61159),"Вы уменьшили цену в несколько раз, товар попадет в карантин цен",IF(IFERROR(VALUE(LEFT(M265,FIND("-",M265)-1)),M265)*200&lt;=61159,"Не сохранили изменения, чтобы защитить от ошибки — новые цены меньше текущих более чем в 2 раза. Снижайте их постепенно",IF(AND(IFERROR(VALUE(I265),0)=0,ISNUMBER(J265),OR(J265&lt;348,ABS(IFERROR(VALUE(LEFT(M265,FIND("-",M265)-1)),M265))*100&lt;34800)),"Проверьте цену товара. Большинство товаров в выбранной категории стоят дороже 348","")))))),"")</f>
      </c>
    </row>
    <row r="266">
      <c r="A266" s="2" t="inlineStr">
        <is>
          <t/>
        </is>
      </c>
      <c r="B266" s="2" t="inlineStr">
        <is>
          <t>Овощерезки ручные</t>
        </is>
      </c>
      <c r="C266" s="2">
        <v>600630476</v>
      </c>
      <c r="D266" s="2" t="inlineStr">
        <is>
          <t>511466</t>
        </is>
      </c>
      <c r="E266" s="2" t="inlineStr">
        <is>
          <t>2047129101957</t>
        </is>
      </c>
      <c r="F266" s="2">
        <v>0</v>
      </c>
      <c r="G266" s="2">
        <v>2</v>
      </c>
      <c r="H266" s="2" t="inlineStr">
        <is>
          <t/>
        </is>
      </c>
      <c r="I266" s="2" t="inlineStr">
        <is>
          <t>10822</t>
        </is>
      </c>
      <c r="J266" s="4"/>
      <c r="K266" s="2">
        <v>78</v>
      </c>
      <c r="L266" s="6"/>
      <c r="M266" s="2" t="str">
        <f>IF(J266="",ROUND(I266*(1-IF(ISBLANK(L266),K266,L266)/100),2),ROUND(J266*(1-IF(ISBLANK(L266),K266,L266)/100),2))</f>
      </c>
      <c r="N266" s="7" t="str">
        <f>IF(NOT(AND(J266="",L266="")),IF(OR(AND(L266&lt;&gt;"",NOT(ISNUMBER(L266))),IFERROR(MOD(L266,1),1)&gt;0,AND(ISNUMBER(L266),OR(L266&lt;0,L266&gt;95))),"Введите целое число от 0 до 95",IF(OR(AND(J266&lt;&gt;"",NOT(ISNUMBER(J266))),IFERROR(MOD(J266,1),1)&gt;0,AND(ISNUMBER(J266),OR(J266&lt;50,J266&gt;20000000))),"Введите целое число от 50 до 20000000",IF(NOT(ABS(IFERROR(VALUE(LEFT(M266,FIND("-",M266)-1)),M266)*100-(2500+2000000000)/2)&lt;=ABS(2500-2000000000)/2),"Цена со скидкой должна быть от 25 до 20000000",IF(AND(IFERROR(VALUE(LEFT(M266,FIND("-",M266)-1)),M266)*150&lt;=238083,IFERROR(VALUE(LEFT(M266,FIND("-",M266)-1)),M266)*200&gt;238083),"Вы уменьшили цену в несколько раз, товар попадет в карантин цен",IF(IFERROR(VALUE(LEFT(M266,FIND("-",M266)-1)),M266)*200&lt;=238083,"Не сохранили изменения, чтобы защитить от ошибки — новые цены меньше текущих более чем в 2 раза. Снижайте их постепенно",IF(AND(IFERROR(VALUE(I266),0)=0,ISNUMBER(J266),OR(J266&lt;279,ABS(IFERROR(VALUE(LEFT(M266,FIND("-",M266)-1)),M266))*100&lt;27900)),"Проверьте цену товара. Большинство товаров в выбранной категории стоят дороже 279","")))))),"")</f>
      </c>
    </row>
    <row r="267">
      <c r="A267" s="2" t="inlineStr">
        <is>
          <t/>
        </is>
      </c>
      <c r="B267" s="2" t="inlineStr">
        <is>
          <t>Весы</t>
        </is>
      </c>
      <c r="C267" s="2">
        <v>600650219</v>
      </c>
      <c r="D267" s="2" t="inlineStr">
        <is>
          <t>192117</t>
        </is>
      </c>
      <c r="E267" s="2" t="inlineStr">
        <is>
          <t>2047106057789</t>
        </is>
      </c>
      <c r="F267" s="2">
        <v>0</v>
      </c>
      <c r="G267" s="2">
        <v>8</v>
      </c>
      <c r="H267" s="2" t="inlineStr">
        <is>
          <t/>
        </is>
      </c>
      <c r="I267" s="2" t="inlineStr">
        <is>
          <t>7948</t>
        </is>
      </c>
      <c r="J267" s="4"/>
      <c r="K267" s="2">
        <v>69</v>
      </c>
      <c r="L267" s="6"/>
      <c r="M267" s="2" t="str">
        <f>IF(J267="",ROUND(I267*(1-IF(ISBLANK(L267),K267,L267)/100),2),ROUND(J267*(1-IF(ISBLANK(L267),K267,L267)/100),2))</f>
      </c>
      <c r="N267" s="7" t="str">
        <f>IF(NOT(AND(J267="",L267="")),IF(OR(AND(L267&lt;&gt;"",NOT(ISNUMBER(L267))),IFERROR(MOD(L267,1),1)&gt;0,AND(ISNUMBER(L267),OR(L267&lt;0,L267&gt;95))),"Введите целое число от 0 до 95",IF(OR(AND(J267&lt;&gt;"",NOT(ISNUMBER(J267))),IFERROR(MOD(J267,1),1)&gt;0,AND(ISNUMBER(J267),OR(J267&lt;50,J267&gt;20000000))),"Введите целое число от 50 до 20000000",IF(NOT(ABS(IFERROR(VALUE(LEFT(M267,FIND("-",M267)-1)),M267)*100-(2500+2000000000)/2)&lt;=ABS(2500-2000000000)/2),"Цена со скидкой должна быть от 25 до 20000000",IF(AND(IFERROR(VALUE(LEFT(M267,FIND("-",M267)-1)),M267)*150&lt;=246388,IFERROR(VALUE(LEFT(M267,FIND("-",M267)-1)),M267)*200&gt;246388),"Вы уменьшили цену в несколько раз, товар попадет в карантин цен",IF(IFERROR(VALUE(LEFT(M267,FIND("-",M267)-1)),M267)*200&lt;=246388,"Не сохранили изменения, чтобы защитить от ошибки — новые цены меньше текущих более чем в 2 раза. Снижайте их постепенно",IF(AND(IFERROR(VALUE(I267),0)=0,ISNUMBER(J267),OR(J267&lt;354,ABS(IFERROR(VALUE(LEFT(M267,FIND("-",M267)-1)),M267))*100&lt;35400)),"Проверьте цену товара. Большинство товаров в выбранной категории стоят дороже 354","")))))),"")</f>
      </c>
    </row>
    <row r="268">
      <c r="A268" s="2" t="inlineStr">
        <is>
          <t/>
        </is>
      </c>
      <c r="B268" s="2" t="inlineStr">
        <is>
          <t>Водонагреватели</t>
        </is>
      </c>
      <c r="C268" s="2">
        <v>600650845</v>
      </c>
      <c r="D268" s="2" t="inlineStr">
        <is>
          <t>192590</t>
        </is>
      </c>
      <c r="E268" s="2" t="inlineStr">
        <is>
          <t>2047129359655</t>
        </is>
      </c>
      <c r="F268" s="2">
        <v>0</v>
      </c>
      <c r="G268" s="2">
        <v>6</v>
      </c>
      <c r="H268" s="2" t="inlineStr">
        <is>
          <t/>
        </is>
      </c>
      <c r="I268" s="2" t="inlineStr">
        <is>
          <t>19277</t>
        </is>
      </c>
      <c r="J268" s="4"/>
      <c r="K268" s="2">
        <v>80</v>
      </c>
      <c r="L268" s="6"/>
      <c r="M268" s="2" t="str">
        <f>IF(J268="",ROUND(I268*(1-IF(ISBLANK(L268),K268,L268)/100),2),ROUND(J268*(1-IF(ISBLANK(L268),K268,L268)/100),2))</f>
      </c>
      <c r="N268" s="7" t="str">
        <f>IF(NOT(AND(J268="",L268="")),IF(OR(AND(L268&lt;&gt;"",NOT(ISNUMBER(L268))),IFERROR(MOD(L268,1),1)&gt;0,AND(ISNUMBER(L268),OR(L268&lt;0,L268&gt;95))),"Введите целое число от 0 до 95",IF(OR(AND(J268&lt;&gt;"",NOT(ISNUMBER(J268))),IFERROR(MOD(J268,1),1)&gt;0,AND(ISNUMBER(J268),OR(J268&lt;50,J268&gt;20000000))),"Введите целое число от 50 до 20000000",IF(NOT(ABS(IFERROR(VALUE(LEFT(M268,FIND("-",M268)-1)),M268)*100-(2500+2000000000)/2)&lt;=ABS(2500-2000000000)/2),"Цена со скидкой должна быть от 25 до 20000000",IF(AND(IFERROR(VALUE(LEFT(M268,FIND("-",M268)-1)),M268)*150&lt;=385539,IFERROR(VALUE(LEFT(M268,FIND("-",M268)-1)),M268)*200&gt;385539),"Вы уменьшили цену в несколько раз, товар попадет в карантин цен",IF(IFERROR(VALUE(LEFT(M268,FIND("-",M268)-1)),M268)*200&lt;=385539,"Не сохранили изменения, чтобы защитить от ошибки — новые цены меньше текущих более чем в 2 раза. Снижайте их постепенно",IF(AND(IFERROR(VALUE(I268),0)=0,ISNUMBER(J268),OR(J268&lt;463,ABS(IFERROR(VALUE(LEFT(M268,FIND("-",M268)-1)),M268))*100&lt;46300)),"Проверьте цену товара. Большинство товаров в выбранной категории стоят дороже 463","")))))),"")</f>
      </c>
    </row>
    <row r="269">
      <c r="A269" s="2" t="inlineStr">
        <is>
          <t/>
        </is>
      </c>
      <c r="B269" s="2" t="inlineStr">
        <is>
          <t>Термосы</t>
        </is>
      </c>
      <c r="C269" s="2">
        <v>600647776</v>
      </c>
      <c r="D269" s="2" t="inlineStr">
        <is>
          <t>821456</t>
        </is>
      </c>
      <c r="E269" s="2" t="inlineStr">
        <is>
          <t>2047129194713</t>
        </is>
      </c>
      <c r="F269" s="2">
        <v>0</v>
      </c>
      <c r="G269" s="2">
        <v>0</v>
      </c>
      <c r="H269" s="2" t="inlineStr">
        <is>
          <t/>
        </is>
      </c>
      <c r="I269" s="2" t="inlineStr">
        <is>
          <t>8365</t>
        </is>
      </c>
      <c r="J269" s="4"/>
      <c r="K269" s="2">
        <v>78</v>
      </c>
      <c r="L269" s="6"/>
      <c r="M269" s="2" t="str">
        <f>IF(J269="",ROUND(I269*(1-IF(ISBLANK(L269),K269,L269)/100),2),ROUND(J269*(1-IF(ISBLANK(L269),K269,L269)/100),2))</f>
      </c>
      <c r="N269" s="7" t="str">
        <f>IF(NOT(AND(J269="",L269="")),IF(OR(AND(L269&lt;&gt;"",NOT(ISNUMBER(L269))),IFERROR(MOD(L269,1),1)&gt;0,AND(ISNUMBER(L269),OR(L269&lt;0,L269&gt;95))),"Введите целое число от 0 до 95",IF(OR(AND(J269&lt;&gt;"",NOT(ISNUMBER(J269))),IFERROR(MOD(J269,1),1)&gt;0,AND(ISNUMBER(J269),OR(J269&lt;50,J269&gt;20000000))),"Введите целое число от 50 до 20000000",IF(NOT(ABS(IFERROR(VALUE(LEFT(M269,FIND("-",M269)-1)),M269)*100-(2500+2000000000)/2)&lt;=ABS(2500-2000000000)/2),"Цена со скидкой должна быть от 25 до 20000000",IF(AND(IFERROR(VALUE(LEFT(M269,FIND("-",M269)-1)),M269)*150&lt;=184029,IFERROR(VALUE(LEFT(M269,FIND("-",M269)-1)),M269)*200&gt;184029),"Вы уменьшили цену в несколько раз, товар попадет в карантин цен",IF(IFERROR(VALUE(LEFT(M269,FIND("-",M269)-1)),M269)*200&lt;=184029,"Не сохранили изменения, чтобы защитить от ошибки — новые цены меньше текущих более чем в 2 раза. Снижайте их постепенно",IF(AND(IFERROR(VALUE(I269),0)=0,ISNUMBER(J269),OR(J269&lt;547,ABS(IFERROR(VALUE(LEFT(M269,FIND("-",M269)-1)),M269))*100&lt;54700)),"Проверьте цену товара. Большинство товаров в выбранной категории стоят дороже 547","")))))),"")</f>
      </c>
    </row>
    <row r="270">
      <c r="A270" s="2" t="inlineStr">
        <is>
          <t/>
        </is>
      </c>
      <c r="B270" s="2" t="inlineStr">
        <is>
          <t>Дождевики</t>
        </is>
      </c>
      <c r="C270" s="2">
        <v>600651714</v>
      </c>
      <c r="D270" s="2" t="inlineStr">
        <is>
          <t>511475</t>
        </is>
      </c>
      <c r="E270" s="2" t="inlineStr">
        <is>
          <t>2047129380536</t>
        </is>
      </c>
      <c r="F270" s="2">
        <v>0</v>
      </c>
      <c r="G270" s="2">
        <v>12</v>
      </c>
      <c r="H270" s="2" t="inlineStr">
        <is>
          <t/>
        </is>
      </c>
      <c r="I270" s="2" t="inlineStr">
        <is>
          <t>6168</t>
        </is>
      </c>
      <c r="J270" s="4"/>
      <c r="K270" s="2">
        <v>78</v>
      </c>
      <c r="L270" s="6"/>
      <c r="M270" s="2" t="str">
        <f>IF(J270="",ROUND(I270*(1-IF(ISBLANK(L270),K270,L270)/100),2),ROUND(J270*(1-IF(ISBLANK(L270),K270,L270)/100),2))</f>
      </c>
      <c r="N270" s="7" t="str">
        <f>IF(NOT(AND(J270="",L270="")),IF(OR(AND(L270&lt;&gt;"",NOT(ISNUMBER(L270))),IFERROR(MOD(L270,1),1)&gt;0,AND(ISNUMBER(L270),OR(L270&lt;0,L270&gt;95))),"Введите целое число от 0 до 95",IF(OR(AND(J270&lt;&gt;"",NOT(ISNUMBER(J270))),IFERROR(MOD(J270,1),1)&gt;0,AND(ISNUMBER(J270),OR(J270&lt;50,J270&gt;20000000))),"Введите целое число от 50 до 20000000",IF(NOT(ABS(IFERROR(VALUE(LEFT(M270,FIND("-",M270)-1)),M270)*100-(2500+2000000000)/2)&lt;=ABS(2500-2000000000)/2),"Цена со скидкой должна быть от 25 до 20000000",IF(AND(IFERROR(VALUE(LEFT(M270,FIND("-",M270)-1)),M270)*150&lt;=135695,IFERROR(VALUE(LEFT(M270,FIND("-",M270)-1)),M270)*200&gt;135695),"Вы уменьшили цену в несколько раз, товар попадет в карантин цен",IF(IFERROR(VALUE(LEFT(M270,FIND("-",M270)-1)),M270)*200&lt;=135695,"Не сохранили изменения, чтобы защитить от ошибки — новые цены меньше текущих более чем в 2 раза. Снижайте их постепенно",IF(AND(IFERROR(VALUE(I270),0)=0,ISNUMBER(J270),OR(J270&lt;348,ABS(IFERROR(VALUE(LEFT(M270,FIND("-",M270)-1)),M270))*100&lt;34800)),"Проверьте цену товара. Большинство товаров в выбранной категории стоят дороже 348","")))))),"")</f>
      </c>
    </row>
    <row r="271">
      <c r="A271" s="2" t="inlineStr">
        <is>
          <t>Luxaro</t>
        </is>
      </c>
      <c r="B271" s="2" t="inlineStr">
        <is>
          <t>Кружки</t>
        </is>
      </c>
      <c r="C271" s="2">
        <v>525043061</v>
      </c>
      <c r="D271" s="2" t="inlineStr">
        <is>
          <t>075912</t>
        </is>
      </c>
      <c r="E271" s="2" t="inlineStr">
        <is>
          <t>2045865475615</t>
        </is>
      </c>
      <c r="F271" s="2">
        <v>172</v>
      </c>
      <c r="G271" s="2">
        <v>15</v>
      </c>
      <c r="H271" s="2">
        <v>999</v>
      </c>
      <c r="I271" s="2" t="inlineStr">
        <is>
          <t>4784</t>
        </is>
      </c>
      <c r="J271" s="4"/>
      <c r="K271" s="2">
        <v>81</v>
      </c>
      <c r="L271" s="6"/>
      <c r="M271" s="2" t="str">
        <f>IF(J271="",ROUND(I271*(1-IF(ISBLANK(L271),K271,L271)/100),2),ROUND(J271*(1-IF(ISBLANK(L271),K271,L271)/100),2))</f>
      </c>
      <c r="N271" s="7" t="str">
        <f>IF(NOT(AND(J271="",L271="")),IF(OR(AND(L271&lt;&gt;"",NOT(ISNUMBER(L271))),IFERROR(MOD(L271,1),1)&gt;0,AND(ISNUMBER(L271),OR(L271&lt;0,L271&gt;95))),"Введите целое число от 0 до 95",IF(OR(AND(J271&lt;&gt;"",NOT(ISNUMBER(J271))),IFERROR(MOD(J271,1),1)&gt;0,AND(ISNUMBER(J271),OR(J271&lt;50,J271&gt;20000000))),"Введите целое число от 50 до 20000000",IF(NOT(ABS(IFERROR(VALUE(LEFT(M271,FIND("-",M271)-1)),M271)*100-(2500+2000000000)/2)&lt;=ABS(2500-2000000000)/2),"Цена со скидкой должна быть от 25 до 20000000",IF(AND(IFERROR(VALUE(LEFT(M271,FIND("-",M271)-1)),M271)*150&lt;=90895,IFERROR(VALUE(LEFT(M271,FIND("-",M271)-1)),M271)*200&gt;90895),"Вы уменьшили цену в несколько раз, товар попадет в карантин цен",IF(IFERROR(VALUE(LEFT(M271,FIND("-",M271)-1)),M271)*200&lt;=90895,"Не сохранили изменения, чтобы защитить от ошибки — новые цены меньше текущих более чем в 2 раза. Снижайте их постепенно",IF(AND(IFERROR(VALUE(I271),0)=0,ISNUMBER(J271),OR(J271&lt;444,ABS(IFERROR(VALUE(LEFT(M271,FIND("-",M271)-1)),M271))*100&lt;44400)),"Проверьте цену товара. Большинство товаров в выбранной категории стоят дороже 444","")))))),"")</f>
      </c>
    </row>
    <row r="272">
      <c r="A272" s="2" t="inlineStr">
        <is>
          <t/>
        </is>
      </c>
      <c r="B272" s="2" t="inlineStr">
        <is>
          <t>Удлинители</t>
        </is>
      </c>
      <c r="C272" s="2">
        <v>619515974</v>
      </c>
      <c r="D272" s="2" t="inlineStr">
        <is>
          <t>880046</t>
        </is>
      </c>
      <c r="E272" s="2" t="inlineStr">
        <is>
          <t>2047325328028</t>
        </is>
      </c>
      <c r="F272" s="2">
        <v>0</v>
      </c>
      <c r="G272" s="2">
        <v>16</v>
      </c>
      <c r="H272" s="2" t="inlineStr">
        <is>
          <t/>
        </is>
      </c>
      <c r="I272" s="2" t="inlineStr">
        <is>
          <t>7490</t>
        </is>
      </c>
      <c r="J272" s="4"/>
      <c r="K272" s="2">
        <v>75</v>
      </c>
      <c r="L272" s="6"/>
      <c r="M272" s="2" t="str">
        <f>IF(J272="",ROUND(I272*(1-IF(ISBLANK(L272),K272,L272)/100),2),ROUND(J272*(1-IF(ISBLANK(L272),K272,L272)/100),2))</f>
      </c>
      <c r="N272" s="7" t="str">
        <f>IF(NOT(AND(J272="",L272="")),IF(OR(AND(L272&lt;&gt;"",NOT(ISNUMBER(L272))),IFERROR(MOD(L272,1),1)&gt;0,AND(ISNUMBER(L272),OR(L272&lt;0,L272&gt;95))),"Введите целое число от 0 до 95",IF(OR(AND(J272&lt;&gt;"",NOT(ISNUMBER(J272))),IFERROR(MOD(J272,1),1)&gt;0,AND(ISNUMBER(J272),OR(J272&lt;50,J272&gt;20000000))),"Введите целое число от 50 до 20000000",IF(NOT(ABS(IFERROR(VALUE(LEFT(M272,FIND("-",M272)-1)),M272)*100-(2500+2000000000)/2)&lt;=ABS(2500-2000000000)/2),"Цена со скидкой должна быть от 25 до 20000000",IF(AND(IFERROR(VALUE(LEFT(M272,FIND("-",M272)-1)),M272)*150&lt;=187250,IFERROR(VALUE(LEFT(M272,FIND("-",M272)-1)),M272)*200&gt;187250),"Вы уменьшили цену в несколько раз, товар попадет в карантин цен",IF(IFERROR(VALUE(LEFT(M272,FIND("-",M272)-1)),M272)*200&lt;=187250,"Не сохранили изменения, чтобы защитить от ошибки — новые цены меньше текущих более чем в 2 раза. Снижайте их постепенно",IF(AND(IFERROR(VALUE(I272),0)=0,ISNUMBER(J272),OR(J272&lt;296,ABS(IFERROR(VALUE(LEFT(M272,FIND("-",M272)-1)),M272))*100&lt;29600)),"Проверьте цену товара. Большинство товаров в выбранной категории стоят дороже 296","")))))),"")</f>
      </c>
    </row>
    <row r="273">
      <c r="A273" s="2" t="inlineStr">
        <is>
          <t/>
        </is>
      </c>
      <c r="B273" s="2" t="inlineStr">
        <is>
          <t>Удлинители</t>
        </is>
      </c>
      <c r="C273" s="2">
        <v>619515973</v>
      </c>
      <c r="D273" s="2" t="inlineStr">
        <is>
          <t>880045</t>
        </is>
      </c>
      <c r="E273" s="2" t="inlineStr">
        <is>
          <t>2047325328011</t>
        </is>
      </c>
      <c r="F273" s="2">
        <v>0</v>
      </c>
      <c r="G273" s="2">
        <v>19</v>
      </c>
      <c r="H273" s="2" t="inlineStr">
        <is>
          <t/>
        </is>
      </c>
      <c r="I273" s="2" t="inlineStr">
        <is>
          <t>6808</t>
        </is>
      </c>
      <c r="J273" s="4"/>
      <c r="K273" s="2">
        <v>78</v>
      </c>
      <c r="L273" s="6"/>
      <c r="M273" s="2" t="str">
        <f>IF(J273="",ROUND(I273*(1-IF(ISBLANK(L273),K273,L273)/100),2),ROUND(J273*(1-IF(ISBLANK(L273),K273,L273)/100),2))</f>
      </c>
      <c r="N273" s="7" t="str">
        <f>IF(NOT(AND(J273="",L273="")),IF(OR(AND(L273&lt;&gt;"",NOT(ISNUMBER(L273))),IFERROR(MOD(L273,1),1)&gt;0,AND(ISNUMBER(L273),OR(L273&lt;0,L273&gt;95))),"Введите целое число от 0 до 95",IF(OR(AND(J273&lt;&gt;"",NOT(ISNUMBER(J273))),IFERROR(MOD(J273,1),1)&gt;0,AND(ISNUMBER(J273),OR(J273&lt;50,J273&gt;20000000))),"Введите целое число от 50 до 20000000",IF(NOT(ABS(IFERROR(VALUE(LEFT(M273,FIND("-",M273)-1)),M273)*100-(2500+2000000000)/2)&lt;=ABS(2500-2000000000)/2),"Цена со скидкой должна быть от 25 до 20000000",IF(AND(IFERROR(VALUE(LEFT(M273,FIND("-",M273)-1)),M273)*150&lt;=149775,IFERROR(VALUE(LEFT(M273,FIND("-",M273)-1)),M273)*200&gt;149775),"Вы уменьшили цену в несколько раз, товар попадет в карантин цен",IF(IFERROR(VALUE(LEFT(M273,FIND("-",M273)-1)),M273)*200&lt;=149775,"Не сохранили изменения, чтобы защитить от ошибки — новые цены меньше текущих более чем в 2 раза. Снижайте их постепенно",IF(AND(IFERROR(VALUE(I273),0)=0,ISNUMBER(J273),OR(J273&lt;296,ABS(IFERROR(VALUE(LEFT(M273,FIND("-",M273)-1)),M273))*100&lt;29600)),"Проверьте цену товара. Большинство товаров в выбранной категории стоят дороже 296","")))))),"")</f>
      </c>
    </row>
    <row r="274">
      <c r="A274" s="2" t="inlineStr">
        <is>
          <t/>
        </is>
      </c>
      <c r="B274" s="2" t="inlineStr">
        <is>
          <t>Салфетки</t>
        </is>
      </c>
      <c r="C274" s="2">
        <v>619520828</v>
      </c>
      <c r="D274" s="2" t="inlineStr">
        <is>
          <t>433372</t>
        </is>
      </c>
      <c r="E274" s="2" t="inlineStr">
        <is>
          <t>2047325390773</t>
        </is>
      </c>
      <c r="F274" s="2">
        <v>0</v>
      </c>
      <c r="G274" s="2">
        <v>0</v>
      </c>
      <c r="H274" s="2" t="inlineStr">
        <is>
          <t/>
        </is>
      </c>
      <c r="I274" s="2" t="inlineStr">
        <is>
          <t>10976</t>
        </is>
      </c>
      <c r="J274" s="4"/>
      <c r="K274" s="2">
        <v>65</v>
      </c>
      <c r="L274" s="6"/>
      <c r="M274" s="2" t="str">
        <f>IF(J274="",ROUND(I274*(1-IF(ISBLANK(L274),K274,L274)/100),2),ROUND(J274*(1-IF(ISBLANK(L274),K274,L274)/100),2))</f>
      </c>
      <c r="N274" s="7" t="str">
        <f>IF(NOT(AND(J274="",L274="")),IF(OR(AND(L274&lt;&gt;"",NOT(ISNUMBER(L274))),IFERROR(MOD(L274,1),1)&gt;0,AND(ISNUMBER(L274),OR(L274&lt;0,L274&gt;95))),"Введите целое число от 0 до 95",IF(OR(AND(J274&lt;&gt;"",NOT(ISNUMBER(J274))),IFERROR(MOD(J274,1),1)&gt;0,AND(ISNUMBER(J274),OR(J274&lt;50,J274&gt;20000000))),"Введите целое число от 50 до 20000000",IF(NOT(ABS(IFERROR(VALUE(LEFT(M274,FIND("-",M274)-1)),M274)*100-(2500+2000000000)/2)&lt;=ABS(2500-2000000000)/2),"Цена со скидкой должна быть от 25 до 20000000",IF(AND(IFERROR(VALUE(LEFT(M274,FIND("-",M274)-1)),M274)*150&lt;=384160,IFERROR(VALUE(LEFT(M274,FIND("-",M274)-1)),M274)*200&gt;384160),"Вы уменьшили цену в несколько раз, товар попадет в карантин цен",IF(IFERROR(VALUE(LEFT(M274,FIND("-",M274)-1)),M274)*200&lt;=384160,"Не сохранили изменения, чтобы защитить от ошибки — новые цены меньше текущих более чем в 2 раза. Снижайте их постепенно",IF(AND(IFERROR(VALUE(I274),0)=0,ISNUMBER(J274),OR(J274&lt;254,ABS(IFERROR(VALUE(LEFT(M274,FIND("-",M274)-1)),M274))*100&lt;25400)),"Проверьте цену товара. Большинство товаров в выбранной категории стоят дороже 254","")))))),"")</f>
      </c>
    </row>
    <row r="275">
      <c r="A275" s="2" t="inlineStr">
        <is>
          <t/>
        </is>
      </c>
      <c r="B275" s="2" t="inlineStr">
        <is>
          <t>Салфетки</t>
        </is>
      </c>
      <c r="C275" s="2">
        <v>619520831</v>
      </c>
      <c r="D275" s="2" t="inlineStr">
        <is>
          <t>435256</t>
        </is>
      </c>
      <c r="E275" s="2" t="inlineStr">
        <is>
          <t>2047325390810</t>
        </is>
      </c>
      <c r="F275" s="2">
        <v>0</v>
      </c>
      <c r="G275" s="2">
        <v>0</v>
      </c>
      <c r="H275" s="2" t="inlineStr">
        <is>
          <t/>
        </is>
      </c>
      <c r="I275" s="2" t="inlineStr">
        <is>
          <t>13865</t>
        </is>
      </c>
      <c r="J275" s="4"/>
      <c r="K275" s="2">
        <v>65</v>
      </c>
      <c r="L275" s="6"/>
      <c r="M275" s="2" t="str">
        <f>IF(J275="",ROUND(I275*(1-IF(ISBLANK(L275),K275,L275)/100),2),ROUND(J275*(1-IF(ISBLANK(L275),K275,L275)/100),2))</f>
      </c>
      <c r="N275" s="7" t="str">
        <f>IF(NOT(AND(J275="",L275="")),IF(OR(AND(L275&lt;&gt;"",NOT(ISNUMBER(L275))),IFERROR(MOD(L275,1),1)&gt;0,AND(ISNUMBER(L275),OR(L275&lt;0,L275&gt;95))),"Введите целое число от 0 до 95",IF(OR(AND(J275&lt;&gt;"",NOT(ISNUMBER(J275))),IFERROR(MOD(J275,1),1)&gt;0,AND(ISNUMBER(J275),OR(J275&lt;50,J275&gt;20000000))),"Введите целое число от 50 до 20000000",IF(NOT(ABS(IFERROR(VALUE(LEFT(M275,FIND("-",M275)-1)),M275)*100-(2500+2000000000)/2)&lt;=ABS(2500-2000000000)/2),"Цена со скидкой должна быть от 25 до 20000000",IF(AND(IFERROR(VALUE(LEFT(M275,FIND("-",M275)-1)),M275)*150&lt;=485275,IFERROR(VALUE(LEFT(M275,FIND("-",M275)-1)),M275)*200&gt;485275),"Вы уменьшили цену в несколько раз, товар попадет в карантин цен",IF(IFERROR(VALUE(LEFT(M275,FIND("-",M275)-1)),M275)*200&lt;=485275,"Не сохранили изменения, чтобы защитить от ошибки — новые цены меньше текущих более чем в 2 раза. Снижайте их постепенно",IF(AND(IFERROR(VALUE(I275),0)=0,ISNUMBER(J275),OR(J275&lt;254,ABS(IFERROR(VALUE(LEFT(M275,FIND("-",M275)-1)),M275))*100&lt;25400)),"Проверьте цену товара. Большинство товаров в выбранной категории стоят дороже 254","")))))),"")</f>
      </c>
    </row>
    <row r="276">
      <c r="A276" s="2" t="inlineStr">
        <is>
          <t/>
        </is>
      </c>
      <c r="B276" s="2" t="inlineStr">
        <is>
          <t>Салфетки</t>
        </is>
      </c>
      <c r="C276" s="2">
        <v>619520830</v>
      </c>
      <c r="D276" s="2" t="inlineStr">
        <is>
          <t>431976</t>
        </is>
      </c>
      <c r="E276" s="2" t="inlineStr">
        <is>
          <t>2047325390803</t>
        </is>
      </c>
      <c r="F276" s="2">
        <v>0</v>
      </c>
      <c r="G276" s="2">
        <v>0</v>
      </c>
      <c r="H276" s="2" t="inlineStr">
        <is>
          <t/>
        </is>
      </c>
      <c r="I276" s="2" t="inlineStr">
        <is>
          <t>10976</t>
        </is>
      </c>
      <c r="J276" s="4"/>
      <c r="K276" s="2">
        <v>65</v>
      </c>
      <c r="L276" s="6"/>
      <c r="M276" s="2" t="str">
        <f>IF(J276="",ROUND(I276*(1-IF(ISBLANK(L276),K276,L276)/100),2),ROUND(J276*(1-IF(ISBLANK(L276),K276,L276)/100),2))</f>
      </c>
      <c r="N276" s="7" t="str">
        <f>IF(NOT(AND(J276="",L276="")),IF(OR(AND(L276&lt;&gt;"",NOT(ISNUMBER(L276))),IFERROR(MOD(L276,1),1)&gt;0,AND(ISNUMBER(L276),OR(L276&lt;0,L276&gt;95))),"Введите целое число от 0 до 95",IF(OR(AND(J276&lt;&gt;"",NOT(ISNUMBER(J276))),IFERROR(MOD(J276,1),1)&gt;0,AND(ISNUMBER(J276),OR(J276&lt;50,J276&gt;20000000))),"Введите целое число от 50 до 20000000",IF(NOT(ABS(IFERROR(VALUE(LEFT(M276,FIND("-",M276)-1)),M276)*100-(2500+2000000000)/2)&lt;=ABS(2500-2000000000)/2),"Цена со скидкой должна быть от 25 до 20000000",IF(AND(IFERROR(VALUE(LEFT(M276,FIND("-",M276)-1)),M276)*150&lt;=384160,IFERROR(VALUE(LEFT(M276,FIND("-",M276)-1)),M276)*200&gt;384160),"Вы уменьшили цену в несколько раз, товар попадет в карантин цен",IF(IFERROR(VALUE(LEFT(M276,FIND("-",M276)-1)),M276)*200&lt;=384160,"Не сохранили изменения, чтобы защитить от ошибки — новые цены меньше текущих более чем в 2 раза. Снижайте их постепенно",IF(AND(IFERROR(VALUE(I276),0)=0,ISNUMBER(J276),OR(J276&lt;254,ABS(IFERROR(VALUE(LEFT(M276,FIND("-",M276)-1)),M276))*100&lt;25400)),"Проверьте цену товара. Большинство товаров в выбранной категории стоят дороже 254","")))))),"")</f>
      </c>
    </row>
    <row r="277">
      <c r="A277" s="2" t="inlineStr">
        <is>
          <t/>
        </is>
      </c>
      <c r="B277" s="2" t="inlineStr">
        <is>
          <t>Салфетки</t>
        </is>
      </c>
      <c r="C277" s="2">
        <v>619520827</v>
      </c>
      <c r="D277" s="2" t="inlineStr">
        <is>
          <t>433371</t>
        </is>
      </c>
      <c r="E277" s="2" t="inlineStr">
        <is>
          <t>2047325390766</t>
        </is>
      </c>
      <c r="F277" s="2">
        <v>0</v>
      </c>
      <c r="G277" s="2">
        <v>0</v>
      </c>
      <c r="H277" s="2" t="inlineStr">
        <is>
          <t/>
        </is>
      </c>
      <c r="I277" s="2" t="inlineStr">
        <is>
          <t>11554</t>
        </is>
      </c>
      <c r="J277" s="4"/>
      <c r="K277" s="2">
        <v>65</v>
      </c>
      <c r="L277" s="6"/>
      <c r="M277" s="2" t="str">
        <f>IF(J277="",ROUND(I277*(1-IF(ISBLANK(L277),K277,L277)/100),2),ROUND(J277*(1-IF(ISBLANK(L277),K277,L277)/100),2))</f>
      </c>
      <c r="N277" s="7" t="str">
        <f>IF(NOT(AND(J277="",L277="")),IF(OR(AND(L277&lt;&gt;"",NOT(ISNUMBER(L277))),IFERROR(MOD(L277,1),1)&gt;0,AND(ISNUMBER(L277),OR(L277&lt;0,L277&gt;95))),"Введите целое число от 0 до 95",IF(OR(AND(J277&lt;&gt;"",NOT(ISNUMBER(J277))),IFERROR(MOD(J277,1),1)&gt;0,AND(ISNUMBER(J277),OR(J277&lt;50,J277&gt;20000000))),"Введите целое число от 50 до 20000000",IF(NOT(ABS(IFERROR(VALUE(LEFT(M277,FIND("-",M277)-1)),M277)*100-(2500+2000000000)/2)&lt;=ABS(2500-2000000000)/2),"Цена со скидкой должна быть от 25 до 20000000",IF(AND(IFERROR(VALUE(LEFT(M277,FIND("-",M277)-1)),M277)*150&lt;=404389,IFERROR(VALUE(LEFT(M277,FIND("-",M277)-1)),M277)*200&gt;404389),"Вы уменьшили цену в несколько раз, товар попадет в карантин цен",IF(IFERROR(VALUE(LEFT(M277,FIND("-",M277)-1)),M277)*200&lt;=404389,"Не сохранили изменения, чтобы защитить от ошибки — новые цены меньше текущих более чем в 2 раза. Снижайте их постепенно",IF(AND(IFERROR(VALUE(I277),0)=0,ISNUMBER(J277),OR(J277&lt;254,ABS(IFERROR(VALUE(LEFT(M277,FIND("-",M277)-1)),M277))*100&lt;25400)),"Проверьте цену товара. Большинство товаров в выбранной категории стоят дороже 254","")))))),"")</f>
      </c>
    </row>
    <row r="278">
      <c r="A278" s="2" t="inlineStr">
        <is>
          <t/>
        </is>
      </c>
      <c r="B278" s="2" t="inlineStr">
        <is>
          <t>Салфетки</t>
        </is>
      </c>
      <c r="C278" s="2">
        <v>619520829</v>
      </c>
      <c r="D278" s="2" t="inlineStr">
        <is>
          <t>431337</t>
        </is>
      </c>
      <c r="E278" s="2" t="inlineStr">
        <is>
          <t>2047325390780</t>
        </is>
      </c>
      <c r="F278" s="2">
        <v>0</v>
      </c>
      <c r="G278" s="2">
        <v>0</v>
      </c>
      <c r="H278" s="2" t="inlineStr">
        <is>
          <t/>
        </is>
      </c>
      <c r="I278" s="2" t="inlineStr">
        <is>
          <t>10630</t>
        </is>
      </c>
      <c r="J278" s="4"/>
      <c r="K278" s="2">
        <v>65</v>
      </c>
      <c r="L278" s="6"/>
      <c r="M278" s="2" t="str">
        <f>IF(J278="",ROUND(I278*(1-IF(ISBLANK(L278),K278,L278)/100),2),ROUND(J278*(1-IF(ISBLANK(L278),K278,L278)/100),2))</f>
      </c>
      <c r="N278" s="7" t="str">
        <f>IF(NOT(AND(J278="",L278="")),IF(OR(AND(L278&lt;&gt;"",NOT(ISNUMBER(L278))),IFERROR(MOD(L278,1),1)&gt;0,AND(ISNUMBER(L278),OR(L278&lt;0,L278&gt;95))),"Введите целое число от 0 до 95",IF(OR(AND(J278&lt;&gt;"",NOT(ISNUMBER(J278))),IFERROR(MOD(J278,1),1)&gt;0,AND(ISNUMBER(J278),OR(J278&lt;50,J278&gt;20000000))),"Введите целое число от 50 до 20000000",IF(NOT(ABS(IFERROR(VALUE(LEFT(M278,FIND("-",M278)-1)),M278)*100-(2500+2000000000)/2)&lt;=ABS(2500-2000000000)/2),"Цена со скидкой должна быть от 25 до 20000000",IF(AND(IFERROR(VALUE(LEFT(M278,FIND("-",M278)-1)),M278)*150&lt;=372049,IFERROR(VALUE(LEFT(M278,FIND("-",M278)-1)),M278)*200&gt;372049),"Вы уменьшили цену в несколько раз, товар попадет в карантин цен",IF(IFERROR(VALUE(LEFT(M278,FIND("-",M278)-1)),M278)*200&lt;=372049,"Не сохранили изменения, чтобы защитить от ошибки — новые цены меньше текущих более чем в 2 раза. Снижайте их постепенно",IF(AND(IFERROR(VALUE(I278),0)=0,ISNUMBER(J278),OR(J278&lt;254,ABS(IFERROR(VALUE(LEFT(M278,FIND("-",M278)-1)),M278))*100&lt;25400)),"Проверьте цену товара. Большинство товаров в выбранной категории стоят дороже 254","")))))),"")</f>
      </c>
    </row>
    <row r="279">
      <c r="A279" s="2" t="inlineStr">
        <is>
          <t/>
        </is>
      </c>
      <c r="B279" s="2" t="inlineStr">
        <is>
          <t>Шторы для ванной</t>
        </is>
      </c>
      <c r="C279" s="2">
        <v>619534020</v>
      </c>
      <c r="D279" s="2" t="inlineStr">
        <is>
          <t>420582</t>
        </is>
      </c>
      <c r="E279" s="2" t="inlineStr">
        <is>
          <t>2047325543865</t>
        </is>
      </c>
      <c r="F279" s="2">
        <v>0</v>
      </c>
      <c r="G279" s="2">
        <v>0</v>
      </c>
      <c r="H279" s="2" t="inlineStr">
        <is>
          <t/>
        </is>
      </c>
      <c r="I279" s="2" t="inlineStr">
        <is>
          <t>5652</t>
        </is>
      </c>
      <c r="J279" s="4"/>
      <c r="K279" s="2">
        <v>65</v>
      </c>
      <c r="L279" s="6"/>
      <c r="M279" s="2" t="str">
        <f>IF(J279="",ROUND(I279*(1-IF(ISBLANK(L279),K279,L279)/100),2),ROUND(J279*(1-IF(ISBLANK(L279),K279,L279)/100),2))</f>
      </c>
      <c r="N279" s="7" t="str">
        <f>IF(NOT(AND(J279="",L279="")),IF(OR(AND(L279&lt;&gt;"",NOT(ISNUMBER(L279))),IFERROR(MOD(L279,1),1)&gt;0,AND(ISNUMBER(L279),OR(L279&lt;0,L279&gt;95))),"Введите целое число от 0 до 95",IF(OR(AND(J279&lt;&gt;"",NOT(ISNUMBER(J279))),IFERROR(MOD(J279,1),1)&gt;0,AND(ISNUMBER(J279),OR(J279&lt;50,J279&gt;20000000))),"Введите целое число от 50 до 20000000",IF(NOT(ABS(IFERROR(VALUE(LEFT(M279,FIND("-",M279)-1)),M279)*100-(2500+2000000000)/2)&lt;=ABS(2500-2000000000)/2),"Цена со скидкой должна быть от 25 до 20000000",IF(AND(IFERROR(VALUE(LEFT(M279,FIND("-",M279)-1)),M279)*150&lt;=197819,IFERROR(VALUE(LEFT(M279,FIND("-",M279)-1)),M279)*200&gt;197819),"Вы уменьшили цену в несколько раз, товар попадет в карантин цен",IF(IFERROR(VALUE(LEFT(M279,FIND("-",M279)-1)),M279)*200&lt;=197819,"Не сохранили изменения, чтобы защитить от ошибки — новые цены меньше текущих более чем в 2 раза. Снижайте их постепенно",IF(AND(IFERROR(VALUE(I279),0)=0,ISNUMBER(J279),OR(J279&lt;491,ABS(IFERROR(VALUE(LEFT(M279,FIND("-",M279)-1)),M279))*100&lt;49100)),"Проверьте цену товара. Большинство товаров в выбранной категории стоят дороже 491","")))))),"")</f>
      </c>
    </row>
    <row r="280">
      <c r="A280" s="2" t="inlineStr">
        <is>
          <t/>
        </is>
      </c>
      <c r="B280" s="2" t="inlineStr">
        <is>
          <t>Елки искусственные</t>
        </is>
      </c>
      <c r="C280" s="2">
        <v>616129766</v>
      </c>
      <c r="D280" s="2" t="inlineStr">
        <is>
          <t>99275</t>
        </is>
      </c>
      <c r="E280" s="2" t="inlineStr">
        <is>
          <t>2047285466464</t>
        </is>
      </c>
      <c r="F280" s="2">
        <v>0</v>
      </c>
      <c r="G280" s="2">
        <v>12</v>
      </c>
      <c r="H280" s="2" t="inlineStr">
        <is>
          <t/>
        </is>
      </c>
      <c r="I280" s="2" t="inlineStr">
        <is>
          <t>31493</t>
        </is>
      </c>
      <c r="J280" s="4"/>
      <c r="K280" s="2">
        <v>78</v>
      </c>
      <c r="L280" s="6"/>
      <c r="M280" s="2" t="str">
        <f>IF(J280="",ROUND(I280*(1-IF(ISBLANK(L280),K280,L280)/100),2),ROUND(J280*(1-IF(ISBLANK(L280),K280,L280)/100),2))</f>
      </c>
      <c r="N280" s="7" t="str">
        <f>IF(NOT(AND(J280="",L280="")),IF(OR(AND(L280&lt;&gt;"",NOT(ISNUMBER(L280))),IFERROR(MOD(L280,1),1)&gt;0,AND(ISNUMBER(L280),OR(L280&lt;0,L280&gt;95))),"Введите целое число от 0 до 95",IF(OR(AND(J280&lt;&gt;"",NOT(ISNUMBER(J280))),IFERROR(MOD(J280,1),1)&gt;0,AND(ISNUMBER(J280),OR(J280&lt;50,J280&gt;20000000))),"Введите целое число от 50 до 20000000",IF(NOT(ABS(IFERROR(VALUE(LEFT(M280,FIND("-",M280)-1)),M280)*100-(2500+2000000000)/2)&lt;=ABS(2500-2000000000)/2),"Цена со скидкой должна быть от 25 до 20000000",IF(AND(IFERROR(VALUE(LEFT(M280,FIND("-",M280)-1)),M280)*150&lt;=692845,IFERROR(VALUE(LEFT(M280,FIND("-",M280)-1)),M280)*200&gt;692845),"Вы уменьшили цену в несколько раз, товар попадет в карантин цен",IF(IFERROR(VALUE(LEFT(M280,FIND("-",M280)-1)),M280)*200&lt;=692845,"Не сохранили изменения, чтобы защитить от ошибки — новые цены меньше текущих более чем в 2 раза. Снижайте их постепенно",IF(AND(IFERROR(VALUE(I280),0)=0,ISNUMBER(J280),OR(J280&lt;269,ABS(IFERROR(VALUE(LEFT(M280,FIND("-",M280)-1)),M280))*100&lt;26900)),"Проверьте цену товара. Большинство товаров в выбранной категории стоят дороже 269","")))))),"")</f>
      </c>
    </row>
    <row r="281">
      <c r="A281" s="2" t="inlineStr">
        <is>
          <t/>
        </is>
      </c>
      <c r="B281" s="2" t="inlineStr">
        <is>
          <t>Сушилки для посуды</t>
        </is>
      </c>
      <c r="C281" s="2">
        <v>619491065</v>
      </c>
      <c r="D281" s="2" t="inlineStr">
        <is>
          <t>45223</t>
        </is>
      </c>
      <c r="E281" s="2" t="inlineStr">
        <is>
          <t>2047325060140</t>
        </is>
      </c>
      <c r="F281" s="2">
        <v>0</v>
      </c>
      <c r="G281" s="2">
        <v>0</v>
      </c>
      <c r="H281" s="2" t="inlineStr">
        <is>
          <t/>
        </is>
      </c>
      <c r="I281" s="2" t="inlineStr">
        <is>
          <t>0</t>
        </is>
      </c>
      <c r="J281" s="4"/>
      <c r="K281" s="2">
        <v>0</v>
      </c>
      <c r="L281" s="6"/>
      <c r="M281" s="2" t="str">
        <f>IF(J281="",ROUND(I281*(1-IF(ISBLANK(L281),K281,L281)/100),2),ROUND(J281*(1-IF(ISBLANK(L281),K281,L281)/100),2))</f>
      </c>
      <c r="N281" s="7" t="str">
        <f>IF(NOT(AND(J281="",L281="")),IF(OR(AND(L281&lt;&gt;"",NOT(ISNUMBER(L281))),IFERROR(MOD(L281,1),1)&gt;0,AND(ISNUMBER(L281),OR(L281&lt;0,L281&gt;95))),"Введите целое число от 0 до 95",IF(OR(AND(J281&lt;&gt;"",NOT(ISNUMBER(J281))),IFERROR(MOD(J281,1),1)&gt;0,AND(ISNUMBER(J281),OR(J281&lt;50,J281&gt;20000000))),"Введите целое число от 50 до 20000000",IF(NOT(ABS(IFERROR(VALUE(LEFT(M281,FIND("-",M281)-1)),M281)*100-(2500+2000000000)/2)&lt;=ABS(2500-2000000000)/2),"Цена со скидкой должна быть от 25 до 20000000",IF(AND(IFERROR(VALUE(LEFT(M281,FIND("-",M281)-1)),M281)*150&lt;=0,IFERROR(VALUE(LEFT(M281,FIND("-",M281)-1)),M281)*200&gt;0),"Вы уменьшили цену в несколько раз, товар попадет в карантин цен",IF(IFERROR(VALUE(LEFT(M281,FIND("-",M281)-1)),M281)*200&lt;=0,"Не сохранили изменения, чтобы защитить от ошибки — новые цены меньше текущих более чем в 2 раза. Снижайте их постепенно",IF(AND(IFERROR(VALUE(I281),0)=0,ISNUMBER(J281),OR(J281&lt;439,ABS(IFERROR(VALUE(LEFT(M281,FIND("-",M281)-1)),M281))*100&lt;43900)),"Проверьте цену товара. Большинство товаров в выбранной категории стоят дороже 439","")))))),"")</f>
      </c>
    </row>
    <row r="282">
      <c r="A282" s="2" t="inlineStr">
        <is>
          <t/>
        </is>
      </c>
      <c r="B282" s="2" t="inlineStr">
        <is>
          <t>Масленки</t>
        </is>
      </c>
      <c r="C282" s="2">
        <v>619472788</v>
      </c>
      <c r="D282" s="2" t="inlineStr">
        <is>
          <t>28883</t>
        </is>
      </c>
      <c r="E282" s="2" t="inlineStr">
        <is>
          <t>2047324792806</t>
        </is>
      </c>
      <c r="F282" s="2">
        <v>0</v>
      </c>
      <c r="G282" s="2">
        <v>13</v>
      </c>
      <c r="H282" s="2" t="inlineStr">
        <is>
          <t/>
        </is>
      </c>
      <c r="I282" s="2" t="inlineStr">
        <is>
          <t>4228</t>
        </is>
      </c>
      <c r="J282" s="4"/>
      <c r="K282" s="2">
        <v>78</v>
      </c>
      <c r="L282" s="6"/>
      <c r="M282" s="2" t="str">
        <f>IF(J282="",ROUND(I282*(1-IF(ISBLANK(L282),K282,L282)/100),2),ROUND(J282*(1-IF(ISBLANK(L282),K282,L282)/100),2))</f>
      </c>
      <c r="N282" s="7" t="str">
        <f>IF(NOT(AND(J282="",L282="")),IF(OR(AND(L282&lt;&gt;"",NOT(ISNUMBER(L282))),IFERROR(MOD(L282,1),1)&gt;0,AND(ISNUMBER(L282),OR(L282&lt;0,L282&gt;95))),"Введите целое число от 0 до 95",IF(OR(AND(J282&lt;&gt;"",NOT(ISNUMBER(J282))),IFERROR(MOD(J282,1),1)&gt;0,AND(ISNUMBER(J282),OR(J282&lt;50,J282&gt;20000000))),"Введите целое число от 50 до 20000000",IF(NOT(ABS(IFERROR(VALUE(LEFT(M282,FIND("-",M282)-1)),M282)*100-(2500+2000000000)/2)&lt;=ABS(2500-2000000000)/2),"Цена со скидкой должна быть от 25 до 20000000",IF(AND(IFERROR(VALUE(LEFT(M282,FIND("-",M282)-1)),M282)*150&lt;=93015,IFERROR(VALUE(LEFT(M282,FIND("-",M282)-1)),M282)*200&gt;93015),"Вы уменьшили цену в несколько раз, товар попадет в карантин цен",IF(IFERROR(VALUE(LEFT(M282,FIND("-",M282)-1)),M282)*200&lt;=93015,"Не сохранили изменения, чтобы защитить от ошибки — новые цены меньше текущих более чем в 2 раза. Снижайте их постепенно",IF(AND(IFERROR(VALUE(I282),0)=0,ISNUMBER(J282),OR(J282&lt;284,ABS(IFERROR(VALUE(LEFT(M282,FIND("-",M282)-1)),M282))*100&lt;28400)),"Проверьте цену товара. Большинство товаров в выбранной категории стоят дороже 284","")))))),"")</f>
      </c>
    </row>
    <row r="283">
      <c r="A283" s="2" t="inlineStr">
        <is>
          <t/>
        </is>
      </c>
      <c r="B283" s="2" t="inlineStr">
        <is>
          <t>Мусорные ведра</t>
        </is>
      </c>
      <c r="C283" s="2">
        <v>618353174</v>
      </c>
      <c r="D283" s="2" t="inlineStr">
        <is>
          <t>457358</t>
        </is>
      </c>
      <c r="E283" s="2" t="inlineStr">
        <is>
          <t>2047308167699</t>
        </is>
      </c>
      <c r="F283" s="2">
        <v>0</v>
      </c>
      <c r="G283" s="2">
        <v>0</v>
      </c>
      <c r="H283" s="2" t="inlineStr">
        <is>
          <t/>
        </is>
      </c>
      <c r="I283" s="2" t="inlineStr">
        <is>
          <t>12936</t>
        </is>
      </c>
      <c r="J283" s="4"/>
      <c r="K283" s="2">
        <v>65</v>
      </c>
      <c r="L283" s="6"/>
      <c r="M283" s="2" t="str">
        <f>IF(J283="",ROUND(I283*(1-IF(ISBLANK(L283),K283,L283)/100),2),ROUND(J283*(1-IF(ISBLANK(L283),K283,L283)/100),2))</f>
      </c>
      <c r="N283" s="7" t="str">
        <f>IF(NOT(AND(J283="",L283="")),IF(OR(AND(L283&lt;&gt;"",NOT(ISNUMBER(L283))),IFERROR(MOD(L283,1),1)&gt;0,AND(ISNUMBER(L283),OR(L283&lt;0,L283&gt;95))),"Введите целое число от 0 до 95",IF(OR(AND(J283&lt;&gt;"",NOT(ISNUMBER(J283))),IFERROR(MOD(J283,1),1)&gt;0,AND(ISNUMBER(J283),OR(J283&lt;50,J283&gt;20000000))),"Введите целое число от 50 до 20000000",IF(NOT(ABS(IFERROR(VALUE(LEFT(M283,FIND("-",M283)-1)),M283)*100-(2500+2000000000)/2)&lt;=ABS(2500-2000000000)/2),"Цена со скидкой должна быть от 25 до 20000000",IF(AND(IFERROR(VALUE(LEFT(M283,FIND("-",M283)-1)),M283)*150&lt;=452759,IFERROR(VALUE(LEFT(M283,FIND("-",M283)-1)),M283)*200&gt;452759),"Вы уменьшили цену в несколько раз, товар попадет в карантин цен",IF(IFERROR(VALUE(LEFT(M283,FIND("-",M283)-1)),M283)*200&lt;=452759,"Не сохранили изменения, чтобы защитить от ошибки — новые цены меньше текущих более чем в 2 раза. Снижайте их постепенно",IF(AND(IFERROR(VALUE(I283),0)=0,ISNUMBER(J283),OR(J283&lt;399,ABS(IFERROR(VALUE(LEFT(M283,FIND("-",M283)-1)),M283))*100&lt;39900)),"Проверьте цену товара. Большинство товаров в выбранной категории стоят дороже 399","")))))),"")</f>
      </c>
    </row>
    <row r="284">
      <c r="A284" s="2" t="inlineStr">
        <is>
          <t/>
        </is>
      </c>
      <c r="B284" s="2" t="inlineStr">
        <is>
          <t>Удлинители</t>
        </is>
      </c>
      <c r="C284" s="2">
        <v>619515975</v>
      </c>
      <c r="D284" s="2" t="inlineStr">
        <is>
          <t>880047</t>
        </is>
      </c>
      <c r="E284" s="2" t="inlineStr">
        <is>
          <t>2047325328035</t>
        </is>
      </c>
      <c r="F284" s="2">
        <v>0</v>
      </c>
      <c r="G284" s="2">
        <v>6</v>
      </c>
      <c r="H284" s="2" t="inlineStr">
        <is>
          <t/>
        </is>
      </c>
      <c r="I284" s="2" t="inlineStr">
        <is>
          <t>8476</t>
        </is>
      </c>
      <c r="J284" s="4"/>
      <c r="K284" s="2">
        <v>78</v>
      </c>
      <c r="L284" s="6"/>
      <c r="M284" s="2" t="str">
        <f>IF(J284="",ROUND(I284*(1-IF(ISBLANK(L284),K284,L284)/100),2),ROUND(J284*(1-IF(ISBLANK(L284),K284,L284)/100),2))</f>
      </c>
      <c r="N284" s="7" t="str">
        <f>IF(NOT(AND(J284="",L284="")),IF(OR(AND(L284&lt;&gt;"",NOT(ISNUMBER(L284))),IFERROR(MOD(L284,1),1)&gt;0,AND(ISNUMBER(L284),OR(L284&lt;0,L284&gt;95))),"Введите целое число от 0 до 95",IF(OR(AND(J284&lt;&gt;"",NOT(ISNUMBER(J284))),IFERROR(MOD(J284,1),1)&gt;0,AND(ISNUMBER(J284),OR(J284&lt;50,J284&gt;20000000))),"Введите целое число от 50 до 20000000",IF(NOT(ABS(IFERROR(VALUE(LEFT(M284,FIND("-",M284)-1)),M284)*100-(2500+2000000000)/2)&lt;=ABS(2500-2000000000)/2),"Цена со скидкой должна быть от 25 до 20000000",IF(AND(IFERROR(VALUE(LEFT(M284,FIND("-",M284)-1)),M284)*150&lt;=186471,IFERROR(VALUE(LEFT(M284,FIND("-",M284)-1)),M284)*200&gt;186471),"Вы уменьшили цену в несколько раз, товар попадет в карантин цен",IF(IFERROR(VALUE(LEFT(M284,FIND("-",M284)-1)),M284)*200&lt;=186471,"Не сохранили изменения, чтобы защитить от ошибки — новые цены меньше текущих более чем в 2 раза. Снижайте их постепенно",IF(AND(IFERROR(VALUE(I284),0)=0,ISNUMBER(J284),OR(J284&lt;296,ABS(IFERROR(VALUE(LEFT(M284,FIND("-",M284)-1)),M284))*100&lt;29600)),"Проверьте цену товара. Большинство товаров в выбранной категории стоят дороже 296","")))))),"")</f>
      </c>
    </row>
    <row r="285">
      <c r="A285" s="2" t="inlineStr">
        <is>
          <t/>
        </is>
      </c>
      <c r="B285" s="2" t="inlineStr">
        <is>
          <t>Мусорные ведра</t>
        </is>
      </c>
      <c r="C285" s="2">
        <v>618353175</v>
      </c>
      <c r="D285" s="2" t="inlineStr">
        <is>
          <t>45410</t>
        </is>
      </c>
      <c r="E285" s="2" t="inlineStr">
        <is>
          <t>2047308167705</t>
        </is>
      </c>
      <c r="F285" s="2">
        <v>0</v>
      </c>
      <c r="G285" s="2">
        <v>0</v>
      </c>
      <c r="H285" s="2" t="inlineStr">
        <is>
          <t/>
        </is>
      </c>
      <c r="I285" s="2" t="inlineStr">
        <is>
          <t>29704</t>
        </is>
      </c>
      <c r="J285" s="4"/>
      <c r="K285" s="2">
        <v>65</v>
      </c>
      <c r="L285" s="6"/>
      <c r="M285" s="2" t="str">
        <f>IF(J285="",ROUND(I285*(1-IF(ISBLANK(L285),K285,L285)/100),2),ROUND(J285*(1-IF(ISBLANK(L285),K285,L285)/100),2))</f>
      </c>
      <c r="N285" s="7" t="str">
        <f>IF(NOT(AND(J285="",L285="")),IF(OR(AND(L285&lt;&gt;"",NOT(ISNUMBER(L285))),IFERROR(MOD(L285,1),1)&gt;0,AND(ISNUMBER(L285),OR(L285&lt;0,L285&gt;95))),"Введите целое число от 0 до 95",IF(OR(AND(J285&lt;&gt;"",NOT(ISNUMBER(J285))),IFERROR(MOD(J285,1),1)&gt;0,AND(ISNUMBER(J285),OR(J285&lt;50,J285&gt;20000000))),"Введите целое число от 50 до 20000000",IF(NOT(ABS(IFERROR(VALUE(LEFT(M285,FIND("-",M285)-1)),M285)*100-(2500+2000000000)/2)&lt;=ABS(2500-2000000000)/2),"Цена со скидкой должна быть от 25 до 20000000",IF(AND(IFERROR(VALUE(LEFT(M285,FIND("-",M285)-1)),M285)*150&lt;=1039640,IFERROR(VALUE(LEFT(M285,FIND("-",M285)-1)),M285)*200&gt;1039640),"Вы уменьшили цену в несколько раз, товар попадет в карантин цен",IF(IFERROR(VALUE(LEFT(M285,FIND("-",M285)-1)),M285)*200&lt;=1039640,"Не сохранили изменения, чтобы защитить от ошибки — новые цены меньше текущих более чем в 2 раза. Снижайте их постепенно",IF(AND(IFERROR(VALUE(I285),0)=0,ISNUMBER(J285),OR(J285&lt;399,ABS(IFERROR(VALUE(LEFT(M285,FIND("-",M285)-1)),M285))*100&lt;39900)),"Проверьте цену товара. Большинство товаров в выбранной категории стоят дороже 399","")))))),"")</f>
      </c>
    </row>
    <row r="286">
      <c r="A286" s="2" t="inlineStr">
        <is>
          <t/>
        </is>
      </c>
      <c r="B286" s="2" t="inlineStr">
        <is>
          <t>Ложки столовые</t>
        </is>
      </c>
      <c r="C286" s="2">
        <v>619262139</v>
      </c>
      <c r="D286" s="2" t="inlineStr">
        <is>
          <t>81812</t>
        </is>
      </c>
      <c r="E286" s="2" t="inlineStr">
        <is>
          <t>2047320891442</t>
        </is>
      </c>
      <c r="F286" s="2">
        <v>46</v>
      </c>
      <c r="G286" s="2">
        <v>0</v>
      </c>
      <c r="H286" s="2">
        <v>702</v>
      </c>
      <c r="I286" s="2" t="inlineStr">
        <is>
          <t>2304</t>
        </is>
      </c>
      <c r="J286" s="4"/>
      <c r="K286" s="2">
        <v>81</v>
      </c>
      <c r="L286" s="6"/>
      <c r="M286" s="2" t="str">
        <f>IF(J286="",ROUND(I286*(1-IF(ISBLANK(L286),K286,L286)/100),2),ROUND(J286*(1-IF(ISBLANK(L286),K286,L286)/100),2))</f>
      </c>
      <c r="N286" s="7" t="str">
        <f>IF(NOT(AND(J286="",L286="")),IF(OR(AND(L286&lt;&gt;"",NOT(ISNUMBER(L286))),IFERROR(MOD(L286,1),1)&gt;0,AND(ISNUMBER(L286),OR(L286&lt;0,L286&gt;95))),"Введите целое число от 0 до 95",IF(OR(AND(J286&lt;&gt;"",NOT(ISNUMBER(J286))),IFERROR(MOD(J286,1),1)&gt;0,AND(ISNUMBER(J286),OR(J286&lt;50,J286&gt;20000000))),"Введите целое число от 50 до 20000000",IF(NOT(ABS(IFERROR(VALUE(LEFT(M286,FIND("-",M286)-1)),M286)*100-(2500+2000000000)/2)&lt;=ABS(2500-2000000000)/2),"Цена со скидкой должна быть от 25 до 20000000",IF(AND(IFERROR(VALUE(LEFT(M286,FIND("-",M286)-1)),M286)*150&lt;=43775,IFERROR(VALUE(LEFT(M286,FIND("-",M286)-1)),M286)*200&gt;43775),"Вы уменьшили цену в несколько раз, товар попадет в карантин цен",IF(IFERROR(VALUE(LEFT(M286,FIND("-",M286)-1)),M286)*200&lt;=43775,"Не сохранили изменения, чтобы защитить от ошибки — новые цены меньше текущих более чем в 2 раза. Снижайте их постепенно",IF(AND(IFERROR(VALUE(I286),0)=0,ISNUMBER(J286),OR(J286&lt;306,ABS(IFERROR(VALUE(LEFT(M286,FIND("-",M286)-1)),M286))*100&lt;30600)),"Проверьте цену товара. Большинство товаров в выбранной категории стоят дороже 306","")))))),"")</f>
      </c>
    </row>
    <row r="287">
      <c r="A287" s="2" t="inlineStr">
        <is>
          <t/>
        </is>
      </c>
      <c r="B287" s="2" t="inlineStr">
        <is>
          <t>Мусорные ведра</t>
        </is>
      </c>
      <c r="C287" s="2">
        <v>618353178</v>
      </c>
      <c r="D287" s="2" t="inlineStr">
        <is>
          <t>454892</t>
        </is>
      </c>
      <c r="E287" s="2" t="inlineStr">
        <is>
          <t>2047308167736</t>
        </is>
      </c>
      <c r="F287" s="2">
        <v>0</v>
      </c>
      <c r="G287" s="2">
        <v>10</v>
      </c>
      <c r="H287" s="2" t="inlineStr">
        <is>
          <t/>
        </is>
      </c>
      <c r="I287" s="2" t="inlineStr">
        <is>
          <t>15596</t>
        </is>
      </c>
      <c r="J287" s="4"/>
      <c r="K287" s="2">
        <v>78</v>
      </c>
      <c r="L287" s="6"/>
      <c r="M287" s="2" t="str">
        <f>IF(J287="",ROUND(I287*(1-IF(ISBLANK(L287),K287,L287)/100),2),ROUND(J287*(1-IF(ISBLANK(L287),K287,L287)/100),2))</f>
      </c>
      <c r="N287" s="7" t="str">
        <f>IF(NOT(AND(J287="",L287="")),IF(OR(AND(L287&lt;&gt;"",NOT(ISNUMBER(L287))),IFERROR(MOD(L287,1),1)&gt;0,AND(ISNUMBER(L287),OR(L287&lt;0,L287&gt;95))),"Введите целое число от 0 до 95",IF(OR(AND(J287&lt;&gt;"",NOT(ISNUMBER(J287))),IFERROR(MOD(J287,1),1)&gt;0,AND(ISNUMBER(J287),OR(J287&lt;50,J287&gt;20000000))),"Введите целое число от 50 до 20000000",IF(NOT(ABS(IFERROR(VALUE(LEFT(M287,FIND("-",M287)-1)),M287)*100-(2500+2000000000)/2)&lt;=ABS(2500-2000000000)/2),"Цена со скидкой должна быть от 25 до 20000000",IF(AND(IFERROR(VALUE(LEFT(M287,FIND("-",M287)-1)),M287)*150&lt;=343111,IFERROR(VALUE(LEFT(M287,FIND("-",M287)-1)),M287)*200&gt;343111),"Вы уменьшили цену в несколько раз, товар попадет в карантин цен",IF(IFERROR(VALUE(LEFT(M287,FIND("-",M287)-1)),M287)*200&lt;=343111,"Не сохранили изменения, чтобы защитить от ошибки — новые цены меньше текущих более чем в 2 раза. Снижайте их постепенно",IF(AND(IFERROR(VALUE(I287),0)=0,ISNUMBER(J287),OR(J287&lt;399,ABS(IFERROR(VALUE(LEFT(M287,FIND("-",M287)-1)),M287))*100&lt;39900)),"Проверьте цену товара. Большинство товаров в выбранной категории стоят дороже 399","")))))),"")</f>
      </c>
    </row>
    <row r="288">
      <c r="A288" s="2" t="inlineStr">
        <is>
          <t/>
        </is>
      </c>
      <c r="B288" s="2" t="inlineStr">
        <is>
          <t>Пистолеты термоклеевые</t>
        </is>
      </c>
      <c r="C288" s="2">
        <v>619508963</v>
      </c>
      <c r="D288" s="2" t="inlineStr">
        <is>
          <t>891261</t>
        </is>
      </c>
      <c r="E288" s="2" t="inlineStr">
        <is>
          <t>2047325205404</t>
        </is>
      </c>
      <c r="F288" s="2">
        <v>0</v>
      </c>
      <c r="G288" s="2">
        <v>28</v>
      </c>
      <c r="H288" s="2" t="inlineStr">
        <is>
          <t/>
        </is>
      </c>
      <c r="I288" s="2" t="inlineStr">
        <is>
          <t>2156</t>
        </is>
      </c>
      <c r="J288" s="4"/>
      <c r="K288" s="2">
        <v>78</v>
      </c>
      <c r="L288" s="6"/>
      <c r="M288" s="2" t="str">
        <f>IF(J288="",ROUND(I288*(1-IF(ISBLANK(L288),K288,L288)/100),2),ROUND(J288*(1-IF(ISBLANK(L288),K288,L288)/100),2))</f>
      </c>
      <c r="N288" s="7" t="str">
        <f>IF(NOT(AND(J288="",L288="")),IF(OR(AND(L288&lt;&gt;"",NOT(ISNUMBER(L288))),IFERROR(MOD(L288,1),1)&gt;0,AND(ISNUMBER(L288),OR(L288&lt;0,L288&gt;95))),"Введите целое число от 0 до 95",IF(OR(AND(J288&lt;&gt;"",NOT(ISNUMBER(J288))),IFERROR(MOD(J288,1),1)&gt;0,AND(ISNUMBER(J288),OR(J288&lt;50,J288&gt;20000000))),"Введите целое число от 50 до 20000000",IF(NOT(ABS(IFERROR(VALUE(LEFT(M288,FIND("-",M288)-1)),M288)*100-(2500+2000000000)/2)&lt;=ABS(2500-2000000000)/2),"Цена со скидкой должна быть от 25 до 20000000",IF(AND(IFERROR(VALUE(LEFT(M288,FIND("-",M288)-1)),M288)*150&lt;=47431,IFERROR(VALUE(LEFT(M288,FIND("-",M288)-1)),M288)*200&gt;47431),"Вы уменьшили цену в несколько раз, товар попадет в карантин цен",IF(IFERROR(VALUE(LEFT(M288,FIND("-",M288)-1)),M288)*200&lt;=47431,"Не сохранили изменения, чтобы защитить от ошибки — новые цены меньше текущих более чем в 2 раза. Снижайте их постепенно",IF(AND(IFERROR(VALUE(I288),0)=0,ISNUMBER(J288),OR(J288&lt;216,ABS(IFERROR(VALUE(LEFT(M288,FIND("-",M288)-1)),M288))*100&lt;21600)),"Проверьте цену товара. Большинство товаров в выбранной категории стоят дороже 216","")))))),"")</f>
      </c>
    </row>
    <row r="289">
      <c r="A289" s="2" t="inlineStr">
        <is>
          <t/>
        </is>
      </c>
      <c r="B289" s="2" t="inlineStr">
        <is>
          <t>Формы для запекания</t>
        </is>
      </c>
      <c r="C289" s="2">
        <v>618382628</v>
      </c>
      <c r="D289" s="2" t="inlineStr">
        <is>
          <t>120149</t>
        </is>
      </c>
      <c r="E289" s="2" t="inlineStr">
        <is>
          <t>2047308549358</t>
        </is>
      </c>
      <c r="F289" s="2">
        <v>5</v>
      </c>
      <c r="G289" s="2">
        <v>6</v>
      </c>
      <c r="H289" s="2">
        <v>999</v>
      </c>
      <c r="I289" s="2" t="inlineStr">
        <is>
          <t>6848</t>
        </is>
      </c>
      <c r="J289" s="4"/>
      <c r="K289" s="2">
        <v>78</v>
      </c>
      <c r="L289" s="6"/>
      <c r="M289" s="2" t="str">
        <f>IF(J289="",ROUND(I289*(1-IF(ISBLANK(L289),K289,L289)/100),2),ROUND(J289*(1-IF(ISBLANK(L289),K289,L289)/100),2))</f>
      </c>
      <c r="N289" s="7" t="str">
        <f>IF(NOT(AND(J289="",L289="")),IF(OR(AND(L289&lt;&gt;"",NOT(ISNUMBER(L289))),IFERROR(MOD(L289,1),1)&gt;0,AND(ISNUMBER(L289),OR(L289&lt;0,L289&gt;95))),"Введите целое число от 0 до 95",IF(OR(AND(J289&lt;&gt;"",NOT(ISNUMBER(J289))),IFERROR(MOD(J289,1),1)&gt;0,AND(ISNUMBER(J289),OR(J289&lt;50,J289&gt;20000000))),"Введите целое число от 50 до 20000000",IF(NOT(ABS(IFERROR(VALUE(LEFT(M289,FIND("-",M289)-1)),M289)*100-(2500+2000000000)/2)&lt;=ABS(2500-2000000000)/2),"Цена со скидкой должна быть от 25 до 20000000",IF(AND(IFERROR(VALUE(LEFT(M289,FIND("-",M289)-1)),M289)*150&lt;=150655,IFERROR(VALUE(LEFT(M289,FIND("-",M289)-1)),M289)*200&gt;150655),"Вы уменьшили цену в несколько раз, товар попадет в карантин цен",IF(IFERROR(VALUE(LEFT(M289,FIND("-",M289)-1)),M289)*200&lt;=150655,"Не сохранили изменения, чтобы защитить от ошибки — новые цены меньше текущих более чем в 2 раза. Снижайте их постепенно",IF(AND(IFERROR(VALUE(I289),0)=0,ISNUMBER(J289),OR(J289&lt;290,ABS(IFERROR(VALUE(LEFT(M289,FIND("-",M289)-1)),M289))*100&lt;29000)),"Проверьте цену товара. Большинство товаров в выбранной категории стоят дороже 290","")))))),"")</f>
      </c>
    </row>
    <row r="290">
      <c r="A290" s="2" t="inlineStr">
        <is>
          <t/>
        </is>
      </c>
      <c r="B290" s="2" t="inlineStr">
        <is>
          <t>Наборы аксессуаров для бани</t>
        </is>
      </c>
      <c r="C290" s="2">
        <v>619625399</v>
      </c>
      <c r="D290" s="2" t="inlineStr">
        <is>
          <t>981769</t>
        </is>
      </c>
      <c r="E290" s="2" t="inlineStr">
        <is>
          <t>2047326639765</t>
        </is>
      </c>
      <c r="F290" s="2">
        <v>0</v>
      </c>
      <c r="G290" s="2">
        <v>0</v>
      </c>
      <c r="H290" s="2" t="inlineStr">
        <is>
          <t/>
        </is>
      </c>
      <c r="I290" s="2" t="inlineStr">
        <is>
          <t>4991</t>
        </is>
      </c>
      <c r="J290" s="4"/>
      <c r="K290" s="2">
        <v>65</v>
      </c>
      <c r="L290" s="6"/>
      <c r="M290" s="2" t="str">
        <f>IF(J290="",ROUND(I290*(1-IF(ISBLANK(L290),K290,L290)/100),2),ROUND(J290*(1-IF(ISBLANK(L290),K290,L290)/100),2))</f>
      </c>
      <c r="N290" s="7" t="str">
        <f>IF(NOT(AND(J290="",L290="")),IF(OR(AND(L290&lt;&gt;"",NOT(ISNUMBER(L290))),IFERROR(MOD(L290,1),1)&gt;0,AND(ISNUMBER(L290),OR(L290&lt;0,L290&gt;95))),"Введите целое число от 0 до 95",IF(OR(AND(J290&lt;&gt;"",NOT(ISNUMBER(J290))),IFERROR(MOD(J290,1),1)&gt;0,AND(ISNUMBER(J290),OR(J290&lt;50,J290&gt;20000000))),"Введите целое число от 50 до 20000000",IF(NOT(ABS(IFERROR(VALUE(LEFT(M290,FIND("-",M290)-1)),M290)*100-(2500+2000000000)/2)&lt;=ABS(2500-2000000000)/2),"Цена со скидкой должна быть от 25 до 20000000",IF(AND(IFERROR(VALUE(LEFT(M290,FIND("-",M290)-1)),M290)*150&lt;=174685,IFERROR(VALUE(LEFT(M290,FIND("-",M290)-1)),M290)*200&gt;174685),"Вы уменьшили цену в несколько раз, товар попадет в карантин цен",IF(IFERROR(VALUE(LEFT(M290,FIND("-",M290)-1)),M290)*200&lt;=174685,"Не сохранили изменения, чтобы защитить от ошибки — новые цены меньше текущих более чем в 2 раза. Снижайте их постепенно",IF(AND(IFERROR(VALUE(I290),0)=0,ISNUMBER(J290),OR(J290&lt;179,ABS(IFERROR(VALUE(LEFT(M290,FIND("-",M290)-1)),M290))*100&lt;17900)),"Проверьте цену товара. Большинство товаров в выбранной категории стоят дороже 179","")))))),"")</f>
      </c>
    </row>
    <row r="291">
      <c r="A291" s="2" t="inlineStr">
        <is>
          <t/>
        </is>
      </c>
      <c r="B291" s="2" t="inlineStr">
        <is>
          <t>Гирлянды интерьерные</t>
        </is>
      </c>
      <c r="C291" s="2">
        <v>616141937</v>
      </c>
      <c r="D291" s="2" t="inlineStr">
        <is>
          <t>992523</t>
        </is>
      </c>
      <c r="E291" s="2" t="inlineStr">
        <is>
          <t>2047285724472</t>
        </is>
      </c>
      <c r="F291" s="2">
        <v>0</v>
      </c>
      <c r="G291" s="2">
        <v>4</v>
      </c>
      <c r="H291" s="2" t="inlineStr">
        <is>
          <t/>
        </is>
      </c>
      <c r="I291" s="2" t="inlineStr">
        <is>
          <t>5376</t>
        </is>
      </c>
      <c r="J291" s="4"/>
      <c r="K291" s="2">
        <v>80</v>
      </c>
      <c r="L291" s="6"/>
      <c r="M291" s="2" t="str">
        <f>IF(J291="",ROUND(I291*(1-IF(ISBLANK(L291),K291,L291)/100),2),ROUND(J291*(1-IF(ISBLANK(L291),K291,L291)/100),2))</f>
      </c>
      <c r="N291" s="7" t="str">
        <f>IF(NOT(AND(J291="",L291="")),IF(OR(AND(L291&lt;&gt;"",NOT(ISNUMBER(L291))),IFERROR(MOD(L291,1),1)&gt;0,AND(ISNUMBER(L291),OR(L291&lt;0,L291&gt;95))),"Введите целое число от 0 до 95",IF(OR(AND(J291&lt;&gt;"",NOT(ISNUMBER(J291))),IFERROR(MOD(J291,1),1)&gt;0,AND(ISNUMBER(J291),OR(J291&lt;50,J291&gt;20000000))),"Введите целое число от 50 до 20000000",IF(NOT(ABS(IFERROR(VALUE(LEFT(M291,FIND("-",M291)-1)),M291)*100-(2500+2000000000)/2)&lt;=ABS(2500-2000000000)/2),"Цена со скидкой должна быть от 25 до 20000000",IF(AND(IFERROR(VALUE(LEFT(M291,FIND("-",M291)-1)),M291)*150&lt;=107519,IFERROR(VALUE(LEFT(M291,FIND("-",M291)-1)),M291)*200&gt;107519),"Вы уменьшили цену в несколько раз, товар попадет в карантин цен",IF(IFERROR(VALUE(LEFT(M291,FIND("-",M291)-1)),M291)*200&lt;=107519,"Не сохранили изменения, чтобы защитить от ошибки — новые цены меньше текущих более чем в 2 раза. Снижайте их постепенно",IF(AND(IFERROR(VALUE(I291),0)=0,ISNUMBER(J291),OR(J291&lt;261,ABS(IFERROR(VALUE(LEFT(M291,FIND("-",M291)-1)),M291))*100&lt;26100)),"Проверьте цену товара. Большинство товаров в выбранной категории стоят дороже 261","")))))),"")</f>
      </c>
    </row>
    <row r="292">
      <c r="A292" s="2" t="inlineStr">
        <is>
          <t/>
        </is>
      </c>
      <c r="B292" s="2" t="inlineStr">
        <is>
          <t>Наборы инструментов</t>
        </is>
      </c>
      <c r="C292" s="2">
        <v>619505126</v>
      </c>
      <c r="D292" s="2" t="inlineStr">
        <is>
          <t>891098</t>
        </is>
      </c>
      <c r="E292" s="2" t="inlineStr">
        <is>
          <t>2047325161175</t>
        </is>
      </c>
      <c r="F292" s="2">
        <v>0</v>
      </c>
      <c r="G292" s="2">
        <v>0</v>
      </c>
      <c r="H292" s="2" t="inlineStr">
        <is>
          <t/>
        </is>
      </c>
      <c r="I292" s="2" t="inlineStr">
        <is>
          <t>4348</t>
        </is>
      </c>
      <c r="J292" s="4"/>
      <c r="K292" s="2">
        <v>65</v>
      </c>
      <c r="L292" s="6"/>
      <c r="M292" s="2" t="str">
        <f>IF(J292="",ROUND(I292*(1-IF(ISBLANK(L292),K292,L292)/100),2),ROUND(J292*(1-IF(ISBLANK(L292),K292,L292)/100),2))</f>
      </c>
      <c r="N292" s="7" t="str">
        <f>IF(NOT(AND(J292="",L292="")),IF(OR(AND(L292&lt;&gt;"",NOT(ISNUMBER(L292))),IFERROR(MOD(L292,1),1)&gt;0,AND(ISNUMBER(L292),OR(L292&lt;0,L292&gt;95))),"Введите целое число от 0 до 95",IF(OR(AND(J292&lt;&gt;"",NOT(ISNUMBER(J292))),IFERROR(MOD(J292,1),1)&gt;0,AND(ISNUMBER(J292),OR(J292&lt;50,J292&gt;20000000))),"Введите целое число от 50 до 20000000",IF(NOT(ABS(IFERROR(VALUE(LEFT(M292,FIND("-",M292)-1)),M292)*100-(2500+2000000000)/2)&lt;=ABS(2500-2000000000)/2),"Цена со скидкой должна быть от 25 до 20000000",IF(AND(IFERROR(VALUE(LEFT(M292,FIND("-",M292)-1)),M292)*150&lt;=152180,IFERROR(VALUE(LEFT(M292,FIND("-",M292)-1)),M292)*200&gt;152180),"Вы уменьшили цену в несколько раз, товар попадет в карантин цен",IF(IFERROR(VALUE(LEFT(M292,FIND("-",M292)-1)),M292)*200&lt;=152180,"Не сохранили изменения, чтобы защитить от ошибки — новые цены меньше текущих более чем в 2 раза. Снижайте их постепенно",IF(AND(IFERROR(VALUE(I292),0)=0,ISNUMBER(J292),OR(J292&lt;195,ABS(IFERROR(VALUE(LEFT(M292,FIND("-",M292)-1)),M292))*100&lt;19500)),"Проверьте цену товара. Большинство товаров в выбранной категории стоят дороже 195","")))))),"")</f>
      </c>
    </row>
    <row r="293">
      <c r="A293" s="2" t="inlineStr">
        <is>
          <t/>
        </is>
      </c>
      <c r="B293" s="2" t="inlineStr">
        <is>
          <t>Пистолеты термоклеевые</t>
        </is>
      </c>
      <c r="C293" s="2">
        <v>619508962</v>
      </c>
      <c r="D293" s="2" t="inlineStr">
        <is>
          <t>891275</t>
        </is>
      </c>
      <c r="E293" s="2" t="inlineStr">
        <is>
          <t>2047325205398</t>
        </is>
      </c>
      <c r="F293" s="2">
        <v>0</v>
      </c>
      <c r="G293" s="2">
        <v>0</v>
      </c>
      <c r="H293" s="2" t="inlineStr">
        <is>
          <t/>
        </is>
      </c>
      <c r="I293" s="2" t="inlineStr">
        <is>
          <t>3504</t>
        </is>
      </c>
      <c r="J293" s="4"/>
      <c r="K293" s="2">
        <v>69</v>
      </c>
      <c r="L293" s="6"/>
      <c r="M293" s="2" t="str">
        <f>IF(J293="",ROUND(I293*(1-IF(ISBLANK(L293),K293,L293)/100),2),ROUND(J293*(1-IF(ISBLANK(L293),K293,L293)/100),2))</f>
      </c>
      <c r="N293" s="7" t="str">
        <f>IF(NOT(AND(J293="",L293="")),IF(OR(AND(L293&lt;&gt;"",NOT(ISNUMBER(L293))),IFERROR(MOD(L293,1),1)&gt;0,AND(ISNUMBER(L293),OR(L293&lt;0,L293&gt;95))),"Введите целое число от 0 до 95",IF(OR(AND(J293&lt;&gt;"",NOT(ISNUMBER(J293))),IFERROR(MOD(J293,1),1)&gt;0,AND(ISNUMBER(J293),OR(J293&lt;50,J293&gt;20000000))),"Введите целое число от 50 до 20000000",IF(NOT(ABS(IFERROR(VALUE(LEFT(M293,FIND("-",M293)-1)),M293)*100-(2500+2000000000)/2)&lt;=ABS(2500-2000000000)/2),"Цена со скидкой должна быть от 25 до 20000000",IF(AND(IFERROR(VALUE(LEFT(M293,FIND("-",M293)-1)),M293)*150&lt;=108624,IFERROR(VALUE(LEFT(M293,FIND("-",M293)-1)),M293)*200&gt;108624),"Вы уменьшили цену в несколько раз, товар попадет в карантин цен",IF(IFERROR(VALUE(LEFT(M293,FIND("-",M293)-1)),M293)*200&lt;=108624,"Не сохранили изменения, чтобы защитить от ошибки — новые цены меньше текущих более чем в 2 раза. Снижайте их постепенно",IF(AND(IFERROR(VALUE(I293),0)=0,ISNUMBER(J293),OR(J293&lt;216,ABS(IFERROR(VALUE(LEFT(M293,FIND("-",M293)-1)),M293))*100&lt;21600)),"Проверьте цену товара. Большинство товаров в выбранной категории стоят дороже 216","")))))),"")</f>
      </c>
    </row>
    <row r="294">
      <c r="A294" s="2" t="inlineStr">
        <is>
          <t/>
        </is>
      </c>
      <c r="B294" s="2" t="inlineStr">
        <is>
          <t>Гирлянды интерьерные</t>
        </is>
      </c>
      <c r="C294" s="2">
        <v>616141946</v>
      </c>
      <c r="D294" s="2" t="inlineStr">
        <is>
          <t>992775</t>
        </is>
      </c>
      <c r="E294" s="2" t="inlineStr">
        <is>
          <t>2047285724595</t>
        </is>
      </c>
      <c r="F294" s="2">
        <v>0</v>
      </c>
      <c r="G294" s="2">
        <v>6</v>
      </c>
      <c r="H294" s="2" t="inlineStr">
        <is>
          <t/>
        </is>
      </c>
      <c r="I294" s="2" t="inlineStr">
        <is>
          <t>3032</t>
        </is>
      </c>
      <c r="J294" s="4"/>
      <c r="K294" s="2">
        <v>79</v>
      </c>
      <c r="L294" s="6"/>
      <c r="M294" s="2" t="str">
        <f>IF(J294="",ROUND(I294*(1-IF(ISBLANK(L294),K294,L294)/100),2),ROUND(J294*(1-IF(ISBLANK(L294),K294,L294)/100),2))</f>
      </c>
      <c r="N294" s="7" t="str">
        <f>IF(NOT(AND(J294="",L294="")),IF(OR(AND(L294&lt;&gt;"",NOT(ISNUMBER(L294))),IFERROR(MOD(L294,1),1)&gt;0,AND(ISNUMBER(L294),OR(L294&lt;0,L294&gt;95))),"Введите целое число от 0 до 95",IF(OR(AND(J294&lt;&gt;"",NOT(ISNUMBER(J294))),IFERROR(MOD(J294,1),1)&gt;0,AND(ISNUMBER(J294),OR(J294&lt;50,J294&gt;20000000))),"Введите целое число от 50 до 20000000",IF(NOT(ABS(IFERROR(VALUE(LEFT(M294,FIND("-",M294)-1)),M294)*100-(2500+2000000000)/2)&lt;=ABS(2500-2000000000)/2),"Цена со скидкой должна быть от 25 до 20000000",IF(AND(IFERROR(VALUE(LEFT(M294,FIND("-",M294)-1)),M294)*150&lt;=63671,IFERROR(VALUE(LEFT(M294,FIND("-",M294)-1)),M294)*200&gt;63671),"Вы уменьшили цену в несколько раз, товар попадет в карантин цен",IF(IFERROR(VALUE(LEFT(M294,FIND("-",M294)-1)),M294)*200&lt;=63671,"Не сохранили изменения, чтобы защитить от ошибки — новые цены меньше текущих более чем в 2 раза. Снижайте их постепенно",IF(AND(IFERROR(VALUE(I294),0)=0,ISNUMBER(J294),OR(J294&lt;261,ABS(IFERROR(VALUE(LEFT(M294,FIND("-",M294)-1)),M294))*100&lt;26100)),"Проверьте цену товара. Большинство товаров в выбранной категории стоят дороже 261","")))))),"")</f>
      </c>
    </row>
    <row r="295">
      <c r="A295" s="2" t="inlineStr">
        <is>
          <t/>
        </is>
      </c>
      <c r="B295" s="2" t="inlineStr">
        <is>
          <t>Термосы</t>
        </is>
      </c>
      <c r="C295" s="2">
        <v>600647786</v>
      </c>
      <c r="D295" s="2" t="inlineStr">
        <is>
          <t>283531</t>
        </is>
      </c>
      <c r="E295" s="2" t="inlineStr">
        <is>
          <t>2047129194812</t>
        </is>
      </c>
      <c r="F295" s="2">
        <v>0</v>
      </c>
      <c r="G295" s="2">
        <v>0</v>
      </c>
      <c r="H295" s="2" t="inlineStr">
        <is>
          <t/>
        </is>
      </c>
      <c r="I295" s="2" t="inlineStr">
        <is>
          <t>9123</t>
        </is>
      </c>
      <c r="J295" s="4"/>
      <c r="K295" s="2">
        <v>65</v>
      </c>
      <c r="L295" s="6"/>
      <c r="M295" s="2" t="str">
        <f>IF(J295="",ROUND(I295*(1-IF(ISBLANK(L295),K295,L295)/100),2),ROUND(J295*(1-IF(ISBLANK(L295),K295,L295)/100),2))</f>
      </c>
      <c r="N295" s="7" t="str">
        <f>IF(NOT(AND(J295="",L295="")),IF(OR(AND(L295&lt;&gt;"",NOT(ISNUMBER(L295))),IFERROR(MOD(L295,1),1)&gt;0,AND(ISNUMBER(L295),OR(L295&lt;0,L295&gt;95))),"Введите целое число от 0 до 95",IF(OR(AND(J295&lt;&gt;"",NOT(ISNUMBER(J295))),IFERROR(MOD(J295,1),1)&gt;0,AND(ISNUMBER(J295),OR(J295&lt;50,J295&gt;20000000))),"Введите целое число от 50 до 20000000",IF(NOT(ABS(IFERROR(VALUE(LEFT(M295,FIND("-",M295)-1)),M295)*100-(2500+2000000000)/2)&lt;=ABS(2500-2000000000)/2),"Цена со скидкой должна быть от 25 до 20000000",IF(AND(IFERROR(VALUE(LEFT(M295,FIND("-",M295)-1)),M295)*150&lt;=319305,IFERROR(VALUE(LEFT(M295,FIND("-",M295)-1)),M295)*200&gt;319305),"Вы уменьшили цену в несколько раз, товар попадет в карантин цен",IF(IFERROR(VALUE(LEFT(M295,FIND("-",M295)-1)),M295)*200&lt;=319305,"Не сохранили изменения, чтобы защитить от ошибки — новые цены меньше текущих более чем в 2 раза. Снижайте их постепенно",IF(AND(IFERROR(VALUE(I295),0)=0,ISNUMBER(J295),OR(J295&lt;547,ABS(IFERROR(VALUE(LEFT(M295,FIND("-",M295)-1)),M295))*100&lt;54700)),"Проверьте цену товара. Большинство товаров в выбранной категории стоят дороже 547","")))))),"")</f>
      </c>
    </row>
    <row r="296">
      <c r="A296" s="2" t="inlineStr">
        <is>
          <t/>
        </is>
      </c>
      <c r="B296" s="2" t="inlineStr">
        <is>
          <t>Точилки для ножей</t>
        </is>
      </c>
      <c r="C296" s="2">
        <v>600630490</v>
      </c>
      <c r="D296" s="2" t="inlineStr">
        <is>
          <t>523208</t>
        </is>
      </c>
      <c r="E296" s="2" t="inlineStr">
        <is>
          <t>2047129102824</t>
        </is>
      </c>
      <c r="F296" s="2">
        <v>0</v>
      </c>
      <c r="G296" s="2">
        <v>0</v>
      </c>
      <c r="H296" s="2" t="inlineStr">
        <is>
          <t/>
        </is>
      </c>
      <c r="I296" s="2" t="inlineStr">
        <is>
          <t>16226</t>
        </is>
      </c>
      <c r="J296" s="4"/>
      <c r="K296" s="2">
        <v>65</v>
      </c>
      <c r="L296" s="6"/>
      <c r="M296" s="2" t="str">
        <f>IF(J296="",ROUND(I296*(1-IF(ISBLANK(L296),K296,L296)/100),2),ROUND(J296*(1-IF(ISBLANK(L296),K296,L296)/100),2))</f>
      </c>
      <c r="N296" s="7" t="str">
        <f>IF(NOT(AND(J296="",L296="")),IF(OR(AND(L296&lt;&gt;"",NOT(ISNUMBER(L296))),IFERROR(MOD(L296,1),1)&gt;0,AND(ISNUMBER(L296),OR(L296&lt;0,L296&gt;95))),"Введите целое число от 0 до 95",IF(OR(AND(J296&lt;&gt;"",NOT(ISNUMBER(J296))),IFERROR(MOD(J296,1),1)&gt;0,AND(ISNUMBER(J296),OR(J296&lt;50,J296&gt;20000000))),"Введите целое число от 50 до 20000000",IF(NOT(ABS(IFERROR(VALUE(LEFT(M296,FIND("-",M296)-1)),M296)*100-(2500+2000000000)/2)&lt;=ABS(2500-2000000000)/2),"Цена со скидкой должна быть от 25 до 20000000",IF(AND(IFERROR(VALUE(LEFT(M296,FIND("-",M296)-1)),M296)*150&lt;=567910,IFERROR(VALUE(LEFT(M296,FIND("-",M296)-1)),M296)*200&gt;567910),"Вы уменьшили цену в несколько раз, товар попадет в карантин цен",IF(IFERROR(VALUE(LEFT(M296,FIND("-",M296)-1)),M296)*200&lt;=567910,"Не сохранили изменения, чтобы защитить от ошибки — новые цены меньше текущих более чем в 2 раза. Снижайте их постепенно",IF(AND(IFERROR(VALUE(I296),0)=0,ISNUMBER(J296),OR(J296&lt;268,ABS(IFERROR(VALUE(LEFT(M296,FIND("-",M296)-1)),M296))*100&lt;26800)),"Проверьте цену товара. Большинство товаров в выбранной категории стоят дороже 268","")))))),"")</f>
      </c>
    </row>
    <row r="297">
      <c r="A297" s="2" t="inlineStr">
        <is>
          <t/>
        </is>
      </c>
      <c r="B297" s="2" t="inlineStr">
        <is>
          <t>Гирлянды интерьерные</t>
        </is>
      </c>
      <c r="C297" s="2">
        <v>616141941</v>
      </c>
      <c r="D297" s="2" t="inlineStr">
        <is>
          <t>992517</t>
        </is>
      </c>
      <c r="E297" s="2" t="inlineStr">
        <is>
          <t>2047285724540</t>
        </is>
      </c>
      <c r="F297" s="2">
        <v>0</v>
      </c>
      <c r="G297" s="2">
        <v>1</v>
      </c>
      <c r="H297" s="2" t="inlineStr">
        <is>
          <t/>
        </is>
      </c>
      <c r="I297" s="2" t="inlineStr">
        <is>
          <t>4393</t>
        </is>
      </c>
      <c r="J297" s="4"/>
      <c r="K297" s="2">
        <v>80</v>
      </c>
      <c r="L297" s="6"/>
      <c r="M297" s="2" t="str">
        <f>IF(J297="",ROUND(I297*(1-IF(ISBLANK(L297),K297,L297)/100),2),ROUND(J297*(1-IF(ISBLANK(L297),K297,L297)/100),2))</f>
      </c>
      <c r="N297" s="7" t="str">
        <f>IF(NOT(AND(J297="",L297="")),IF(OR(AND(L297&lt;&gt;"",NOT(ISNUMBER(L297))),IFERROR(MOD(L297,1),1)&gt;0,AND(ISNUMBER(L297),OR(L297&lt;0,L297&gt;95))),"Введите целое число от 0 до 95",IF(OR(AND(J297&lt;&gt;"",NOT(ISNUMBER(J297))),IFERROR(MOD(J297,1),1)&gt;0,AND(ISNUMBER(J297),OR(J297&lt;50,J297&gt;20000000))),"Введите целое число от 50 до 20000000",IF(NOT(ABS(IFERROR(VALUE(LEFT(M297,FIND("-",M297)-1)),M297)*100-(2500+2000000000)/2)&lt;=ABS(2500-2000000000)/2),"Цена со скидкой должна быть от 25 до 20000000",IF(AND(IFERROR(VALUE(LEFT(M297,FIND("-",M297)-1)),M297)*150&lt;=87859,IFERROR(VALUE(LEFT(M297,FIND("-",M297)-1)),M297)*200&gt;87859),"Вы уменьшили цену в несколько раз, товар попадет в карантин цен",IF(IFERROR(VALUE(LEFT(M297,FIND("-",M297)-1)),M297)*200&lt;=87859,"Не сохранили изменения, чтобы защитить от ошибки — новые цены меньше текущих более чем в 2 раза. Снижайте их постепенно",IF(AND(IFERROR(VALUE(I297),0)=0,ISNUMBER(J297),OR(J297&lt;261,ABS(IFERROR(VALUE(LEFT(M297,FIND("-",M297)-1)),M297))*100&lt;26100)),"Проверьте цену товара. Большинство товаров в выбранной категории стоят дороже 261","")))))),"")</f>
      </c>
    </row>
    <row r="298">
      <c r="A298" s="2" t="inlineStr">
        <is>
          <t/>
        </is>
      </c>
      <c r="B298" s="2" t="inlineStr">
        <is>
          <t>Щипцы для укладки</t>
        </is>
      </c>
      <c r="C298" s="2">
        <v>600650232</v>
      </c>
      <c r="D298" s="2" t="inlineStr">
        <is>
          <t>192522</t>
        </is>
      </c>
      <c r="E298" s="2" t="inlineStr">
        <is>
          <t>2047106057895</t>
        </is>
      </c>
      <c r="F298" s="2">
        <v>10</v>
      </c>
      <c r="G298" s="2">
        <v>0</v>
      </c>
      <c r="H298" s="2">
        <v>329</v>
      </c>
      <c r="I298" s="2" t="inlineStr">
        <is>
          <t>2956</t>
        </is>
      </c>
      <c r="J298" s="4"/>
      <c r="K298" s="2">
        <v>79</v>
      </c>
      <c r="L298" s="6"/>
      <c r="M298" s="2" t="str">
        <f>IF(J298="",ROUND(I298*(1-IF(ISBLANK(L298),K298,L298)/100),2),ROUND(J298*(1-IF(ISBLANK(L298),K298,L298)/100),2))</f>
      </c>
      <c r="N298" s="7" t="str">
        <f>IF(NOT(AND(J298="",L298="")),IF(OR(AND(L298&lt;&gt;"",NOT(ISNUMBER(L298))),IFERROR(MOD(L298,1),1)&gt;0,AND(ISNUMBER(L298),OR(L298&lt;0,L298&gt;95))),"Введите целое число от 0 до 95",IF(OR(AND(J298&lt;&gt;"",NOT(ISNUMBER(J298))),IFERROR(MOD(J298,1),1)&gt;0,AND(ISNUMBER(J298),OR(J298&lt;50,J298&gt;20000000))),"Введите целое число от 50 до 20000000",IF(NOT(ABS(IFERROR(VALUE(LEFT(M298,FIND("-",M298)-1)),M298)*100-(2500+2000000000)/2)&lt;=ABS(2500-2000000000)/2),"Цена со скидкой должна быть от 25 до 20000000",IF(AND(IFERROR(VALUE(LEFT(M298,FIND("-",M298)-1)),M298)*150&lt;=62075,IFERROR(VALUE(LEFT(M298,FIND("-",M298)-1)),M298)*200&gt;62075),"Вы уменьшили цену в несколько раз, товар попадет в карантин цен",IF(IFERROR(VALUE(LEFT(M298,FIND("-",M298)-1)),M298)*200&lt;=62075,"Не сохранили изменения, чтобы защитить от ошибки — новые цены меньше текущих более чем в 2 раза. Снижайте их постепенно",IF(AND(IFERROR(VALUE(I298),0)=0,ISNUMBER(J298),OR(J298&lt;602,ABS(IFERROR(VALUE(LEFT(M298,FIND("-",M298)-1)),M298))*100&lt;60200)),"Проверьте цену товара. Большинство товаров в выбранной категории стоят дороже 602","")))))),"")</f>
      </c>
    </row>
    <row r="299">
      <c r="A299" s="2" t="inlineStr">
        <is>
          <t/>
        </is>
      </c>
      <c r="B299" s="2" t="inlineStr">
        <is>
          <t>Щипцы для укладки</t>
        </is>
      </c>
      <c r="C299" s="2">
        <v>600650230</v>
      </c>
      <c r="D299" s="2" t="inlineStr">
        <is>
          <t>192126</t>
        </is>
      </c>
      <c r="E299" s="2" t="inlineStr">
        <is>
          <t>2047106057888</t>
        </is>
      </c>
      <c r="F299" s="2">
        <v>0</v>
      </c>
      <c r="G299" s="2">
        <v>18</v>
      </c>
      <c r="H299" s="2" t="inlineStr">
        <is>
          <t/>
        </is>
      </c>
      <c r="I299" s="2" t="inlineStr">
        <is>
          <t>7672</t>
        </is>
      </c>
      <c r="J299" s="4"/>
      <c r="K299" s="2">
        <v>78</v>
      </c>
      <c r="L299" s="6"/>
      <c r="M299" s="2" t="str">
        <f>IF(J299="",ROUND(I299*(1-IF(ISBLANK(L299),K299,L299)/100),2),ROUND(J299*(1-IF(ISBLANK(L299),K299,L299)/100),2))</f>
      </c>
      <c r="N299" s="7" t="str">
        <f>IF(NOT(AND(J299="",L299="")),IF(OR(AND(L299&lt;&gt;"",NOT(ISNUMBER(L299))),IFERROR(MOD(L299,1),1)&gt;0,AND(ISNUMBER(L299),OR(L299&lt;0,L299&gt;95))),"Введите целое число от 0 до 95",IF(OR(AND(J299&lt;&gt;"",NOT(ISNUMBER(J299))),IFERROR(MOD(J299,1),1)&gt;0,AND(ISNUMBER(J299),OR(J299&lt;50,J299&gt;20000000))),"Введите целое число от 50 до 20000000",IF(NOT(ABS(IFERROR(VALUE(LEFT(M299,FIND("-",M299)-1)),M299)*100-(2500+2000000000)/2)&lt;=ABS(2500-2000000000)/2),"Цена со скидкой должна быть от 25 до 20000000",IF(AND(IFERROR(VALUE(LEFT(M299,FIND("-",M299)-1)),M299)*150&lt;=168783,IFERROR(VALUE(LEFT(M299,FIND("-",M299)-1)),M299)*200&gt;168783),"Вы уменьшили цену в несколько раз, товар попадет в карантин цен",IF(IFERROR(VALUE(LEFT(M299,FIND("-",M299)-1)),M299)*200&lt;=168783,"Не сохранили изменения, чтобы защитить от ошибки — новые цены меньше текущих более чем в 2 раза. Снижайте их постепенно",IF(AND(IFERROR(VALUE(I299),0)=0,ISNUMBER(J299),OR(J299&lt;602,ABS(IFERROR(VALUE(LEFT(M299,FIND("-",M299)-1)),M299))*100&lt;60200)),"Проверьте цену товара. Большинство товаров в выбранной категории стоят дороже 602","")))))),"")</f>
      </c>
    </row>
    <row r="300">
      <c r="A300" s="2" t="inlineStr">
        <is>
          <t/>
        </is>
      </c>
      <c r="B300" s="2" t="inlineStr">
        <is>
          <t>Ланч-боксы</t>
        </is>
      </c>
      <c r="C300" s="2">
        <v>600645325</v>
      </c>
      <c r="D300" s="2" t="inlineStr">
        <is>
          <t>283469</t>
        </is>
      </c>
      <c r="E300" s="2" t="inlineStr">
        <is>
          <t>2047129195260</t>
        </is>
      </c>
      <c r="F300" s="2">
        <v>0</v>
      </c>
      <c r="G300" s="2">
        <v>9</v>
      </c>
      <c r="H300" s="2" t="inlineStr">
        <is>
          <t/>
        </is>
      </c>
      <c r="I300" s="2" t="inlineStr">
        <is>
          <t>9392</t>
        </is>
      </c>
      <c r="J300" s="4"/>
      <c r="K300" s="2">
        <v>78</v>
      </c>
      <c r="L300" s="6"/>
      <c r="M300" s="2" t="str">
        <f>IF(J300="",ROUND(I300*(1-IF(ISBLANK(L300),K300,L300)/100),2),ROUND(J300*(1-IF(ISBLANK(L300),K300,L300)/100),2))</f>
      </c>
      <c r="N300" s="7" t="str">
        <f>IF(NOT(AND(J300="",L300="")),IF(OR(AND(L300&lt;&gt;"",NOT(ISNUMBER(L300))),IFERROR(MOD(L300,1),1)&gt;0,AND(ISNUMBER(L300),OR(L300&lt;0,L300&gt;95))),"Введите целое число от 0 до 95",IF(OR(AND(J300&lt;&gt;"",NOT(ISNUMBER(J300))),IFERROR(MOD(J300,1),1)&gt;0,AND(ISNUMBER(J300),OR(J300&lt;50,J300&gt;20000000))),"Введите целое число от 50 до 20000000",IF(NOT(ABS(IFERROR(VALUE(LEFT(M300,FIND("-",M300)-1)),M300)*100-(2500+2000000000)/2)&lt;=ABS(2500-2000000000)/2),"Цена со скидкой должна быть от 25 до 20000000",IF(AND(IFERROR(VALUE(LEFT(M300,FIND("-",M300)-1)),M300)*150&lt;=206623,IFERROR(VALUE(LEFT(M300,FIND("-",M300)-1)),M300)*200&gt;206623),"Вы уменьшили цену в несколько раз, товар попадет в карантин цен",IF(IFERROR(VALUE(LEFT(M300,FIND("-",M300)-1)),M300)*200&lt;=206623,"Не сохранили изменения, чтобы защитить от ошибки — новые цены меньше текущих более чем в 2 раза. Снижайте их постепенно",IF(AND(IFERROR(VALUE(I300),0)=0,ISNUMBER(J300),OR(J300&lt;364,ABS(IFERROR(VALUE(LEFT(M300,FIND("-",M300)-1)),M300))*100&lt;36400)),"Проверьте цену товара. Большинство товаров в выбранной категории стоят дороже 364","")))))),"")</f>
      </c>
    </row>
    <row r="301">
      <c r="A301" s="2" t="inlineStr">
        <is>
          <t/>
        </is>
      </c>
      <c r="B301" s="2" t="inlineStr">
        <is>
          <t>Фены</t>
        </is>
      </c>
      <c r="C301" s="2">
        <v>600650197</v>
      </c>
      <c r="D301" s="2" t="inlineStr">
        <is>
          <t>191513</t>
        </is>
      </c>
      <c r="E301" s="2" t="inlineStr">
        <is>
          <t>2047106057918</t>
        </is>
      </c>
      <c r="F301" s="2">
        <v>0</v>
      </c>
      <c r="G301" s="2">
        <v>8</v>
      </c>
      <c r="H301" s="2" t="inlineStr">
        <is>
          <t/>
        </is>
      </c>
      <c r="I301" s="2" t="inlineStr">
        <is>
          <t>11707</t>
        </is>
      </c>
      <c r="J301" s="4"/>
      <c r="K301" s="2">
        <v>65</v>
      </c>
      <c r="L301" s="6"/>
      <c r="M301" s="2" t="str">
        <f>IF(J301="",ROUND(I301*(1-IF(ISBLANK(L301),K301,L301)/100),2),ROUND(J301*(1-IF(ISBLANK(L301),K301,L301)/100),2))</f>
      </c>
      <c r="N301" s="7" t="str">
        <f>IF(NOT(AND(J301="",L301="")),IF(OR(AND(L301&lt;&gt;"",NOT(ISNUMBER(L301))),IFERROR(MOD(L301,1),1)&gt;0,AND(ISNUMBER(L301),OR(L301&lt;0,L301&gt;95))),"Введите целое число от 0 до 95",IF(OR(AND(J301&lt;&gt;"",NOT(ISNUMBER(J301))),IFERROR(MOD(J301,1),1)&gt;0,AND(ISNUMBER(J301),OR(J301&lt;50,J301&gt;20000000))),"Введите целое число от 50 до 20000000",IF(NOT(ABS(IFERROR(VALUE(LEFT(M301,FIND("-",M301)-1)),M301)*100-(2500+2000000000)/2)&lt;=ABS(2500-2000000000)/2),"Цена со скидкой должна быть от 25 до 20000000",IF(AND(IFERROR(VALUE(LEFT(M301,FIND("-",M301)-1)),M301)*150&lt;=409745,IFERROR(VALUE(LEFT(M301,FIND("-",M301)-1)),M301)*200&gt;409745),"Вы уменьшили цену в несколько раз, товар попадет в карантин цен",IF(IFERROR(VALUE(LEFT(M301,FIND("-",M301)-1)),M301)*200&lt;=409745,"Не сохранили изменения, чтобы защитить от ошибки — новые цены меньше текущих более чем в 2 раза. Снижайте их постепенно",IF(AND(IFERROR(VALUE(I301),0)=0,ISNUMBER(J301),OR(J301&lt;411,ABS(IFERROR(VALUE(LEFT(M301,FIND("-",M301)-1)),M301))*100&lt;41100)),"Проверьте цену товара. Большинство товаров в выбранной категории стоят дороже 411","")))))),"")</f>
      </c>
    </row>
    <row r="302">
      <c r="A302" s="2" t="inlineStr">
        <is>
          <t/>
        </is>
      </c>
      <c r="B302" s="2" t="inlineStr">
        <is>
          <t>Щетки автомобильные</t>
        </is>
      </c>
      <c r="C302" s="2">
        <v>600558995</v>
      </c>
      <c r="D302" s="2" t="inlineStr">
        <is>
          <t>456878</t>
        </is>
      </c>
      <c r="E302" s="2" t="inlineStr">
        <is>
          <t>2047127879575</t>
        </is>
      </c>
      <c r="F302" s="2">
        <v>0</v>
      </c>
      <c r="G302" s="2">
        <v>0</v>
      </c>
      <c r="H302" s="2" t="inlineStr">
        <is>
          <t/>
        </is>
      </c>
      <c r="I302" s="2" t="inlineStr">
        <is>
          <t>6101</t>
        </is>
      </c>
      <c r="J302" s="4"/>
      <c r="K302" s="2">
        <v>65</v>
      </c>
      <c r="L302" s="6"/>
      <c r="M302" s="2" t="str">
        <f>IF(J302="",ROUND(I302*(1-IF(ISBLANK(L302),K302,L302)/100),2),ROUND(J302*(1-IF(ISBLANK(L302),K302,L302)/100),2))</f>
      </c>
      <c r="N302" s="7" t="str">
        <f>IF(NOT(AND(J302="",L302="")),IF(OR(AND(L302&lt;&gt;"",NOT(ISNUMBER(L302))),IFERROR(MOD(L302,1),1)&gt;0,AND(ISNUMBER(L302),OR(L302&lt;0,L302&gt;95))),"Введите целое число от 0 до 95",IF(OR(AND(J302&lt;&gt;"",NOT(ISNUMBER(J302))),IFERROR(MOD(J302,1),1)&gt;0,AND(ISNUMBER(J302),OR(J302&lt;50,J302&gt;20000000))),"Введите целое число от 50 до 20000000",IF(NOT(ABS(IFERROR(VALUE(LEFT(M302,FIND("-",M302)-1)),M302)*100-(2500+2000000000)/2)&lt;=ABS(2500-2000000000)/2),"Цена со скидкой должна быть от 25 до 20000000",IF(AND(IFERROR(VALUE(LEFT(M302,FIND("-",M302)-1)),M302)*150&lt;=213535,IFERROR(VALUE(LEFT(M302,FIND("-",M302)-1)),M302)*200&gt;213535),"Вы уменьшили цену в несколько раз, товар попадет в карантин цен",IF(IFERROR(VALUE(LEFT(M302,FIND("-",M302)-1)),M302)*200&lt;=213535,"Не сохранили изменения, чтобы защитить от ошибки — новые цены меньше текущих более чем в 2 раза. Снижайте их постепенно",IF(AND(IFERROR(VALUE(I302),0)=0,ISNUMBER(J302),OR(J302&lt;228,ABS(IFERROR(VALUE(LEFT(M302,FIND("-",M302)-1)),M302))*100&lt;22800)),"Проверьте цену товара. Большинство товаров в выбранной категории стоят дороже 228","")))))),"")</f>
      </c>
    </row>
    <row r="303">
      <c r="A303" s="2" t="inlineStr">
        <is>
          <t/>
        </is>
      </c>
      <c r="B303" s="2" t="inlineStr">
        <is>
          <t>Щетки автомобильные</t>
        </is>
      </c>
      <c r="C303" s="2">
        <v>600559002</v>
      </c>
      <c r="D303" s="2" t="inlineStr">
        <is>
          <t>454691</t>
        </is>
      </c>
      <c r="E303" s="2" t="inlineStr">
        <is>
          <t>2047127879643</t>
        </is>
      </c>
      <c r="F303" s="2">
        <v>0</v>
      </c>
      <c r="G303" s="2">
        <v>29</v>
      </c>
      <c r="H303" s="2" t="inlineStr">
        <is>
          <t/>
        </is>
      </c>
      <c r="I303" s="2" t="inlineStr">
        <is>
          <t>3452</t>
        </is>
      </c>
      <c r="J303" s="4"/>
      <c r="K303" s="2">
        <v>78</v>
      </c>
      <c r="L303" s="6"/>
      <c r="M303" s="2" t="str">
        <f>IF(J303="",ROUND(I303*(1-IF(ISBLANK(L303),K303,L303)/100),2),ROUND(J303*(1-IF(ISBLANK(L303),K303,L303)/100),2))</f>
      </c>
      <c r="N303" s="7" t="str">
        <f>IF(NOT(AND(J303="",L303="")),IF(OR(AND(L303&lt;&gt;"",NOT(ISNUMBER(L303))),IFERROR(MOD(L303,1),1)&gt;0,AND(ISNUMBER(L303),OR(L303&lt;0,L303&gt;95))),"Введите целое число от 0 до 95",IF(OR(AND(J303&lt;&gt;"",NOT(ISNUMBER(J303))),IFERROR(MOD(J303,1),1)&gt;0,AND(ISNUMBER(J303),OR(J303&lt;50,J303&gt;20000000))),"Введите целое число от 50 до 20000000",IF(NOT(ABS(IFERROR(VALUE(LEFT(M303,FIND("-",M303)-1)),M303)*100-(2500+2000000000)/2)&lt;=ABS(2500-2000000000)/2),"Цена со скидкой должна быть от 25 до 20000000",IF(AND(IFERROR(VALUE(LEFT(M303,FIND("-",M303)-1)),M303)*150&lt;=75944,IFERROR(VALUE(LEFT(M303,FIND("-",M303)-1)),M303)*200&gt;75944),"Вы уменьшили цену в несколько раз, товар попадет в карантин цен",IF(IFERROR(VALUE(LEFT(M303,FIND("-",M303)-1)),M303)*200&lt;=75944,"Не сохранили изменения, чтобы защитить от ошибки — новые цены меньше текущих более чем в 2 раза. Снижайте их постепенно",IF(AND(IFERROR(VALUE(I303),0)=0,ISNUMBER(J303),OR(J303&lt;228,ABS(IFERROR(VALUE(LEFT(M303,FIND("-",M303)-1)),M303))*100&lt;22800)),"Проверьте цену товара. Большинство товаров в выбранной категории стоят дороже 228","")))))),"")</f>
      </c>
    </row>
    <row r="304">
      <c r="A304" s="2" t="inlineStr">
        <is>
          <t/>
        </is>
      </c>
      <c r="B304" s="2" t="inlineStr">
        <is>
          <t>Терки</t>
        </is>
      </c>
      <c r="C304" s="2">
        <v>600630464</v>
      </c>
      <c r="D304" s="2" t="inlineStr">
        <is>
          <t>93881</t>
        </is>
      </c>
      <c r="E304" s="2" t="inlineStr">
        <is>
          <t>2047129101513</t>
        </is>
      </c>
      <c r="F304" s="2">
        <v>0</v>
      </c>
      <c r="G304" s="2">
        <v>0</v>
      </c>
      <c r="H304" s="2" t="inlineStr">
        <is>
          <t/>
        </is>
      </c>
      <c r="I304" s="2" t="inlineStr">
        <is>
          <t>21911</t>
        </is>
      </c>
      <c r="J304" s="4"/>
      <c r="K304" s="2">
        <v>65</v>
      </c>
      <c r="L304" s="6"/>
      <c r="M304" s="2" t="str">
        <f>IF(J304="",ROUND(I304*(1-IF(ISBLANK(L304),K304,L304)/100),2),ROUND(J304*(1-IF(ISBLANK(L304),K304,L304)/100),2))</f>
      </c>
      <c r="N304" s="7" t="str">
        <f>IF(NOT(AND(J304="",L304="")),IF(OR(AND(L304&lt;&gt;"",NOT(ISNUMBER(L304))),IFERROR(MOD(L304,1),1)&gt;0,AND(ISNUMBER(L304),OR(L304&lt;0,L304&gt;95))),"Введите целое число от 0 до 95",IF(OR(AND(J304&lt;&gt;"",NOT(ISNUMBER(J304))),IFERROR(MOD(J304,1),1)&gt;0,AND(ISNUMBER(J304),OR(J304&lt;50,J304&gt;20000000))),"Введите целое число от 50 до 20000000",IF(NOT(ABS(IFERROR(VALUE(LEFT(M304,FIND("-",M304)-1)),M304)*100-(2500+2000000000)/2)&lt;=ABS(2500-2000000000)/2),"Цена со скидкой должна быть от 25 до 20000000",IF(AND(IFERROR(VALUE(LEFT(M304,FIND("-",M304)-1)),M304)*150&lt;=766885,IFERROR(VALUE(LEFT(M304,FIND("-",M304)-1)),M304)*200&gt;766885),"Вы уменьшили цену в несколько раз, товар попадет в карантин цен",IF(IFERROR(VALUE(LEFT(M304,FIND("-",M304)-1)),M304)*200&lt;=766885,"Не сохранили изменения, чтобы защитить от ошибки — новые цены меньше текущих более чем в 2 раза. Снижайте их постепенно",IF(AND(IFERROR(VALUE(I304),0)=0,ISNUMBER(J304),OR(J304&lt;261,ABS(IFERROR(VALUE(LEFT(M304,FIND("-",M304)-1)),M304))*100&lt;26100)),"Проверьте цену товара. Большинство товаров в выбранной категории стоят дороже 261","")))))),"")</f>
      </c>
    </row>
    <row r="305">
      <c r="A305" s="2" t="inlineStr">
        <is>
          <t/>
        </is>
      </c>
      <c r="B305" s="2" t="inlineStr">
        <is>
          <t>Подставки для ножей</t>
        </is>
      </c>
      <c r="C305" s="2">
        <v>600652734</v>
      </c>
      <c r="D305" s="2" t="inlineStr">
        <is>
          <t>523521</t>
        </is>
      </c>
      <c r="E305" s="2" t="inlineStr">
        <is>
          <t>2047129195024</t>
        </is>
      </c>
      <c r="F305" s="2">
        <v>6</v>
      </c>
      <c r="G305" s="2">
        <v>0</v>
      </c>
      <c r="H305" s="2">
        <v>999</v>
      </c>
      <c r="I305" s="2" t="inlineStr">
        <is>
          <t>12112</t>
        </is>
      </c>
      <c r="J305" s="4"/>
      <c r="K305" s="2">
        <v>78</v>
      </c>
      <c r="L305" s="6"/>
      <c r="M305" s="2" t="str">
        <f>IF(J305="",ROUND(I305*(1-IF(ISBLANK(L305),K305,L305)/100),2),ROUND(J305*(1-IF(ISBLANK(L305),K305,L305)/100),2))</f>
      </c>
      <c r="N305" s="7" t="str">
        <f>IF(NOT(AND(J305="",L305="")),IF(OR(AND(L305&lt;&gt;"",NOT(ISNUMBER(L305))),IFERROR(MOD(L305,1),1)&gt;0,AND(ISNUMBER(L305),OR(L305&lt;0,L305&gt;95))),"Введите целое число от 0 до 95",IF(OR(AND(J305&lt;&gt;"",NOT(ISNUMBER(J305))),IFERROR(MOD(J305,1),1)&gt;0,AND(ISNUMBER(J305),OR(J305&lt;50,J305&gt;20000000))),"Введите целое число от 50 до 20000000",IF(NOT(ABS(IFERROR(VALUE(LEFT(M305,FIND("-",M305)-1)),M305)*100-(2500+2000000000)/2)&lt;=ABS(2500-2000000000)/2),"Цена со скидкой должна быть от 25 до 20000000",IF(AND(IFERROR(VALUE(LEFT(M305,FIND("-",M305)-1)),M305)*150&lt;=266464,IFERROR(VALUE(LEFT(M305,FIND("-",M305)-1)),M305)*200&gt;266464),"Вы уменьшили цену в несколько раз, товар попадет в карантин цен",IF(IFERROR(VALUE(LEFT(M305,FIND("-",M305)-1)),M305)*200&lt;=266464,"Не сохранили изменения, чтобы защитить от ошибки — новые цены меньше текущих более чем в 2 раза. Снижайте их постепенно",IF(AND(IFERROR(VALUE(I305),0)=0,ISNUMBER(J305),OR(J305&lt;488,ABS(IFERROR(VALUE(LEFT(M305,FIND("-",M305)-1)),M305))*100&lt;48800)),"Проверьте цену товара. Большинство товаров в выбранной категории стоят дороже 488","")))))),"")</f>
      </c>
    </row>
    <row r="306">
      <c r="A306" s="2" t="inlineStr">
        <is>
          <t/>
        </is>
      </c>
      <c r="B306" s="2" t="inlineStr">
        <is>
          <t>Весы</t>
        </is>
      </c>
      <c r="C306" s="2">
        <v>600650221</v>
      </c>
      <c r="D306" s="2" t="inlineStr">
        <is>
          <t>192465</t>
        </is>
      </c>
      <c r="E306" s="2" t="inlineStr">
        <is>
          <t>2047106057802</t>
        </is>
      </c>
      <c r="F306" s="2">
        <v>15</v>
      </c>
      <c r="G306" s="2">
        <v>2</v>
      </c>
      <c r="H306" s="2">
        <v>999</v>
      </c>
      <c r="I306" s="2" t="inlineStr">
        <is>
          <t>5484</t>
        </is>
      </c>
      <c r="J306" s="4"/>
      <c r="K306" s="2">
        <v>80</v>
      </c>
      <c r="L306" s="6"/>
      <c r="M306" s="2" t="str">
        <f>IF(J306="",ROUND(I306*(1-IF(ISBLANK(L306),K306,L306)/100),2),ROUND(J306*(1-IF(ISBLANK(L306),K306,L306)/100),2))</f>
      </c>
      <c r="N306" s="7" t="str">
        <f>IF(NOT(AND(J306="",L306="")),IF(OR(AND(L306&lt;&gt;"",NOT(ISNUMBER(L306))),IFERROR(MOD(L306,1),1)&gt;0,AND(ISNUMBER(L306),OR(L306&lt;0,L306&gt;95))),"Введите целое число от 0 до 95",IF(OR(AND(J306&lt;&gt;"",NOT(ISNUMBER(J306))),IFERROR(MOD(J306,1),1)&gt;0,AND(ISNUMBER(J306),OR(J306&lt;50,J306&gt;20000000))),"Введите целое число от 50 до 20000000",IF(NOT(ABS(IFERROR(VALUE(LEFT(M306,FIND("-",M306)-1)),M306)*100-(2500+2000000000)/2)&lt;=ABS(2500-2000000000)/2),"Цена со скидкой должна быть от 25 до 20000000",IF(AND(IFERROR(VALUE(LEFT(M306,FIND("-",M306)-1)),M306)*150&lt;=109679,IFERROR(VALUE(LEFT(M306,FIND("-",M306)-1)),M306)*200&gt;109679),"Вы уменьшили цену в несколько раз, товар попадет в карантин цен",IF(IFERROR(VALUE(LEFT(M306,FIND("-",M306)-1)),M306)*200&lt;=109679,"Не сохранили изменения, чтобы защитить от ошибки — новые цены меньше текущих более чем в 2 раза. Снижайте их постепенно",IF(AND(IFERROR(VALUE(I306),0)=0,ISNUMBER(J306),OR(J306&lt;354,ABS(IFERROR(VALUE(LEFT(M306,FIND("-",M306)-1)),M306))*100&lt;35400)),"Проверьте цену товара. Большинство товаров в выбранной категории стоят дороже 354","")))))),"")</f>
      </c>
    </row>
    <row r="307">
      <c r="A307" s="2" t="inlineStr">
        <is>
          <t/>
        </is>
      </c>
      <c r="B307" s="2" t="inlineStr">
        <is>
          <t>Водонагреватели</t>
        </is>
      </c>
      <c r="C307" s="2">
        <v>600650848</v>
      </c>
      <c r="D307" s="2" t="inlineStr">
        <is>
          <t>192592</t>
        </is>
      </c>
      <c r="E307" s="2" t="inlineStr">
        <is>
          <t>2047129359730</t>
        </is>
      </c>
      <c r="F307" s="2">
        <v>0</v>
      </c>
      <c r="G307" s="2">
        <v>4</v>
      </c>
      <c r="H307" s="2" t="inlineStr">
        <is>
          <t/>
        </is>
      </c>
      <c r="I307" s="2" t="inlineStr">
        <is>
          <t>26261</t>
        </is>
      </c>
      <c r="J307" s="4"/>
      <c r="K307" s="2">
        <v>80</v>
      </c>
      <c r="L307" s="6"/>
      <c r="M307" s="2" t="str">
        <f>IF(J307="",ROUND(I307*(1-IF(ISBLANK(L307),K307,L307)/100),2),ROUND(J307*(1-IF(ISBLANK(L307),K307,L307)/100),2))</f>
      </c>
      <c r="N307" s="7" t="str">
        <f>IF(NOT(AND(J307="",L307="")),IF(OR(AND(L307&lt;&gt;"",NOT(ISNUMBER(L307))),IFERROR(MOD(L307,1),1)&gt;0,AND(ISNUMBER(L307),OR(L307&lt;0,L307&gt;95))),"Введите целое число от 0 до 95",IF(OR(AND(J307&lt;&gt;"",NOT(ISNUMBER(J307))),IFERROR(MOD(J307,1),1)&gt;0,AND(ISNUMBER(J307),OR(J307&lt;50,J307&gt;20000000))),"Введите целое число от 50 до 20000000",IF(NOT(ABS(IFERROR(VALUE(LEFT(M307,FIND("-",M307)-1)),M307)*100-(2500+2000000000)/2)&lt;=ABS(2500-2000000000)/2),"Цена со скидкой должна быть от 25 до 20000000",IF(AND(IFERROR(VALUE(LEFT(M307,FIND("-",M307)-1)),M307)*150&lt;=525219,IFERROR(VALUE(LEFT(M307,FIND("-",M307)-1)),M307)*200&gt;525219),"Вы уменьшили цену в несколько раз, товар попадет в карантин цен",IF(IFERROR(VALUE(LEFT(M307,FIND("-",M307)-1)),M307)*200&lt;=525219,"Не сохранили изменения, чтобы защитить от ошибки — новые цены меньше текущих более чем в 2 раза. Снижайте их постепенно",IF(AND(IFERROR(VALUE(I307),0)=0,ISNUMBER(J307),OR(J307&lt;463,ABS(IFERROR(VALUE(LEFT(M307,FIND("-",M307)-1)),M307))*100&lt;46300)),"Проверьте цену товара. Большинство товаров в выбранной категории стоят дороже 463","")))))),"")</f>
      </c>
    </row>
    <row r="308">
      <c r="A308" s="2" t="inlineStr">
        <is>
          <t/>
        </is>
      </c>
      <c r="B308" s="2" t="inlineStr">
        <is>
          <t>Наборы для специй</t>
        </is>
      </c>
      <c r="C308" s="2">
        <v>600645345</v>
      </c>
      <c r="D308" s="2" t="inlineStr">
        <is>
          <t>283441</t>
        </is>
      </c>
      <c r="E308" s="2" t="inlineStr">
        <is>
          <t>2047129195215</t>
        </is>
      </c>
      <c r="F308" s="2">
        <v>0</v>
      </c>
      <c r="G308" s="2">
        <v>0</v>
      </c>
      <c r="H308" s="2" t="inlineStr">
        <is>
          <t/>
        </is>
      </c>
      <c r="I308" s="2" t="inlineStr">
        <is>
          <t>7653</t>
        </is>
      </c>
      <c r="J308" s="4"/>
      <c r="K308" s="2">
        <v>65</v>
      </c>
      <c r="L308" s="6"/>
      <c r="M308" s="2" t="str">
        <f>IF(J308="",ROUND(I308*(1-IF(ISBLANK(L308),K308,L308)/100),2),ROUND(J308*(1-IF(ISBLANK(L308),K308,L308)/100),2))</f>
      </c>
      <c r="N308" s="7" t="str">
        <f>IF(NOT(AND(J308="",L308="")),IF(OR(AND(L308&lt;&gt;"",NOT(ISNUMBER(L308))),IFERROR(MOD(L308,1),1)&gt;0,AND(ISNUMBER(L308),OR(L308&lt;0,L308&gt;95))),"Введите целое число от 0 до 95",IF(OR(AND(J308&lt;&gt;"",NOT(ISNUMBER(J308))),IFERROR(MOD(J308,1),1)&gt;0,AND(ISNUMBER(J308),OR(J308&lt;50,J308&gt;20000000))),"Введите целое число от 50 до 20000000",IF(NOT(ABS(IFERROR(VALUE(LEFT(M308,FIND("-",M308)-1)),M308)*100-(2500+2000000000)/2)&lt;=ABS(2500-2000000000)/2),"Цена со скидкой должна быть от 25 до 20000000",IF(AND(IFERROR(VALUE(LEFT(M308,FIND("-",M308)-1)),M308)*150&lt;=267855,IFERROR(VALUE(LEFT(M308,FIND("-",M308)-1)),M308)*200&gt;267855),"Вы уменьшили цену в несколько раз, товар попадет в карантин цен",IF(IFERROR(VALUE(LEFT(M308,FIND("-",M308)-1)),M308)*200&lt;=267855,"Не сохранили изменения, чтобы защитить от ошибки — новые цены меньше текущих более чем в 2 раза. Снижайте их постепенно",IF(AND(IFERROR(VALUE(I308),0)=0,ISNUMBER(J308),OR(J308&lt;265,ABS(IFERROR(VALUE(LEFT(M308,FIND("-",M308)-1)),M308))*100&lt;26500)),"Проверьте цену товара. Большинство товаров в выбранной категории стоят дороже 265","")))))),"")</f>
      </c>
    </row>
    <row r="309">
      <c r="A309" s="2" t="inlineStr">
        <is>
          <t/>
        </is>
      </c>
      <c r="B309" s="2" t="inlineStr">
        <is>
          <t>Щетки автомобильные</t>
        </is>
      </c>
      <c r="C309" s="2">
        <v>600558997</v>
      </c>
      <c r="D309" s="2" t="inlineStr">
        <is>
          <t>400060</t>
        </is>
      </c>
      <c r="E309" s="2" t="inlineStr">
        <is>
          <t>2047127879582</t>
        </is>
      </c>
      <c r="F309" s="2">
        <v>0</v>
      </c>
      <c r="G309" s="2">
        <v>0</v>
      </c>
      <c r="H309" s="2" t="inlineStr">
        <is>
          <t/>
        </is>
      </c>
      <c r="I309" s="2" t="inlineStr">
        <is>
          <t>3582</t>
        </is>
      </c>
      <c r="J309" s="4"/>
      <c r="K309" s="2">
        <v>65</v>
      </c>
      <c r="L309" s="6"/>
      <c r="M309" s="2" t="str">
        <f>IF(J309="",ROUND(I309*(1-IF(ISBLANK(L309),K309,L309)/100),2),ROUND(J309*(1-IF(ISBLANK(L309),K309,L309)/100),2))</f>
      </c>
      <c r="N309" s="7" t="str">
        <f>IF(NOT(AND(J309="",L309="")),IF(OR(AND(L309&lt;&gt;"",NOT(ISNUMBER(L309))),IFERROR(MOD(L309,1),1)&gt;0,AND(ISNUMBER(L309),OR(L309&lt;0,L309&gt;95))),"Введите целое число от 0 до 95",IF(OR(AND(J309&lt;&gt;"",NOT(ISNUMBER(J309))),IFERROR(MOD(J309,1),1)&gt;0,AND(ISNUMBER(J309),OR(J309&lt;50,J309&gt;20000000))),"Введите целое число от 50 до 20000000",IF(NOT(ABS(IFERROR(VALUE(LEFT(M309,FIND("-",M309)-1)),M309)*100-(2500+2000000000)/2)&lt;=ABS(2500-2000000000)/2),"Цена со скидкой должна быть от 25 до 20000000",IF(AND(IFERROR(VALUE(LEFT(M309,FIND("-",M309)-1)),M309)*150&lt;=125369,IFERROR(VALUE(LEFT(M309,FIND("-",M309)-1)),M309)*200&gt;125369),"Вы уменьшили цену в несколько раз, товар попадет в карантин цен",IF(IFERROR(VALUE(LEFT(M309,FIND("-",M309)-1)),M309)*200&lt;=125369,"Не сохранили изменения, чтобы защитить от ошибки — новые цены меньше текущих более чем в 2 раза. Снижайте их постепенно",IF(AND(IFERROR(VALUE(I309),0)=0,ISNUMBER(J309),OR(J309&lt;228,ABS(IFERROR(VALUE(LEFT(M309,FIND("-",M309)-1)),M309))*100&lt;22800)),"Проверьте цену товара. Большинство товаров в выбранной категории стоят дороже 228","")))))),"")</f>
      </c>
    </row>
    <row r="310">
      <c r="A310" s="2" t="inlineStr">
        <is>
          <t/>
        </is>
      </c>
      <c r="B310" s="2" t="inlineStr">
        <is>
          <t>Фены</t>
        </is>
      </c>
      <c r="C310" s="2">
        <v>600650196</v>
      </c>
      <c r="D310" s="2" t="inlineStr">
        <is>
          <t>192395</t>
        </is>
      </c>
      <c r="E310" s="2" t="inlineStr">
        <is>
          <t>2047106057901</t>
        </is>
      </c>
      <c r="F310" s="2">
        <v>0</v>
      </c>
      <c r="G310" s="2">
        <v>0</v>
      </c>
      <c r="H310" s="2" t="inlineStr">
        <is>
          <t/>
        </is>
      </c>
      <c r="I310" s="2" t="inlineStr">
        <is>
          <t>41428</t>
        </is>
      </c>
      <c r="J310" s="4"/>
      <c r="K310" s="2">
        <v>65</v>
      </c>
      <c r="L310" s="6"/>
      <c r="M310" s="2" t="str">
        <f>IF(J310="",ROUND(I310*(1-IF(ISBLANK(L310),K310,L310)/100),2),ROUND(J310*(1-IF(ISBLANK(L310),K310,L310)/100),2))</f>
      </c>
      <c r="N310" s="7" t="str">
        <f>IF(NOT(AND(J310="",L310="")),IF(OR(AND(L310&lt;&gt;"",NOT(ISNUMBER(L310))),IFERROR(MOD(L310,1),1)&gt;0,AND(ISNUMBER(L310),OR(L310&lt;0,L310&gt;95))),"Введите целое число от 0 до 95",IF(OR(AND(J310&lt;&gt;"",NOT(ISNUMBER(J310))),IFERROR(MOD(J310,1),1)&gt;0,AND(ISNUMBER(J310),OR(J310&lt;50,J310&gt;20000000))),"Введите целое число от 50 до 20000000",IF(NOT(ABS(IFERROR(VALUE(LEFT(M310,FIND("-",M310)-1)),M310)*100-(2500+2000000000)/2)&lt;=ABS(2500-2000000000)/2),"Цена со скидкой должна быть от 25 до 20000000",IF(AND(IFERROR(VALUE(LEFT(M310,FIND("-",M310)-1)),M310)*150&lt;=1449980,IFERROR(VALUE(LEFT(M310,FIND("-",M310)-1)),M310)*200&gt;1449980),"Вы уменьшили цену в несколько раз, товар попадет в карантин цен",IF(IFERROR(VALUE(LEFT(M310,FIND("-",M310)-1)),M310)*200&lt;=1449980,"Не сохранили изменения, чтобы защитить от ошибки — новые цены меньше текущих более чем в 2 раза. Снижайте их постепенно",IF(AND(IFERROR(VALUE(I310),0)=0,ISNUMBER(J310),OR(J310&lt;411,ABS(IFERROR(VALUE(LEFT(M310,FIND("-",M310)-1)),M310))*100&lt;41100)),"Проверьте цену товара. Большинство товаров в выбранной категории стоят дороже 411","")))))),"")</f>
      </c>
    </row>
    <row r="311">
      <c r="A311" s="2" t="inlineStr">
        <is>
          <t/>
        </is>
      </c>
      <c r="B311" s="2" t="inlineStr">
        <is>
          <t>Фены</t>
        </is>
      </c>
      <c r="C311" s="2">
        <v>600650201</v>
      </c>
      <c r="D311" s="2" t="inlineStr">
        <is>
          <t>191206</t>
        </is>
      </c>
      <c r="E311" s="2" t="inlineStr">
        <is>
          <t>2047106057956</t>
        </is>
      </c>
      <c r="F311" s="2">
        <v>0</v>
      </c>
      <c r="G311" s="2">
        <v>1</v>
      </c>
      <c r="H311" s="2" t="inlineStr">
        <is>
          <t/>
        </is>
      </c>
      <c r="I311" s="2" t="inlineStr">
        <is>
          <t>14326</t>
        </is>
      </c>
      <c r="J311" s="4"/>
      <c r="K311" s="2">
        <v>78</v>
      </c>
      <c r="L311" s="6"/>
      <c r="M311" s="2" t="str">
        <f>IF(J311="",ROUND(I311*(1-IF(ISBLANK(L311),K311,L311)/100),2),ROUND(J311*(1-IF(ISBLANK(L311),K311,L311)/100),2))</f>
      </c>
      <c r="N311" s="7" t="str">
        <f>IF(NOT(AND(J311="",L311="")),IF(OR(AND(L311&lt;&gt;"",NOT(ISNUMBER(L311))),IFERROR(MOD(L311,1),1)&gt;0,AND(ISNUMBER(L311),OR(L311&lt;0,L311&gt;95))),"Введите целое число от 0 до 95",IF(OR(AND(J311&lt;&gt;"",NOT(ISNUMBER(J311))),IFERROR(MOD(J311,1),1)&gt;0,AND(ISNUMBER(J311),OR(J311&lt;50,J311&gt;20000000))),"Введите целое число от 50 до 20000000",IF(NOT(ABS(IFERROR(VALUE(LEFT(M311,FIND("-",M311)-1)),M311)*100-(2500+2000000000)/2)&lt;=ABS(2500-2000000000)/2),"Цена со скидкой должна быть от 25 до 20000000",IF(AND(IFERROR(VALUE(LEFT(M311,FIND("-",M311)-1)),M311)*150&lt;=315172,IFERROR(VALUE(LEFT(M311,FIND("-",M311)-1)),M311)*200&gt;315172),"Вы уменьшили цену в несколько раз, товар попадет в карантин цен",IF(IFERROR(VALUE(LEFT(M311,FIND("-",M311)-1)),M311)*200&lt;=315172,"Не сохранили изменения, чтобы защитить от ошибки — новые цены меньше текущих более чем в 2 раза. Снижайте их постепенно",IF(AND(IFERROR(VALUE(I311),0)=0,ISNUMBER(J311),OR(J311&lt;411,ABS(IFERROR(VALUE(LEFT(M311,FIND("-",M311)-1)),M311))*100&lt;41100)),"Проверьте цену товара. Большинство товаров в выбранной категории стоят дороже 411","")))))),"")</f>
      </c>
    </row>
    <row r="312">
      <c r="A312" s="2" t="inlineStr">
        <is>
          <t/>
        </is>
      </c>
      <c r="B312" s="2" t="inlineStr">
        <is>
          <t>Щетки автомобильные</t>
        </is>
      </c>
      <c r="C312" s="2">
        <v>600558999</v>
      </c>
      <c r="D312" s="2" t="inlineStr">
        <is>
          <t>400079</t>
        </is>
      </c>
      <c r="E312" s="2" t="inlineStr">
        <is>
          <t>2047127879605</t>
        </is>
      </c>
      <c r="F312" s="2">
        <v>0</v>
      </c>
      <c r="G312" s="2">
        <v>0</v>
      </c>
      <c r="H312" s="2" t="inlineStr">
        <is>
          <t/>
        </is>
      </c>
      <c r="I312" s="2" t="inlineStr">
        <is>
          <t>8164</t>
        </is>
      </c>
      <c r="J312" s="4"/>
      <c r="K312" s="2">
        <v>65</v>
      </c>
      <c r="L312" s="6"/>
      <c r="M312" s="2" t="str">
        <f>IF(J312="",ROUND(I312*(1-IF(ISBLANK(L312),K312,L312)/100),2),ROUND(J312*(1-IF(ISBLANK(L312),K312,L312)/100),2))</f>
      </c>
      <c r="N312" s="7" t="str">
        <f>IF(NOT(AND(J312="",L312="")),IF(OR(AND(L312&lt;&gt;"",NOT(ISNUMBER(L312))),IFERROR(MOD(L312,1),1)&gt;0,AND(ISNUMBER(L312),OR(L312&lt;0,L312&gt;95))),"Введите целое число от 0 до 95",IF(OR(AND(J312&lt;&gt;"",NOT(ISNUMBER(J312))),IFERROR(MOD(J312,1),1)&gt;0,AND(ISNUMBER(J312),OR(J312&lt;50,J312&gt;20000000))),"Введите целое число от 50 до 20000000",IF(NOT(ABS(IFERROR(VALUE(LEFT(M312,FIND("-",M312)-1)),M312)*100-(2500+2000000000)/2)&lt;=ABS(2500-2000000000)/2),"Цена со скидкой должна быть от 25 до 20000000",IF(AND(IFERROR(VALUE(LEFT(M312,FIND("-",M312)-1)),M312)*150&lt;=285739,IFERROR(VALUE(LEFT(M312,FIND("-",M312)-1)),M312)*200&gt;285739),"Вы уменьшили цену в несколько раз, товар попадет в карантин цен",IF(IFERROR(VALUE(LEFT(M312,FIND("-",M312)-1)),M312)*200&lt;=285739,"Не сохранили изменения, чтобы защитить от ошибки — новые цены меньше текущих более чем в 2 раза. Снижайте их постепенно",IF(AND(IFERROR(VALUE(I312),0)=0,ISNUMBER(J312),OR(J312&lt;228,ABS(IFERROR(VALUE(LEFT(M312,FIND("-",M312)-1)),M312))*100&lt;22800)),"Проверьте цену товара. Большинство товаров в выбранной категории стоят дороже 228","")))))),"")</f>
      </c>
    </row>
    <row r="313">
      <c r="A313" s="2" t="inlineStr">
        <is>
          <t/>
        </is>
      </c>
      <c r="B313" s="2" t="inlineStr">
        <is>
          <t>Фены</t>
        </is>
      </c>
      <c r="C313" s="2">
        <v>600650203</v>
      </c>
      <c r="D313" s="2" t="inlineStr">
        <is>
          <t>191604</t>
        </is>
      </c>
      <c r="E313" s="2" t="inlineStr">
        <is>
          <t>2047106057970</t>
        </is>
      </c>
      <c r="F313" s="2">
        <v>0</v>
      </c>
      <c r="G313" s="2">
        <v>0</v>
      </c>
      <c r="H313" s="2" t="inlineStr">
        <is>
          <t/>
        </is>
      </c>
      <c r="I313" s="2" t="inlineStr">
        <is>
          <t>11664</t>
        </is>
      </c>
      <c r="J313" s="4"/>
      <c r="K313" s="2">
        <v>69</v>
      </c>
      <c r="L313" s="6"/>
      <c r="M313" s="2" t="str">
        <f>IF(J313="",ROUND(I313*(1-IF(ISBLANK(L313),K313,L313)/100),2),ROUND(J313*(1-IF(ISBLANK(L313),K313,L313)/100),2))</f>
      </c>
      <c r="N313" s="7" t="str">
        <f>IF(NOT(AND(J313="",L313="")),IF(OR(AND(L313&lt;&gt;"",NOT(ISNUMBER(L313))),IFERROR(MOD(L313,1),1)&gt;0,AND(ISNUMBER(L313),OR(L313&lt;0,L313&gt;95))),"Введите целое число от 0 до 95",IF(OR(AND(J313&lt;&gt;"",NOT(ISNUMBER(J313))),IFERROR(MOD(J313,1),1)&gt;0,AND(ISNUMBER(J313),OR(J313&lt;50,J313&gt;20000000))),"Введите целое число от 50 до 20000000",IF(NOT(ABS(IFERROR(VALUE(LEFT(M313,FIND("-",M313)-1)),M313)*100-(2500+2000000000)/2)&lt;=ABS(2500-2000000000)/2),"Цена со скидкой должна быть от 25 до 20000000",IF(AND(IFERROR(VALUE(LEFT(M313,FIND("-",M313)-1)),M313)*150&lt;=361584,IFERROR(VALUE(LEFT(M313,FIND("-",M313)-1)),M313)*200&gt;361584),"Вы уменьшили цену в несколько раз, товар попадет в карантин цен",IF(IFERROR(VALUE(LEFT(M313,FIND("-",M313)-1)),M313)*200&lt;=361584,"Не сохранили изменения, чтобы защитить от ошибки — новые цены меньше текущих более чем в 2 раза. Снижайте их постепенно",IF(AND(IFERROR(VALUE(I313),0)=0,ISNUMBER(J313),OR(J313&lt;411,ABS(IFERROR(VALUE(LEFT(M313,FIND("-",M313)-1)),M313))*100&lt;41100)),"Проверьте цену товара. Большинство товаров в выбранной категории стоят дороже 411","")))))),"")</f>
      </c>
    </row>
    <row r="314">
      <c r="A314" s="2" t="inlineStr">
        <is>
          <t/>
        </is>
      </c>
      <c r="B314" s="2" t="inlineStr">
        <is>
          <t>Щетки автомобильные</t>
        </is>
      </c>
      <c r="C314" s="2">
        <v>600559001</v>
      </c>
      <c r="D314" s="2" t="inlineStr">
        <is>
          <t>400062</t>
        </is>
      </c>
      <c r="E314" s="2" t="inlineStr">
        <is>
          <t>2047127879636</t>
        </is>
      </c>
      <c r="F314" s="2">
        <v>0</v>
      </c>
      <c r="G314" s="2">
        <v>0</v>
      </c>
      <c r="H314" s="2" t="inlineStr">
        <is>
          <t/>
        </is>
      </c>
      <c r="I314" s="2" t="inlineStr">
        <is>
          <t>8496</t>
        </is>
      </c>
      <c r="J314" s="4"/>
      <c r="K314" s="2">
        <v>65</v>
      </c>
      <c r="L314" s="6"/>
      <c r="M314" s="2" t="str">
        <f>IF(J314="",ROUND(I314*(1-IF(ISBLANK(L314),K314,L314)/100),2),ROUND(J314*(1-IF(ISBLANK(L314),K314,L314)/100),2))</f>
      </c>
      <c r="N314" s="7" t="str">
        <f>IF(NOT(AND(J314="",L314="")),IF(OR(AND(L314&lt;&gt;"",NOT(ISNUMBER(L314))),IFERROR(MOD(L314,1),1)&gt;0,AND(ISNUMBER(L314),OR(L314&lt;0,L314&gt;95))),"Введите целое число от 0 до 95",IF(OR(AND(J314&lt;&gt;"",NOT(ISNUMBER(J314))),IFERROR(MOD(J314,1),1)&gt;0,AND(ISNUMBER(J314),OR(J314&lt;50,J314&gt;20000000))),"Введите целое число от 50 до 20000000",IF(NOT(ABS(IFERROR(VALUE(LEFT(M314,FIND("-",M314)-1)),M314)*100-(2500+2000000000)/2)&lt;=ABS(2500-2000000000)/2),"Цена со скидкой должна быть от 25 до 20000000",IF(AND(IFERROR(VALUE(LEFT(M314,FIND("-",M314)-1)),M314)*150&lt;=297360,IFERROR(VALUE(LEFT(M314,FIND("-",M314)-1)),M314)*200&gt;297360),"Вы уменьшили цену в несколько раз, товар попадет в карантин цен",IF(IFERROR(VALUE(LEFT(M314,FIND("-",M314)-1)),M314)*200&lt;=297360,"Не сохранили изменения, чтобы защитить от ошибки — новые цены меньше текущих более чем в 2 раза. Снижайте их постепенно",IF(AND(IFERROR(VALUE(I314),0)=0,ISNUMBER(J314),OR(J314&lt;228,ABS(IFERROR(VALUE(LEFT(M314,FIND("-",M314)-1)),M314))*100&lt;22800)),"Проверьте цену товара. Большинство товаров в выбранной категории стоят дороже 228","")))))),"")</f>
      </c>
    </row>
    <row r="315">
      <c r="A315" s="2" t="inlineStr">
        <is>
          <t/>
        </is>
      </c>
      <c r="B315" s="2" t="inlineStr">
        <is>
          <t>Машинки против катышек</t>
        </is>
      </c>
      <c r="C315" s="2">
        <v>600557595</v>
      </c>
      <c r="D315" s="2" t="inlineStr">
        <is>
          <t>191042</t>
        </is>
      </c>
      <c r="E315" s="2" t="inlineStr">
        <is>
          <t>2047127864809</t>
        </is>
      </c>
      <c r="F315" s="2">
        <v>0</v>
      </c>
      <c r="G315" s="2">
        <v>0</v>
      </c>
      <c r="H315" s="2" t="inlineStr">
        <is>
          <t/>
        </is>
      </c>
      <c r="I315" s="2" t="inlineStr">
        <is>
          <t>4756</t>
        </is>
      </c>
      <c r="J315" s="4"/>
      <c r="K315" s="2">
        <v>65</v>
      </c>
      <c r="L315" s="6"/>
      <c r="M315" s="2" t="str">
        <f>IF(J315="",ROUND(I315*(1-IF(ISBLANK(L315),K315,L315)/100),2),ROUND(J315*(1-IF(ISBLANK(L315),K315,L315)/100),2))</f>
      </c>
      <c r="N315" s="7" t="str">
        <f>IF(NOT(AND(J315="",L315="")),IF(OR(AND(L315&lt;&gt;"",NOT(ISNUMBER(L315))),IFERROR(MOD(L315,1),1)&gt;0,AND(ISNUMBER(L315),OR(L315&lt;0,L315&gt;95))),"Введите целое число от 0 до 95",IF(OR(AND(J315&lt;&gt;"",NOT(ISNUMBER(J315))),IFERROR(MOD(J315,1),1)&gt;0,AND(ISNUMBER(J315),OR(J315&lt;50,J315&gt;20000000))),"Введите целое число от 50 до 20000000",IF(NOT(ABS(IFERROR(VALUE(LEFT(M315,FIND("-",M315)-1)),M315)*100-(2500+2000000000)/2)&lt;=ABS(2500-2000000000)/2),"Цена со скидкой должна быть от 25 до 20000000",IF(AND(IFERROR(VALUE(LEFT(M315,FIND("-",M315)-1)),M315)*150&lt;=166460,IFERROR(VALUE(LEFT(M315,FIND("-",M315)-1)),M315)*200&gt;166460),"Вы уменьшили цену в несколько раз, товар попадет в карантин цен",IF(IFERROR(VALUE(LEFT(M315,FIND("-",M315)-1)),M315)*200&lt;=166460,"Не сохранили изменения, чтобы защитить от ошибки — новые цены меньше текущих более чем в 2 раза. Снижайте их постепенно",IF(AND(IFERROR(VALUE(I315),0)=0,ISNUMBER(J315),OR(J315&lt;231,ABS(IFERROR(VALUE(LEFT(M315,FIND("-",M315)-1)),M315))*100&lt;23100)),"Проверьте цену товара. Большинство товаров в выбранной категории стоят дороже 231","")))))),"")</f>
      </c>
    </row>
    <row r="316">
      <c r="A316" s="2" t="inlineStr">
        <is>
          <t/>
        </is>
      </c>
      <c r="B316" s="2" t="inlineStr">
        <is>
          <t>Подставки для ножей</t>
        </is>
      </c>
      <c r="C316" s="2">
        <v>600652715</v>
      </c>
      <c r="D316" s="2" t="inlineStr">
        <is>
          <t>523523</t>
        </is>
      </c>
      <c r="E316" s="2" t="inlineStr">
        <is>
          <t>2047129195048</t>
        </is>
      </c>
      <c r="F316" s="2">
        <v>0</v>
      </c>
      <c r="G316" s="2">
        <v>0</v>
      </c>
      <c r="H316" s="2">
        <v>1</v>
      </c>
      <c r="I316" s="2" t="inlineStr">
        <is>
          <t>11628</t>
        </is>
      </c>
      <c r="J316" s="4"/>
      <c r="K316" s="2">
        <v>65</v>
      </c>
      <c r="L316" s="6"/>
      <c r="M316" s="2" t="str">
        <f>IF(J316="",ROUND(I316*(1-IF(ISBLANK(L316),K316,L316)/100),2),ROUND(J316*(1-IF(ISBLANK(L316),K316,L316)/100),2))</f>
      </c>
      <c r="N316" s="7" t="str">
        <f>IF(NOT(AND(J316="",L316="")),IF(OR(AND(L316&lt;&gt;"",NOT(ISNUMBER(L316))),IFERROR(MOD(L316,1),1)&gt;0,AND(ISNUMBER(L316),OR(L316&lt;0,L316&gt;95))),"Введите целое число от 0 до 95",IF(OR(AND(J316&lt;&gt;"",NOT(ISNUMBER(J316))),IFERROR(MOD(J316,1),1)&gt;0,AND(ISNUMBER(J316),OR(J316&lt;50,J316&gt;20000000))),"Введите целое число от 50 до 20000000",IF(NOT(ABS(IFERROR(VALUE(LEFT(M316,FIND("-",M316)-1)),M316)*100-(2500+2000000000)/2)&lt;=ABS(2500-2000000000)/2),"Цена со скидкой должна быть от 25 до 20000000",IF(AND(IFERROR(VALUE(LEFT(M316,FIND("-",M316)-1)),M316)*150&lt;=406980,IFERROR(VALUE(LEFT(M316,FIND("-",M316)-1)),M316)*200&gt;406980),"Вы уменьшили цену в несколько раз, товар попадет в карантин цен",IF(IFERROR(VALUE(LEFT(M316,FIND("-",M316)-1)),M316)*200&lt;=406980,"Не сохранили изменения, чтобы защитить от ошибки — новые цены меньше текущих более чем в 2 раза. Снижайте их постепенно",IF(AND(IFERROR(VALUE(I316),0)=0,ISNUMBER(J316),OR(J316&lt;488,ABS(IFERROR(VALUE(LEFT(M316,FIND("-",M316)-1)),M316))*100&lt;48800)),"Проверьте цену товара. Большинство товаров в выбранной категории стоят дороже 488","")))))),"")</f>
      </c>
    </row>
    <row r="317">
      <c r="A317" s="2" t="inlineStr">
        <is>
          <t/>
        </is>
      </c>
      <c r="B317" s="2" t="inlineStr">
        <is>
          <t>Отпариватели</t>
        </is>
      </c>
      <c r="C317" s="2">
        <v>600650836</v>
      </c>
      <c r="D317" s="2" t="inlineStr">
        <is>
          <t>192537</t>
        </is>
      </c>
      <c r="E317" s="2" t="inlineStr">
        <is>
          <t>2047129359587</t>
        </is>
      </c>
      <c r="F317" s="2">
        <v>0</v>
      </c>
      <c r="G317" s="2">
        <v>1</v>
      </c>
      <c r="H317" s="2" t="inlineStr">
        <is>
          <t/>
        </is>
      </c>
      <c r="I317" s="2" t="inlineStr">
        <is>
          <t>14756</t>
        </is>
      </c>
      <c r="J317" s="4"/>
      <c r="K317" s="2">
        <v>78</v>
      </c>
      <c r="L317" s="6"/>
      <c r="M317" s="2" t="str">
        <f>IF(J317="",ROUND(I317*(1-IF(ISBLANK(L317),K317,L317)/100),2),ROUND(J317*(1-IF(ISBLANK(L317),K317,L317)/100),2))</f>
      </c>
      <c r="N317" s="7" t="str">
        <f>IF(NOT(AND(J317="",L317="")),IF(OR(AND(L317&lt;&gt;"",NOT(ISNUMBER(L317))),IFERROR(MOD(L317,1),1)&gt;0,AND(ISNUMBER(L317),OR(L317&lt;0,L317&gt;95))),"Введите целое число от 0 до 95",IF(OR(AND(J317&lt;&gt;"",NOT(ISNUMBER(J317))),IFERROR(MOD(J317,1),1)&gt;0,AND(ISNUMBER(J317),OR(J317&lt;50,J317&gt;20000000))),"Введите целое число от 50 до 20000000",IF(NOT(ABS(IFERROR(VALUE(LEFT(M317,FIND("-",M317)-1)),M317)*100-(2500+2000000000)/2)&lt;=ABS(2500-2000000000)/2),"Цена со скидкой должна быть от 25 до 20000000",IF(AND(IFERROR(VALUE(LEFT(M317,FIND("-",M317)-1)),M317)*150&lt;=324632,IFERROR(VALUE(LEFT(M317,FIND("-",M317)-1)),M317)*200&gt;324632),"Вы уменьшили цену в несколько раз, товар попадет в карантин цен",IF(IFERROR(VALUE(LEFT(M317,FIND("-",M317)-1)),M317)*200&lt;=324632,"Не сохранили изменения, чтобы защитить от ошибки — новые цены меньше текущих более чем в 2 раза. Снижайте их постепенно",IF(AND(IFERROR(VALUE(I317),0)=0,ISNUMBER(J317),OR(J317&lt;709,ABS(IFERROR(VALUE(LEFT(M317,FIND("-",M317)-1)),M317))*100&lt;70900)),"Проверьте цену товара. Большинство товаров в выбранной категории стоят дороже 709","")))))),"")</f>
      </c>
    </row>
    <row r="318">
      <c r="A318" s="2" t="inlineStr">
        <is>
          <t/>
        </is>
      </c>
      <c r="B318" s="2" t="inlineStr">
        <is>
          <t>Пельменницы</t>
        </is>
      </c>
      <c r="C318" s="2">
        <v>600630469</v>
      </c>
      <c r="D318" s="2" t="inlineStr">
        <is>
          <t>50187</t>
        </is>
      </c>
      <c r="E318" s="2" t="inlineStr">
        <is>
          <t>2047129101704</t>
        </is>
      </c>
      <c r="F318" s="2">
        <v>0</v>
      </c>
      <c r="G318" s="2">
        <v>21</v>
      </c>
      <c r="H318" s="2" t="inlineStr">
        <is>
          <t/>
        </is>
      </c>
      <c r="I318" s="2" t="inlineStr">
        <is>
          <t>10172</t>
        </is>
      </c>
      <c r="J318" s="4"/>
      <c r="K318" s="2">
        <v>78</v>
      </c>
      <c r="L318" s="6"/>
      <c r="M318" s="2" t="str">
        <f>IF(J318="",ROUND(I318*(1-IF(ISBLANK(L318),K318,L318)/100),2),ROUND(J318*(1-IF(ISBLANK(L318),K318,L318)/100),2))</f>
      </c>
      <c r="N318" s="7" t="str">
        <f>IF(NOT(AND(J318="",L318="")),IF(OR(AND(L318&lt;&gt;"",NOT(ISNUMBER(L318))),IFERROR(MOD(L318,1),1)&gt;0,AND(ISNUMBER(L318),OR(L318&lt;0,L318&gt;95))),"Введите целое число от 0 до 95",IF(OR(AND(J318&lt;&gt;"",NOT(ISNUMBER(J318))),IFERROR(MOD(J318,1),1)&gt;0,AND(ISNUMBER(J318),OR(J318&lt;50,J318&gt;20000000))),"Введите целое число от 50 до 20000000",IF(NOT(ABS(IFERROR(VALUE(LEFT(M318,FIND("-",M318)-1)),M318)*100-(2500+2000000000)/2)&lt;=ABS(2500-2000000000)/2),"Цена со скидкой должна быть от 25 до 20000000",IF(AND(IFERROR(VALUE(LEFT(M318,FIND("-",M318)-1)),M318)*150&lt;=223783,IFERROR(VALUE(LEFT(M318,FIND("-",M318)-1)),M318)*200&gt;223783),"Вы уменьшили цену в несколько раз, товар попадет в карантин цен",IF(IFERROR(VALUE(LEFT(M318,FIND("-",M318)-1)),M318)*200&lt;=223783,"Не сохранили изменения, чтобы защитить от ошибки — новые цены меньше текущих более чем в 2 раза. Снижайте их постепенно",IF(AND(IFERROR(VALUE(I318),0)=0,ISNUMBER(J318),OR(J318&lt;289,ABS(IFERROR(VALUE(LEFT(M318,FIND("-",M318)-1)),M318))*100&lt;28900)),"Проверьте цену товара. Большинство товаров в выбранной категории стоят дороже 289","")))))),"")</f>
      </c>
    </row>
    <row r="319">
      <c r="A319" s="2" t="inlineStr">
        <is>
          <t>Laly Бижутерия</t>
        </is>
      </c>
      <c r="B319" s="2" t="inlineStr">
        <is>
          <t>Колье</t>
        </is>
      </c>
      <c r="C319" s="2">
        <v>273942346</v>
      </c>
      <c r="D319" s="2" t="inlineStr">
        <is>
          <t>550051</t>
        </is>
      </c>
      <c r="E319" s="2" t="inlineStr">
        <is>
          <t>4670294453743</t>
        </is>
      </c>
      <c r="F319" s="2">
        <v>0</v>
      </c>
      <c r="G319" s="2">
        <v>0</v>
      </c>
      <c r="H319" s="2">
        <v>1</v>
      </c>
      <c r="I319" s="2" t="inlineStr">
        <is>
          <t>2393</t>
        </is>
      </c>
      <c r="J319" s="4"/>
      <c r="K319" s="2">
        <v>65</v>
      </c>
      <c r="L319" s="6"/>
      <c r="M319" s="2" t="str">
        <f>IF(J319="",ROUND(I319*(1-IF(ISBLANK(L319),K319,L319)/100),2),ROUND(J319*(1-IF(ISBLANK(L319),K319,L319)/100),2))</f>
      </c>
      <c r="N319" s="7" t="str">
        <f>IF(NOT(AND(J319="",L319="")),IF(OR(AND(L319&lt;&gt;"",NOT(ISNUMBER(L319))),IFERROR(MOD(L319,1),1)&gt;0,AND(ISNUMBER(L319),OR(L319&lt;0,L319&gt;95))),"Введите целое число от 0 до 95",IF(OR(AND(J319&lt;&gt;"",NOT(ISNUMBER(J319))),IFERROR(MOD(J319,1),1)&gt;0,AND(ISNUMBER(J319),OR(J319&lt;50,J319&gt;20000000))),"Введите целое число от 50 до 20000000",IF(NOT(ABS(IFERROR(VALUE(LEFT(M319,FIND("-",M319)-1)),M319)*100-(2500+2000000000)/2)&lt;=ABS(2500-2000000000)/2),"Цена со скидкой должна быть от 25 до 20000000",IF(AND(IFERROR(VALUE(LEFT(M319,FIND("-",M319)-1)),M319)*150&lt;=83755,IFERROR(VALUE(LEFT(M319,FIND("-",M319)-1)),M319)*200&gt;83755),"Вы уменьшили цену в несколько раз, товар попадет в карантин цен",IF(IFERROR(VALUE(LEFT(M319,FIND("-",M319)-1)),M319)*200&lt;=83755,"Не сохранили изменения, чтобы защитить от ошибки — новые цены меньше текущих более чем в 2 раза. Снижайте их постепенно",IF(AND(IFERROR(VALUE(I319),0)=0,ISNUMBER(J319),OR(J319&lt;222,ABS(IFERROR(VALUE(LEFT(M319,FIND("-",M319)-1)),M319))*100&lt;22200)),"Проверьте цену товара. Большинство товаров в выбранной категории стоят дороже 222","")))))),"")</f>
      </c>
    </row>
    <row r="320">
      <c r="A320" s="2" t="inlineStr">
        <is>
          <t/>
        </is>
      </c>
      <c r="B320" s="2" t="inlineStr">
        <is>
          <t>Дождевики</t>
        </is>
      </c>
      <c r="C320" s="2">
        <v>600651713</v>
      </c>
      <c r="D320" s="2" t="inlineStr">
        <is>
          <t>513800</t>
        </is>
      </c>
      <c r="E320" s="2" t="inlineStr">
        <is>
          <t>2047129380512</t>
        </is>
      </c>
      <c r="F320" s="2">
        <v>0</v>
      </c>
      <c r="G320" s="2">
        <v>0</v>
      </c>
      <c r="H320" s="2" t="inlineStr">
        <is>
          <t/>
        </is>
      </c>
      <c r="I320" s="2" t="inlineStr">
        <is>
          <t>5965</t>
        </is>
      </c>
      <c r="J320" s="4"/>
      <c r="K320" s="2">
        <v>78</v>
      </c>
      <c r="L320" s="6"/>
      <c r="M320" s="2" t="str">
        <f>IF(J320="",ROUND(I320*(1-IF(ISBLANK(L320),K320,L320)/100),2),ROUND(J320*(1-IF(ISBLANK(L320),K320,L320)/100),2))</f>
      </c>
      <c r="N320" s="7" t="str">
        <f>IF(NOT(AND(J320="",L320="")),IF(OR(AND(L320&lt;&gt;"",NOT(ISNUMBER(L320))),IFERROR(MOD(L320,1),1)&gt;0,AND(ISNUMBER(L320),OR(L320&lt;0,L320&gt;95))),"Введите целое число от 0 до 95",IF(OR(AND(J320&lt;&gt;"",NOT(ISNUMBER(J320))),IFERROR(MOD(J320,1),1)&gt;0,AND(ISNUMBER(J320),OR(J320&lt;50,J320&gt;20000000))),"Введите целое число от 50 до 20000000",IF(NOT(ABS(IFERROR(VALUE(LEFT(M320,FIND("-",M320)-1)),M320)*100-(2500+2000000000)/2)&lt;=ABS(2500-2000000000)/2),"Цена со скидкой должна быть от 25 до 20000000",IF(AND(IFERROR(VALUE(LEFT(M320,FIND("-",M320)-1)),M320)*150&lt;=131230,IFERROR(VALUE(LEFT(M320,FIND("-",M320)-1)),M320)*200&gt;131230),"Вы уменьшили цену в несколько раз, товар попадет в карантин цен",IF(IFERROR(VALUE(LEFT(M320,FIND("-",M320)-1)),M320)*200&lt;=131230,"Не сохранили изменения, чтобы защитить от ошибки — новые цены меньше текущих более чем в 2 раза. Снижайте их постепенно",IF(AND(IFERROR(VALUE(I320),0)=0,ISNUMBER(J320),OR(J320&lt;348,ABS(IFERROR(VALUE(LEFT(M320,FIND("-",M320)-1)),M320))*100&lt;34800)),"Проверьте цену товара. Большинство товаров в выбранной категории стоят дороже 348","")))))),"")</f>
      </c>
    </row>
    <row r="321">
      <c r="A321" s="2" t="inlineStr">
        <is>
          <t/>
        </is>
      </c>
      <c r="B321" s="2" t="inlineStr">
        <is>
          <t>Грили электрические</t>
        </is>
      </c>
      <c r="C321" s="2">
        <v>603736229</v>
      </c>
      <c r="D321" s="2" t="inlineStr">
        <is>
          <t>192343</t>
        </is>
      </c>
      <c r="E321" s="2" t="inlineStr">
        <is>
          <t>2047147983160</t>
        </is>
      </c>
      <c r="F321" s="2" t="inlineStr">
        <is>
          <t/>
        </is>
      </c>
      <c r="G321" s="2" t="inlineStr">
        <is>
          <t/>
        </is>
      </c>
      <c r="H321" s="2" t="inlineStr">
        <is>
          <t/>
        </is>
      </c>
      <c r="I321" s="2" t="inlineStr">
        <is>
          <t>17410</t>
        </is>
      </c>
      <c r="J321" s="4"/>
      <c r="K321" s="2">
        <v>65</v>
      </c>
      <c r="L321" s="6"/>
      <c r="M321" s="2" t="str">
        <f>IF(J321="",ROUND(I321*(1-IF(ISBLANK(L321),K321,L321)/100),2),ROUND(J321*(1-IF(ISBLANK(L321),K321,L321)/100),2))</f>
      </c>
      <c r="N321" s="7" t="str">
        <f>IF(NOT(AND(J321="",L321="")),IF(OR(AND(L321&lt;&gt;"",NOT(ISNUMBER(L321))),IFERROR(MOD(L321,1),1)&gt;0,AND(ISNUMBER(L321),OR(L321&lt;0,L321&gt;95))),"Введите целое число от 0 до 95",IF(OR(AND(J321&lt;&gt;"",NOT(ISNUMBER(J321))),IFERROR(MOD(J321,1),1)&gt;0,AND(ISNUMBER(J321),OR(J321&lt;50,J321&gt;20000000))),"Введите целое число от 50 до 20000000",IF(NOT(ABS(IFERROR(VALUE(LEFT(M321,FIND("-",M321)-1)),M321)*100-(2500+2000000000)/2)&lt;=ABS(2500-2000000000)/2),"Цена со скидкой должна быть от 25 до 20000000",IF(AND(IFERROR(VALUE(LEFT(M321,FIND("-",M321)-1)),M321)*150&lt;=609350,IFERROR(VALUE(LEFT(M321,FIND("-",M321)-1)),M321)*200&gt;609350),"Вы уменьшили цену в несколько раз, товар попадет в карантин цен",IF(IFERROR(VALUE(LEFT(M321,FIND("-",M321)-1)),M321)*200&lt;=609350,"Не сохранили изменения, чтобы защитить от ошибки — новые цены меньше текущих более чем в 2 раза. Снижайте их постепенно",IF(AND(IFERROR(VALUE(I321),0)=0,ISNUMBER(J321),OR(J321&lt;337,ABS(IFERROR(VALUE(LEFT(M321,FIND("-",M321)-1)),M321))*100&lt;33700)),"Проверьте цену товара. Большинство товаров в выбранной категории стоят дороже 337","")))))),"")</f>
      </c>
    </row>
    <row r="322">
      <c r="A322" s="2" t="inlineStr">
        <is>
          <t/>
        </is>
      </c>
      <c r="B322" s="2" t="inlineStr">
        <is>
          <t>Швабры</t>
        </is>
      </c>
      <c r="C322" s="2">
        <v>618348480</v>
      </c>
      <c r="D322" s="2" t="inlineStr">
        <is>
          <t>514003</t>
        </is>
      </c>
      <c r="E322" s="2" t="inlineStr">
        <is>
          <t>2047308101600</t>
        </is>
      </c>
      <c r="F322" s="2">
        <v>0</v>
      </c>
      <c r="G322" s="2">
        <v>34</v>
      </c>
      <c r="H322" s="2" t="inlineStr">
        <is>
          <t/>
        </is>
      </c>
      <c r="I322" s="2" t="inlineStr">
        <is>
          <t>17500</t>
        </is>
      </c>
      <c r="J322" s="4"/>
      <c r="K322" s="2">
        <v>80</v>
      </c>
      <c r="L322" s="6"/>
      <c r="M322" s="2" t="str">
        <f>IF(J322="",ROUND(I322*(1-IF(ISBLANK(L322),K322,L322)/100),2),ROUND(J322*(1-IF(ISBLANK(L322),K322,L322)/100),2))</f>
      </c>
      <c r="N322" s="7" t="str">
        <f>IF(NOT(AND(J322="",L322="")),IF(OR(AND(L322&lt;&gt;"",NOT(ISNUMBER(L322))),IFERROR(MOD(L322,1),1)&gt;0,AND(ISNUMBER(L322),OR(L322&lt;0,L322&gt;95))),"Введите целое число от 0 до 95",IF(OR(AND(J322&lt;&gt;"",NOT(ISNUMBER(J322))),IFERROR(MOD(J322,1),1)&gt;0,AND(ISNUMBER(J322),OR(J322&lt;50,J322&gt;20000000))),"Введите целое число от 50 до 20000000",IF(NOT(ABS(IFERROR(VALUE(LEFT(M322,FIND("-",M322)-1)),M322)*100-(2500+2000000000)/2)&lt;=ABS(2500-2000000000)/2),"Цена со скидкой должна быть от 25 до 20000000",IF(AND(IFERROR(VALUE(LEFT(M322,FIND("-",M322)-1)),M322)*150&lt;=349999,IFERROR(VALUE(LEFT(M322,FIND("-",M322)-1)),M322)*200&gt;349999),"Вы уменьшили цену в несколько раз, товар попадет в карантин цен",IF(IFERROR(VALUE(LEFT(M322,FIND("-",M322)-1)),M322)*200&lt;=349999,"Не сохранили изменения, чтобы защитить от ошибки — новые цены меньше текущих более чем в 2 раза. Снижайте их постепенно",IF(AND(IFERROR(VALUE(I322),0)=0,ISNUMBER(J322),OR(J322&lt;448,ABS(IFERROR(VALUE(LEFT(M322,FIND("-",M322)-1)),M322))*100&lt;44800)),"Проверьте цену товара. Большинство товаров в выбранной категории стоят дороже 448","")))))),"")</f>
      </c>
    </row>
    <row r="323">
      <c r="A323" s="2" t="inlineStr">
        <is>
          <t/>
        </is>
      </c>
      <c r="B323" s="2" t="inlineStr">
        <is>
          <t>Парогенераторы</t>
        </is>
      </c>
      <c r="C323" s="2">
        <v>600650858</v>
      </c>
      <c r="D323" s="2" t="inlineStr">
        <is>
          <t>19956</t>
        </is>
      </c>
      <c r="E323" s="2" t="inlineStr">
        <is>
          <t>2047129359853</t>
        </is>
      </c>
      <c r="F323" s="2">
        <v>0</v>
      </c>
      <c r="G323" s="2">
        <v>3</v>
      </c>
      <c r="H323" s="2" t="inlineStr">
        <is>
          <t/>
        </is>
      </c>
      <c r="I323" s="2" t="inlineStr">
        <is>
          <t>10824</t>
        </is>
      </c>
      <c r="J323" s="4"/>
      <c r="K323" s="2">
        <v>78</v>
      </c>
      <c r="L323" s="6"/>
      <c r="M323" s="2" t="str">
        <f>IF(J323="",ROUND(I323*(1-IF(ISBLANK(L323),K323,L323)/100),2),ROUND(J323*(1-IF(ISBLANK(L323),K323,L323)/100),2))</f>
      </c>
      <c r="N323" s="7" t="str">
        <f>IF(NOT(AND(J323="",L323="")),IF(OR(AND(L323&lt;&gt;"",NOT(ISNUMBER(L323))),IFERROR(MOD(L323,1),1)&gt;0,AND(ISNUMBER(L323),OR(L323&lt;0,L323&gt;95))),"Введите целое число от 0 до 95",IF(OR(AND(J323&lt;&gt;"",NOT(ISNUMBER(J323))),IFERROR(MOD(J323,1),1)&gt;0,AND(ISNUMBER(J323),OR(J323&lt;50,J323&gt;20000000))),"Введите целое число от 50 до 20000000",IF(NOT(ABS(IFERROR(VALUE(LEFT(M323,FIND("-",M323)-1)),M323)*100-(2500+2000000000)/2)&lt;=ABS(2500-2000000000)/2),"Цена со скидкой должна быть от 25 до 20000000",IF(AND(IFERROR(VALUE(LEFT(M323,FIND("-",M323)-1)),M323)*150&lt;=238127,IFERROR(VALUE(LEFT(M323,FIND("-",M323)-1)),M323)*200&gt;238127),"Вы уменьшили цену в несколько раз, товар попадет в карантин цен",IF(IFERROR(VALUE(LEFT(M323,FIND("-",M323)-1)),M323)*200&lt;=238127,"Не сохранили изменения, чтобы защитить от ошибки — новые цены меньше текущих более чем в 2 раза. Снижайте их постепенно",IF(AND(IFERROR(VALUE(I323),0)=0,ISNUMBER(J323),OR(J323&lt;307,ABS(IFERROR(VALUE(LEFT(M323,FIND("-",M323)-1)),M323))*100&lt;30700)),"Проверьте цену товара. Большинство товаров в выбранной категории стоят дороже 307","")))))),"")</f>
      </c>
    </row>
    <row r="324">
      <c r="A324" s="2" t="inlineStr">
        <is>
          <t/>
        </is>
      </c>
      <c r="B324" s="2" t="inlineStr">
        <is>
          <t>Грили электрические</t>
        </is>
      </c>
      <c r="C324" s="2">
        <v>603736228</v>
      </c>
      <c r="D324" s="2" t="inlineStr">
        <is>
          <t>192625</t>
        </is>
      </c>
      <c r="E324" s="2" t="inlineStr">
        <is>
          <t>2047147983146</t>
        </is>
      </c>
      <c r="F324" s="2">
        <v>0</v>
      </c>
      <c r="G324" s="2">
        <v>1</v>
      </c>
      <c r="H324" s="2" t="inlineStr">
        <is>
          <t/>
        </is>
      </c>
      <c r="I324" s="2" t="inlineStr">
        <is>
          <t>18300</t>
        </is>
      </c>
      <c r="J324" s="4"/>
      <c r="K324" s="2">
        <v>80</v>
      </c>
      <c r="L324" s="6"/>
      <c r="M324" s="2" t="str">
        <f>IF(J324="",ROUND(I324*(1-IF(ISBLANK(L324),K324,L324)/100),2),ROUND(J324*(1-IF(ISBLANK(L324),K324,L324)/100),2))</f>
      </c>
      <c r="N324" s="7" t="str">
        <f>IF(NOT(AND(J324="",L324="")),IF(OR(AND(L324&lt;&gt;"",NOT(ISNUMBER(L324))),IFERROR(MOD(L324,1),1)&gt;0,AND(ISNUMBER(L324),OR(L324&lt;0,L324&gt;95))),"Введите целое число от 0 до 95",IF(OR(AND(J324&lt;&gt;"",NOT(ISNUMBER(J324))),IFERROR(MOD(J324,1),1)&gt;0,AND(ISNUMBER(J324),OR(J324&lt;50,J324&gt;20000000))),"Введите целое число от 50 до 20000000",IF(NOT(ABS(IFERROR(VALUE(LEFT(M324,FIND("-",M324)-1)),M324)*100-(2500+2000000000)/2)&lt;=ABS(2500-2000000000)/2),"Цена со скидкой должна быть от 25 до 20000000",IF(AND(IFERROR(VALUE(LEFT(M324,FIND("-",M324)-1)),M324)*150&lt;=365999,IFERROR(VALUE(LEFT(M324,FIND("-",M324)-1)),M324)*200&gt;365999),"Вы уменьшили цену в несколько раз, товар попадет в карантин цен",IF(IFERROR(VALUE(LEFT(M324,FIND("-",M324)-1)),M324)*200&lt;=365999,"Не сохранили изменения, чтобы защитить от ошибки — новые цены меньше текущих более чем в 2 раза. Снижайте их постепенно",IF(AND(IFERROR(VALUE(I324),0)=0,ISNUMBER(J324),OR(J324&lt;337,ABS(IFERROR(VALUE(LEFT(M324,FIND("-",M324)-1)),M324))*100&lt;33700)),"Проверьте цену товара. Большинство товаров в выбранной категории стоят дороже 337","")))))),"")</f>
      </c>
    </row>
    <row r="325">
      <c r="A325" s="2" t="inlineStr">
        <is>
          <t/>
        </is>
      </c>
      <c r="B325" s="2" t="inlineStr">
        <is>
          <t>Грили электрические</t>
        </is>
      </c>
      <c r="C325" s="2">
        <v>603736227</v>
      </c>
      <c r="D325" s="2" t="inlineStr">
        <is>
          <t>192579</t>
        </is>
      </c>
      <c r="E325" s="2" t="inlineStr">
        <is>
          <t>2047147983139</t>
        </is>
      </c>
      <c r="F325" s="2">
        <v>0</v>
      </c>
      <c r="G325" s="2">
        <v>3</v>
      </c>
      <c r="H325" s="2" t="inlineStr">
        <is>
          <t/>
        </is>
      </c>
      <c r="I325" s="2" t="inlineStr">
        <is>
          <t>24840</t>
        </is>
      </c>
      <c r="J325" s="4"/>
      <c r="K325" s="2">
        <v>80</v>
      </c>
      <c r="L325" s="6"/>
      <c r="M325" s="2" t="str">
        <f>IF(J325="",ROUND(I325*(1-IF(ISBLANK(L325),K325,L325)/100),2),ROUND(J325*(1-IF(ISBLANK(L325),K325,L325)/100),2))</f>
      </c>
      <c r="N325" s="7" t="str">
        <f>IF(NOT(AND(J325="",L325="")),IF(OR(AND(L325&lt;&gt;"",NOT(ISNUMBER(L325))),IFERROR(MOD(L325,1),1)&gt;0,AND(ISNUMBER(L325),OR(L325&lt;0,L325&gt;95))),"Введите целое число от 0 до 95",IF(OR(AND(J325&lt;&gt;"",NOT(ISNUMBER(J325))),IFERROR(MOD(J325,1),1)&gt;0,AND(ISNUMBER(J325),OR(J325&lt;50,J325&gt;20000000))),"Введите целое число от 50 до 20000000",IF(NOT(ABS(IFERROR(VALUE(LEFT(M325,FIND("-",M325)-1)),M325)*100-(2500+2000000000)/2)&lt;=ABS(2500-2000000000)/2),"Цена со скидкой должна быть от 25 до 20000000",IF(AND(IFERROR(VALUE(LEFT(M325,FIND("-",M325)-1)),M325)*150&lt;=496799,IFERROR(VALUE(LEFT(M325,FIND("-",M325)-1)),M325)*200&gt;496799),"Вы уменьшили цену в несколько раз, товар попадет в карантин цен",IF(IFERROR(VALUE(LEFT(M325,FIND("-",M325)-1)),M325)*200&lt;=496799,"Не сохранили изменения, чтобы защитить от ошибки — новые цены меньше текущих более чем в 2 раза. Снижайте их постепенно",IF(AND(IFERROR(VALUE(I325),0)=0,ISNUMBER(J325),OR(J325&lt;337,ABS(IFERROR(VALUE(LEFT(M325,FIND("-",M325)-1)),M325))*100&lt;33700)),"Проверьте цену товара. Большинство товаров в выбранной категории стоят дороже 337","")))))),"")</f>
      </c>
    </row>
    <row r="326">
      <c r="A326" s="2" t="inlineStr">
        <is>
          <t/>
        </is>
      </c>
      <c r="B326" s="2" t="inlineStr">
        <is>
          <t>Казаны</t>
        </is>
      </c>
      <c r="C326" s="2">
        <v>619235876</v>
      </c>
      <c r="D326" s="2" t="inlineStr">
        <is>
          <t>200486</t>
        </is>
      </c>
      <c r="E326" s="2" t="inlineStr">
        <is>
          <t>2047320539863</t>
        </is>
      </c>
      <c r="F326" s="2">
        <v>0</v>
      </c>
      <c r="G326" s="2">
        <v>4</v>
      </c>
      <c r="H326" s="2" t="inlineStr">
        <is>
          <t/>
        </is>
      </c>
      <c r="I326" s="2" t="inlineStr">
        <is>
          <t>28592</t>
        </is>
      </c>
      <c r="J326" s="4"/>
      <c r="K326" s="2">
        <v>80</v>
      </c>
      <c r="L326" s="6"/>
      <c r="M326" s="2" t="str">
        <f>IF(J326="",ROUND(I326*(1-IF(ISBLANK(L326),K326,L326)/100),2),ROUND(J326*(1-IF(ISBLANK(L326),K326,L326)/100),2))</f>
      </c>
      <c r="N326" s="7" t="str">
        <f>IF(NOT(AND(J326="",L326="")),IF(OR(AND(L326&lt;&gt;"",NOT(ISNUMBER(L326))),IFERROR(MOD(L326,1),1)&gt;0,AND(ISNUMBER(L326),OR(L326&lt;0,L326&gt;95))),"Введите целое число от 0 до 95",IF(OR(AND(J326&lt;&gt;"",NOT(ISNUMBER(J326))),IFERROR(MOD(J326,1),1)&gt;0,AND(ISNUMBER(J326),OR(J326&lt;50,J326&gt;20000000))),"Введите целое число от 50 до 20000000",IF(NOT(ABS(IFERROR(VALUE(LEFT(M326,FIND("-",M326)-1)),M326)*100-(2500+2000000000)/2)&lt;=ABS(2500-2000000000)/2),"Цена со скидкой должна быть от 25 до 20000000",IF(AND(IFERROR(VALUE(LEFT(M326,FIND("-",M326)-1)),M326)*150&lt;=571839,IFERROR(VALUE(LEFT(M326,FIND("-",M326)-1)),M326)*200&gt;571839),"Вы уменьшили цену в несколько раз, товар попадет в карантин цен",IF(IFERROR(VALUE(LEFT(M326,FIND("-",M326)-1)),M326)*200&lt;=571839,"Не сохранили изменения, чтобы защитить от ошибки — новые цены меньше текущих более чем в 2 раза. Снижайте их постепенно",IF(AND(IFERROR(VALUE(I326),0)=0,ISNUMBER(J326),OR(J326&lt;443,ABS(IFERROR(VALUE(LEFT(M326,FIND("-",M326)-1)),M326))*100&lt;44300)),"Проверьте цену товара. Большинство товаров в выбранной категории стоят дороже 443","")))))),"")</f>
      </c>
    </row>
    <row r="327">
      <c r="A327" s="2" t="inlineStr">
        <is>
          <t/>
        </is>
      </c>
      <c r="B327" s="2" t="inlineStr">
        <is>
          <t>Елки искусственные</t>
        </is>
      </c>
      <c r="C327" s="2">
        <v>616129770</v>
      </c>
      <c r="D327" s="2" t="inlineStr">
        <is>
          <t>990897</t>
        </is>
      </c>
      <c r="E327" s="2" t="inlineStr">
        <is>
          <t>2047285466549</t>
        </is>
      </c>
      <c r="F327" s="2">
        <v>0</v>
      </c>
      <c r="G327" s="2">
        <v>2</v>
      </c>
      <c r="H327" s="2" t="inlineStr">
        <is>
          <t/>
        </is>
      </c>
      <c r="I327" s="2" t="inlineStr">
        <is>
          <t>50079</t>
        </is>
      </c>
      <c r="J327" s="4"/>
      <c r="K327" s="2">
        <v>78</v>
      </c>
      <c r="L327" s="6"/>
      <c r="M327" s="2" t="str">
        <f>IF(J327="",ROUND(I327*(1-IF(ISBLANK(L327),K327,L327)/100),2),ROUND(J327*(1-IF(ISBLANK(L327),K327,L327)/100),2))</f>
      </c>
      <c r="N327" s="7" t="str">
        <f>IF(NOT(AND(J327="",L327="")),IF(OR(AND(L327&lt;&gt;"",NOT(ISNUMBER(L327))),IFERROR(MOD(L327,1),1)&gt;0,AND(ISNUMBER(L327),OR(L327&lt;0,L327&gt;95))),"Введите целое число от 0 до 95",IF(OR(AND(J327&lt;&gt;"",NOT(ISNUMBER(J327))),IFERROR(MOD(J327,1),1)&gt;0,AND(ISNUMBER(J327),OR(J327&lt;50,J327&gt;20000000))),"Введите целое число от 50 до 20000000",IF(NOT(ABS(IFERROR(VALUE(LEFT(M327,FIND("-",M327)-1)),M327)*100-(2500+2000000000)/2)&lt;=ABS(2500-2000000000)/2),"Цена со скидкой должна быть от 25 до 20000000",IF(AND(IFERROR(VALUE(LEFT(M327,FIND("-",M327)-1)),M327)*150&lt;=1101738,IFERROR(VALUE(LEFT(M327,FIND("-",M327)-1)),M327)*200&gt;1101738),"Вы уменьшили цену в несколько раз, товар попадет в карантин цен",IF(IFERROR(VALUE(LEFT(M327,FIND("-",M327)-1)),M327)*200&lt;=1101738,"Не сохранили изменения, чтобы защитить от ошибки — новые цены меньше текущих более чем в 2 раза. Снижайте их постепенно",IF(AND(IFERROR(VALUE(I327),0)=0,ISNUMBER(J327),OR(J327&lt;269,ABS(IFERROR(VALUE(LEFT(M327,FIND("-",M327)-1)),M327))*100&lt;26900)),"Проверьте цену товара. Большинство товаров в выбранной категории стоят дороже 269","")))))),"")</f>
      </c>
    </row>
    <row r="328">
      <c r="A328" s="2" t="inlineStr">
        <is>
          <t/>
        </is>
      </c>
      <c r="B328" s="2" t="inlineStr">
        <is>
          <t>Мусорные ведра</t>
        </is>
      </c>
      <c r="C328" s="2">
        <v>618353172</v>
      </c>
      <c r="D328" s="2" t="inlineStr">
        <is>
          <t>512618</t>
        </is>
      </c>
      <c r="E328" s="2" t="inlineStr">
        <is>
          <t>2047308167675</t>
        </is>
      </c>
      <c r="F328" s="2">
        <v>0</v>
      </c>
      <c r="G328" s="2">
        <v>0</v>
      </c>
      <c r="H328" s="2" t="inlineStr">
        <is>
          <t/>
        </is>
      </c>
      <c r="I328" s="2" t="inlineStr">
        <is>
          <t>20984</t>
        </is>
      </c>
      <c r="J328" s="4"/>
      <c r="K328" s="2">
        <v>69</v>
      </c>
      <c r="L328" s="6"/>
      <c r="M328" s="2" t="str">
        <f>IF(J328="",ROUND(I328*(1-IF(ISBLANK(L328),K328,L328)/100),2),ROUND(J328*(1-IF(ISBLANK(L328),K328,L328)/100),2))</f>
      </c>
      <c r="N328" s="7" t="str">
        <f>IF(NOT(AND(J328="",L328="")),IF(OR(AND(L328&lt;&gt;"",NOT(ISNUMBER(L328))),IFERROR(MOD(L328,1),1)&gt;0,AND(ISNUMBER(L328),OR(L328&lt;0,L328&gt;95))),"Введите целое число от 0 до 95",IF(OR(AND(J328&lt;&gt;"",NOT(ISNUMBER(J328))),IFERROR(MOD(J328,1),1)&gt;0,AND(ISNUMBER(J328),OR(J328&lt;50,J328&gt;20000000))),"Введите целое число от 50 до 20000000",IF(NOT(ABS(IFERROR(VALUE(LEFT(M328,FIND("-",M328)-1)),M328)*100-(2500+2000000000)/2)&lt;=ABS(2500-2000000000)/2),"Цена со скидкой должна быть от 25 до 20000000",IF(AND(IFERROR(VALUE(LEFT(M328,FIND("-",M328)-1)),M328)*150&lt;=650504,IFERROR(VALUE(LEFT(M328,FIND("-",M328)-1)),M328)*200&gt;650504),"Вы уменьшили цену в несколько раз, товар попадет в карантин цен",IF(IFERROR(VALUE(LEFT(M328,FIND("-",M328)-1)),M328)*200&lt;=650504,"Не сохранили изменения, чтобы защитить от ошибки — новые цены меньше текущих более чем в 2 раза. Снижайте их постепенно",IF(AND(IFERROR(VALUE(I328),0)=0,ISNUMBER(J328),OR(J328&lt;399,ABS(IFERROR(VALUE(LEFT(M328,FIND("-",M328)-1)),M328))*100&lt;39900)),"Проверьте цену товара. Большинство товаров в выбранной категории стоят дороже 399","")))))),"")</f>
      </c>
    </row>
    <row r="329">
      <c r="A329" s="2" t="inlineStr">
        <is>
          <t/>
        </is>
      </c>
      <c r="B329" s="2" t="inlineStr">
        <is>
          <t>Мусорные ведра</t>
        </is>
      </c>
      <c r="C329" s="2">
        <v>618353176</v>
      </c>
      <c r="D329" s="2" t="inlineStr">
        <is>
          <t>31625</t>
        </is>
      </c>
      <c r="E329" s="2" t="inlineStr">
        <is>
          <t>2047308167712</t>
        </is>
      </c>
      <c r="F329" s="2" t="inlineStr">
        <is>
          <t/>
        </is>
      </c>
      <c r="G329" s="2" t="inlineStr">
        <is>
          <t/>
        </is>
      </c>
      <c r="H329" s="2" t="inlineStr">
        <is>
          <t/>
        </is>
      </c>
      <c r="I329" s="2" t="inlineStr">
        <is>
          <t>0</t>
        </is>
      </c>
      <c r="J329" s="4"/>
      <c r="K329" s="2">
        <v>0</v>
      </c>
      <c r="L329" s="6"/>
      <c r="M329" s="2" t="str">
        <f>IF(J329="",ROUND(I329*(1-IF(ISBLANK(L329),K329,L329)/100),2),ROUND(J329*(1-IF(ISBLANK(L329),K329,L329)/100),2))</f>
      </c>
      <c r="N329" s="7" t="str">
        <f>IF(NOT(AND(J329="",L329="")),IF(OR(AND(L329&lt;&gt;"",NOT(ISNUMBER(L329))),IFERROR(MOD(L329,1),1)&gt;0,AND(ISNUMBER(L329),OR(L329&lt;0,L329&gt;95))),"Введите целое число от 0 до 95",IF(OR(AND(J329&lt;&gt;"",NOT(ISNUMBER(J329))),IFERROR(MOD(J329,1),1)&gt;0,AND(ISNUMBER(J329),OR(J329&lt;50,J329&gt;20000000))),"Введите целое число от 50 до 20000000",IF(NOT(ABS(IFERROR(VALUE(LEFT(M329,FIND("-",M329)-1)),M329)*100-(2500+2000000000)/2)&lt;=ABS(2500-2000000000)/2),"Цена со скидкой должна быть от 25 до 20000000",IF(AND(IFERROR(VALUE(LEFT(M329,FIND("-",M329)-1)),M329)*150&lt;=0,IFERROR(VALUE(LEFT(M329,FIND("-",M329)-1)),M329)*200&gt;0),"Вы уменьшили цену в несколько раз, товар попадет в карантин цен",IF(IFERROR(VALUE(LEFT(M329,FIND("-",M329)-1)),M329)*200&lt;=0,"Не сохранили изменения, чтобы защитить от ошибки — новые цены меньше текущих более чем в 2 раза. Снижайте их постепенно",IF(AND(IFERROR(VALUE(I329),0)=0,ISNUMBER(J329),OR(J329&lt;399,ABS(IFERROR(VALUE(LEFT(M329,FIND("-",M329)-1)),M329))*100&lt;39900)),"Проверьте цену товара. Большинство товаров в выбранной категории стоят дороже 399","")))))),"")</f>
      </c>
    </row>
    <row r="330">
      <c r="A330" s="2" t="inlineStr">
        <is>
          <t/>
        </is>
      </c>
      <c r="B330" s="2" t="inlineStr">
        <is>
          <t>Елки искусственные</t>
        </is>
      </c>
      <c r="C330" s="2">
        <v>616129816</v>
      </c>
      <c r="D330" s="2" t="inlineStr">
        <is>
          <t>992686</t>
        </is>
      </c>
      <c r="E330" s="2" t="inlineStr">
        <is>
          <t>2047285467065</t>
        </is>
      </c>
      <c r="F330" s="2">
        <v>0</v>
      </c>
      <c r="G330" s="2">
        <v>48</v>
      </c>
      <c r="H330" s="2" t="inlineStr">
        <is>
          <t/>
        </is>
      </c>
      <c r="I330" s="2" t="inlineStr">
        <is>
          <t>10238</t>
        </is>
      </c>
      <c r="J330" s="4"/>
      <c r="K330" s="2">
        <v>78</v>
      </c>
      <c r="L330" s="6"/>
      <c r="M330" s="2" t="str">
        <f>IF(J330="",ROUND(I330*(1-IF(ISBLANK(L330),K330,L330)/100),2),ROUND(J330*(1-IF(ISBLANK(L330),K330,L330)/100),2))</f>
      </c>
      <c r="N330" s="7" t="str">
        <f>IF(NOT(AND(J330="",L330="")),IF(OR(AND(L330&lt;&gt;"",NOT(ISNUMBER(L330))),IFERROR(MOD(L330,1),1)&gt;0,AND(ISNUMBER(L330),OR(L330&lt;0,L330&gt;95))),"Введите целое число от 0 до 95",IF(OR(AND(J330&lt;&gt;"",NOT(ISNUMBER(J330))),IFERROR(MOD(J330,1),1)&gt;0,AND(ISNUMBER(J330),OR(J330&lt;50,J330&gt;20000000))),"Введите целое число от 50 до 20000000",IF(NOT(ABS(IFERROR(VALUE(LEFT(M330,FIND("-",M330)-1)),M330)*100-(2500+2000000000)/2)&lt;=ABS(2500-2000000000)/2),"Цена со скидкой должна быть от 25 до 20000000",IF(AND(IFERROR(VALUE(LEFT(M330,FIND("-",M330)-1)),M330)*150&lt;=225235,IFERROR(VALUE(LEFT(M330,FIND("-",M330)-1)),M330)*200&gt;225235),"Вы уменьшили цену в несколько раз, товар попадет в карантин цен",IF(IFERROR(VALUE(LEFT(M330,FIND("-",M330)-1)),M330)*200&lt;=225235,"Не сохранили изменения, чтобы защитить от ошибки — новые цены меньше текущих более чем в 2 раза. Снижайте их постепенно",IF(AND(IFERROR(VALUE(I330),0)=0,ISNUMBER(J330),OR(J330&lt;269,ABS(IFERROR(VALUE(LEFT(M330,FIND("-",M330)-1)),M330))*100&lt;26900)),"Проверьте цену товара. Большинство товаров в выбранной категории стоят дороже 269","")))))),"")</f>
      </c>
    </row>
    <row r="331">
      <c r="A331" s="2" t="inlineStr">
        <is>
          <t/>
        </is>
      </c>
      <c r="B331" s="2" t="inlineStr">
        <is>
          <t>Мусорные ведра</t>
        </is>
      </c>
      <c r="C331" s="2">
        <v>618353177</v>
      </c>
      <c r="D331" s="2" t="inlineStr">
        <is>
          <t>452332</t>
        </is>
      </c>
      <c r="E331" s="2" t="inlineStr">
        <is>
          <t>2047308167729</t>
        </is>
      </c>
      <c r="F331" s="2">
        <v>0</v>
      </c>
      <c r="G331" s="2">
        <v>0</v>
      </c>
      <c r="H331" s="2" t="inlineStr">
        <is>
          <t/>
        </is>
      </c>
      <c r="I331" s="2" t="inlineStr">
        <is>
          <t>18408</t>
        </is>
      </c>
      <c r="J331" s="4"/>
      <c r="K331" s="2">
        <v>69</v>
      </c>
      <c r="L331" s="6"/>
      <c r="M331" s="2" t="str">
        <f>IF(J331="",ROUND(I331*(1-IF(ISBLANK(L331),K331,L331)/100),2),ROUND(J331*(1-IF(ISBLANK(L331),K331,L331)/100),2))</f>
      </c>
      <c r="N331" s="7" t="str">
        <f>IF(NOT(AND(J331="",L331="")),IF(OR(AND(L331&lt;&gt;"",NOT(ISNUMBER(L331))),IFERROR(MOD(L331,1),1)&gt;0,AND(ISNUMBER(L331),OR(L331&lt;0,L331&gt;95))),"Введите целое число от 0 до 95",IF(OR(AND(J331&lt;&gt;"",NOT(ISNUMBER(J331))),IFERROR(MOD(J331,1),1)&gt;0,AND(ISNUMBER(J331),OR(J331&lt;50,J331&gt;20000000))),"Введите целое число от 50 до 20000000",IF(NOT(ABS(IFERROR(VALUE(LEFT(M331,FIND("-",M331)-1)),M331)*100-(2500+2000000000)/2)&lt;=ABS(2500-2000000000)/2),"Цена со скидкой должна быть от 25 до 20000000",IF(AND(IFERROR(VALUE(LEFT(M331,FIND("-",M331)-1)),M331)*150&lt;=570648,IFERROR(VALUE(LEFT(M331,FIND("-",M331)-1)),M331)*200&gt;570648),"Вы уменьшили цену в несколько раз, товар попадет в карантин цен",IF(IFERROR(VALUE(LEFT(M331,FIND("-",M331)-1)),M331)*200&lt;=570648,"Не сохранили изменения, чтобы защитить от ошибки — новые цены меньше текущих более чем в 2 раза. Снижайте их постепенно",IF(AND(IFERROR(VALUE(I331),0)=0,ISNUMBER(J331),OR(J331&lt;399,ABS(IFERROR(VALUE(LEFT(M331,FIND("-",M331)-1)),M331))*100&lt;39900)),"Проверьте цену товара. Большинство товаров в выбранной категории стоят дороже 399","")))))),"")</f>
      </c>
    </row>
    <row r="332">
      <c r="A332" s="2" t="inlineStr">
        <is>
          <t/>
        </is>
      </c>
      <c r="B332" s="2" t="inlineStr">
        <is>
          <t>Мусорные ведра</t>
        </is>
      </c>
      <c r="C332" s="2">
        <v>618353173</v>
      </c>
      <c r="D332" s="2" t="inlineStr">
        <is>
          <t>31624</t>
        </is>
      </c>
      <c r="E332" s="2" t="inlineStr">
        <is>
          <t>2047308167682</t>
        </is>
      </c>
      <c r="F332" s="2">
        <v>0</v>
      </c>
      <c r="G332" s="2">
        <v>0</v>
      </c>
      <c r="H332" s="2" t="inlineStr">
        <is>
          <t/>
        </is>
      </c>
      <c r="I332" s="2" t="inlineStr">
        <is>
          <t>0</t>
        </is>
      </c>
      <c r="J332" s="4"/>
      <c r="K332" s="2">
        <v>0</v>
      </c>
      <c r="L332" s="6"/>
      <c r="M332" s="2" t="str">
        <f>IF(J332="",ROUND(I332*(1-IF(ISBLANK(L332),K332,L332)/100),2),ROUND(J332*(1-IF(ISBLANK(L332),K332,L332)/100),2))</f>
      </c>
      <c r="N332" s="7" t="str">
        <f>IF(NOT(AND(J332="",L332="")),IF(OR(AND(L332&lt;&gt;"",NOT(ISNUMBER(L332))),IFERROR(MOD(L332,1),1)&gt;0,AND(ISNUMBER(L332),OR(L332&lt;0,L332&gt;95))),"Введите целое число от 0 до 95",IF(OR(AND(J332&lt;&gt;"",NOT(ISNUMBER(J332))),IFERROR(MOD(J332,1),1)&gt;0,AND(ISNUMBER(J332),OR(J332&lt;50,J332&gt;20000000))),"Введите целое число от 50 до 20000000",IF(NOT(ABS(IFERROR(VALUE(LEFT(M332,FIND("-",M332)-1)),M332)*100-(2500+2000000000)/2)&lt;=ABS(2500-2000000000)/2),"Цена со скидкой должна быть от 25 до 20000000",IF(AND(IFERROR(VALUE(LEFT(M332,FIND("-",M332)-1)),M332)*150&lt;=0,IFERROR(VALUE(LEFT(M332,FIND("-",M332)-1)),M332)*200&gt;0),"Вы уменьшили цену в несколько раз, товар попадет в карантин цен",IF(IFERROR(VALUE(LEFT(M332,FIND("-",M332)-1)),M332)*200&lt;=0,"Не сохранили изменения, чтобы защитить от ошибки — новые цены меньше текущих более чем в 2 раза. Снижайте их постепенно",IF(AND(IFERROR(VALUE(I332),0)=0,ISNUMBER(J332),OR(J332&lt;399,ABS(IFERROR(VALUE(LEFT(M332,FIND("-",M332)-1)),M332))*100&lt;39900)),"Проверьте цену товара. Большинство товаров в выбранной категории стоят дороже 399","")))))),"")</f>
      </c>
    </row>
    <row r="333">
      <c r="A333" s="2" t="inlineStr">
        <is>
          <t/>
        </is>
      </c>
      <c r="B333" s="2" t="inlineStr">
        <is>
          <t>Елки искусственные</t>
        </is>
      </c>
      <c r="C333" s="2">
        <v>616129771</v>
      </c>
      <c r="D333" s="2" t="inlineStr">
        <is>
          <t>99276</t>
        </is>
      </c>
      <c r="E333" s="2" t="inlineStr">
        <is>
          <t>2047285466556</t>
        </is>
      </c>
      <c r="F333" s="2">
        <v>0</v>
      </c>
      <c r="G333" s="2">
        <v>17</v>
      </c>
      <c r="H333" s="2" t="inlineStr">
        <is>
          <t/>
        </is>
      </c>
      <c r="I333" s="2" t="inlineStr">
        <is>
          <t>43142</t>
        </is>
      </c>
      <c r="J333" s="4"/>
      <c r="K333" s="2">
        <v>78</v>
      </c>
      <c r="L333" s="6"/>
      <c r="M333" s="2" t="str">
        <f>IF(J333="",ROUND(I333*(1-IF(ISBLANK(L333),K333,L333)/100),2),ROUND(J333*(1-IF(ISBLANK(L333),K333,L333)/100),2))</f>
      </c>
      <c r="N333" s="7" t="str">
        <f>IF(NOT(AND(J333="",L333="")),IF(OR(AND(L333&lt;&gt;"",NOT(ISNUMBER(L333))),IFERROR(MOD(L333,1),1)&gt;0,AND(ISNUMBER(L333),OR(L333&lt;0,L333&gt;95))),"Введите целое число от 0 до 95",IF(OR(AND(J333&lt;&gt;"",NOT(ISNUMBER(J333))),IFERROR(MOD(J333,1),1)&gt;0,AND(ISNUMBER(J333),OR(J333&lt;50,J333&gt;20000000))),"Введите целое число от 50 до 20000000",IF(NOT(ABS(IFERROR(VALUE(LEFT(M333,FIND("-",M333)-1)),M333)*100-(2500+2000000000)/2)&lt;=ABS(2500-2000000000)/2),"Цена со скидкой должна быть от 25 до 20000000",IF(AND(IFERROR(VALUE(LEFT(M333,FIND("-",M333)-1)),M333)*150&lt;=949123,IFERROR(VALUE(LEFT(M333,FIND("-",M333)-1)),M333)*200&gt;949123),"Вы уменьшили цену в несколько раз, товар попадет в карантин цен",IF(IFERROR(VALUE(LEFT(M333,FIND("-",M333)-1)),M333)*200&lt;=949123,"Не сохранили изменения, чтобы защитить от ошибки — новые цены меньше текущих более чем в 2 раза. Снижайте их постепенно",IF(AND(IFERROR(VALUE(I333),0)=0,ISNUMBER(J333),OR(J333&lt;269,ABS(IFERROR(VALUE(LEFT(M333,FIND("-",M333)-1)),M333))*100&lt;26900)),"Проверьте цену товара. Большинство товаров в выбранной категории стоят дороже 269","")))))),"")</f>
      </c>
    </row>
    <row r="334">
      <c r="A334" s="2" t="inlineStr">
        <is>
          <t/>
        </is>
      </c>
      <c r="B334" s="2" t="inlineStr">
        <is>
          <t>Кухонные весы</t>
        </is>
      </c>
      <c r="C334" s="2">
        <v>603732276</v>
      </c>
      <c r="D334" s="2" t="inlineStr">
        <is>
          <t>192600</t>
        </is>
      </c>
      <c r="E334" s="2" t="inlineStr">
        <is>
          <t>2047147940484</t>
        </is>
      </c>
      <c r="F334" s="2">
        <v>0</v>
      </c>
      <c r="G334" s="2">
        <v>0</v>
      </c>
      <c r="H334" s="2" t="inlineStr">
        <is>
          <t/>
        </is>
      </c>
      <c r="I334" s="2" t="inlineStr">
        <is>
          <t>5970</t>
        </is>
      </c>
      <c r="J334" s="4"/>
      <c r="K334" s="2">
        <v>65</v>
      </c>
      <c r="L334" s="6"/>
      <c r="M334" s="2" t="str">
        <f>IF(J334="",ROUND(I334*(1-IF(ISBLANK(L334),K334,L334)/100),2),ROUND(J334*(1-IF(ISBLANK(L334),K334,L334)/100),2))</f>
      </c>
      <c r="N334" s="7" t="str">
        <f>IF(NOT(AND(J334="",L334="")),IF(OR(AND(L334&lt;&gt;"",NOT(ISNUMBER(L334))),IFERROR(MOD(L334,1),1)&gt;0,AND(ISNUMBER(L334),OR(L334&lt;0,L334&gt;95))),"Введите целое число от 0 до 95",IF(OR(AND(J334&lt;&gt;"",NOT(ISNUMBER(J334))),IFERROR(MOD(J334,1),1)&gt;0,AND(ISNUMBER(J334),OR(J334&lt;50,J334&gt;20000000))),"Введите целое число от 50 до 20000000",IF(NOT(ABS(IFERROR(VALUE(LEFT(M334,FIND("-",M334)-1)),M334)*100-(2500+2000000000)/2)&lt;=ABS(2500-2000000000)/2),"Цена со скидкой должна быть от 25 до 20000000",IF(AND(IFERROR(VALUE(LEFT(M334,FIND("-",M334)-1)),M334)*150&lt;=208950,IFERROR(VALUE(LEFT(M334,FIND("-",M334)-1)),M334)*200&gt;208950),"Вы уменьшили цену в несколько раз, товар попадет в карантин цен",IF(IFERROR(VALUE(LEFT(M334,FIND("-",M334)-1)),M334)*200&lt;=208950,"Не сохранили изменения, чтобы защитить от ошибки — новые цены меньше текущих более чем в 2 раза. Снижайте их постепенно",IF(AND(IFERROR(VALUE(I334),0)=0,ISNUMBER(J334),OR(J334&lt;214,ABS(IFERROR(VALUE(LEFT(M334,FIND("-",M334)-1)),M334))*100&lt;21400)),"Проверьте цену товара. Большинство товаров в выбранной категории стоят дороже 214","")))))),"")</f>
      </c>
    </row>
    <row r="335">
      <c r="A335" s="2" t="inlineStr">
        <is>
          <t/>
        </is>
      </c>
      <c r="B335" s="2" t="inlineStr">
        <is>
          <t>Измельчители механические</t>
        </is>
      </c>
      <c r="C335" s="2">
        <v>600647806</v>
      </c>
      <c r="D335" s="2" t="inlineStr">
        <is>
          <t>523488</t>
        </is>
      </c>
      <c r="E335" s="2" t="inlineStr">
        <is>
          <t>2047129195239</t>
        </is>
      </c>
      <c r="F335" s="2">
        <v>0</v>
      </c>
      <c r="G335" s="2">
        <v>0</v>
      </c>
      <c r="H335" s="2" t="inlineStr">
        <is>
          <t/>
        </is>
      </c>
      <c r="I335" s="2" t="inlineStr">
        <is>
          <t>9224</t>
        </is>
      </c>
      <c r="J335" s="4"/>
      <c r="K335" s="2">
        <v>65</v>
      </c>
      <c r="L335" s="6"/>
      <c r="M335" s="2" t="str">
        <f>IF(J335="",ROUND(I335*(1-IF(ISBLANK(L335),K335,L335)/100),2),ROUND(J335*(1-IF(ISBLANK(L335),K335,L335)/100),2))</f>
      </c>
      <c r="N335" s="7" t="str">
        <f>IF(NOT(AND(J335="",L335="")),IF(OR(AND(L335&lt;&gt;"",NOT(ISNUMBER(L335))),IFERROR(MOD(L335,1),1)&gt;0,AND(ISNUMBER(L335),OR(L335&lt;0,L335&gt;95))),"Введите целое число от 0 до 95",IF(OR(AND(J335&lt;&gt;"",NOT(ISNUMBER(J335))),IFERROR(MOD(J335,1),1)&gt;0,AND(ISNUMBER(J335),OR(J335&lt;50,J335&gt;20000000))),"Введите целое число от 50 до 20000000",IF(NOT(ABS(IFERROR(VALUE(LEFT(M335,FIND("-",M335)-1)),M335)*100-(2500+2000000000)/2)&lt;=ABS(2500-2000000000)/2),"Цена со скидкой должна быть от 25 до 20000000",IF(AND(IFERROR(VALUE(LEFT(M335,FIND("-",M335)-1)),M335)*150&lt;=322839,IFERROR(VALUE(LEFT(M335,FIND("-",M335)-1)),M335)*200&gt;322839),"Вы уменьшили цену в несколько раз, товар попадет в карантин цен",IF(IFERROR(VALUE(LEFT(M335,FIND("-",M335)-1)),M335)*200&lt;=322839,"Не сохранили изменения, чтобы защитить от ошибки — новые цены меньше текущих более чем в 2 раза. Снижайте их постепенно",IF(AND(IFERROR(VALUE(I335),0)=0,ISNUMBER(J335),OR(J335&lt;421,ABS(IFERROR(VALUE(LEFT(M335,FIND("-",M335)-1)),M335))*100&lt;42100)),"Проверьте цену товара. Большинство товаров в выбранной категории стоят дороже 421","")))))),"")</f>
      </c>
    </row>
    <row r="336">
      <c r="A336" s="2" t="inlineStr">
        <is>
          <t/>
        </is>
      </c>
      <c r="B336" s="2" t="inlineStr">
        <is>
          <t>Мясорубки электрические</t>
        </is>
      </c>
      <c r="C336" s="2">
        <v>603737967</v>
      </c>
      <c r="D336" s="2" t="inlineStr">
        <is>
          <t>191721</t>
        </is>
      </c>
      <c r="E336" s="2" t="inlineStr">
        <is>
          <t>2047148006479</t>
        </is>
      </c>
      <c r="F336" s="2">
        <v>0</v>
      </c>
      <c r="G336" s="2">
        <v>2</v>
      </c>
      <c r="H336" s="2" t="inlineStr">
        <is>
          <t/>
        </is>
      </c>
      <c r="I336" s="2" t="inlineStr">
        <is>
          <t>36366</t>
        </is>
      </c>
      <c r="J336" s="4"/>
      <c r="K336" s="2">
        <v>80</v>
      </c>
      <c r="L336" s="6"/>
      <c r="M336" s="2" t="str">
        <f>IF(J336="",ROUND(I336*(1-IF(ISBLANK(L336),K336,L336)/100),2),ROUND(J336*(1-IF(ISBLANK(L336),K336,L336)/100),2))</f>
      </c>
      <c r="N336" s="7" t="str">
        <f>IF(NOT(AND(J336="",L336="")),IF(OR(AND(L336&lt;&gt;"",NOT(ISNUMBER(L336))),IFERROR(MOD(L336,1),1)&gt;0,AND(ISNUMBER(L336),OR(L336&lt;0,L336&gt;95))),"Введите целое число от 0 до 95",IF(OR(AND(J336&lt;&gt;"",NOT(ISNUMBER(J336))),IFERROR(MOD(J336,1),1)&gt;0,AND(ISNUMBER(J336),OR(J336&lt;50,J336&gt;20000000))),"Введите целое число от 50 до 20000000",IF(NOT(ABS(IFERROR(VALUE(LEFT(M336,FIND("-",M336)-1)),M336)*100-(2500+2000000000)/2)&lt;=ABS(2500-2000000000)/2),"Цена со скидкой должна быть от 25 до 20000000",IF(AND(IFERROR(VALUE(LEFT(M336,FIND("-",M336)-1)),M336)*150&lt;=727319,IFERROR(VALUE(LEFT(M336,FIND("-",M336)-1)),M336)*200&gt;727319),"Вы уменьшили цену в несколько раз, товар попадет в карантин цен",IF(IFERROR(VALUE(LEFT(M336,FIND("-",M336)-1)),M336)*200&lt;=727319,"Не сохранили изменения, чтобы защитить от ошибки — новые цены меньше текущих более чем в 2 раза. Снижайте их постепенно",IF(AND(IFERROR(VALUE(I336),0)=0,ISNUMBER(J336),OR(J336&lt;454,ABS(IFERROR(VALUE(LEFT(M336,FIND("-",M336)-1)),M336))*100&lt;45400)),"Проверьте цену товара. Большинство товаров в выбранной категории стоят дороже 454","")))))),"")</f>
      </c>
    </row>
    <row r="337">
      <c r="A337" s="2" t="inlineStr">
        <is>
          <t/>
        </is>
      </c>
      <c r="B337" s="2" t="inlineStr">
        <is>
          <t>Измельчители механические</t>
        </is>
      </c>
      <c r="C337" s="2">
        <v>600647805</v>
      </c>
      <c r="D337" s="2" t="inlineStr">
        <is>
          <t>523570</t>
        </is>
      </c>
      <c r="E337" s="2" t="inlineStr">
        <is>
          <t>2047129194348</t>
        </is>
      </c>
      <c r="F337" s="2">
        <v>0</v>
      </c>
      <c r="G337" s="2">
        <v>0</v>
      </c>
      <c r="H337" s="2" t="inlineStr">
        <is>
          <t/>
        </is>
      </c>
      <c r="I337" s="2" t="inlineStr">
        <is>
          <t>8252</t>
        </is>
      </c>
      <c r="J337" s="4"/>
      <c r="K337" s="2">
        <v>65</v>
      </c>
      <c r="L337" s="6"/>
      <c r="M337" s="2" t="str">
        <f>IF(J337="",ROUND(I337*(1-IF(ISBLANK(L337),K337,L337)/100),2),ROUND(J337*(1-IF(ISBLANK(L337),K337,L337)/100),2))</f>
      </c>
      <c r="N337" s="7" t="str">
        <f>IF(NOT(AND(J337="",L337="")),IF(OR(AND(L337&lt;&gt;"",NOT(ISNUMBER(L337))),IFERROR(MOD(L337,1),1)&gt;0,AND(ISNUMBER(L337),OR(L337&lt;0,L337&gt;95))),"Введите целое число от 0 до 95",IF(OR(AND(J337&lt;&gt;"",NOT(ISNUMBER(J337))),IFERROR(MOD(J337,1),1)&gt;0,AND(ISNUMBER(J337),OR(J337&lt;50,J337&gt;20000000))),"Введите целое число от 50 до 20000000",IF(NOT(ABS(IFERROR(VALUE(LEFT(M337,FIND("-",M337)-1)),M337)*100-(2500+2000000000)/2)&lt;=ABS(2500-2000000000)/2),"Цена со скидкой должна быть от 25 до 20000000",IF(AND(IFERROR(VALUE(LEFT(M337,FIND("-",M337)-1)),M337)*150&lt;=288820,IFERROR(VALUE(LEFT(M337,FIND("-",M337)-1)),M337)*200&gt;288820),"Вы уменьшили цену в несколько раз, товар попадет в карантин цен",IF(IFERROR(VALUE(LEFT(M337,FIND("-",M337)-1)),M337)*200&lt;=288820,"Не сохранили изменения, чтобы защитить от ошибки — новые цены меньше текущих более чем в 2 раза. Снижайте их постепенно",IF(AND(IFERROR(VALUE(I337),0)=0,ISNUMBER(J337),OR(J337&lt;421,ABS(IFERROR(VALUE(LEFT(M337,FIND("-",M337)-1)),M337))*100&lt;42100)),"Проверьте цену товара. Большинство товаров в выбранной категории стоят дороже 421","")))))),"")</f>
      </c>
    </row>
    <row r="338">
      <c r="A338" s="2" t="inlineStr">
        <is>
          <t/>
        </is>
      </c>
      <c r="B338" s="2" t="inlineStr">
        <is>
          <t>Мясорубки электрические</t>
        </is>
      </c>
      <c r="C338" s="2">
        <v>603737970</v>
      </c>
      <c r="D338" s="2" t="inlineStr">
        <is>
          <t>192549</t>
        </is>
      </c>
      <c r="E338" s="2" t="inlineStr">
        <is>
          <t>2047148006530</t>
        </is>
      </c>
      <c r="F338" s="2">
        <v>0</v>
      </c>
      <c r="G338" s="2">
        <v>1</v>
      </c>
      <c r="H338" s="2" t="inlineStr">
        <is>
          <t/>
        </is>
      </c>
      <c r="I338" s="2" t="inlineStr">
        <is>
          <t>28080</t>
        </is>
      </c>
      <c r="J338" s="4"/>
      <c r="K338" s="2">
        <v>80</v>
      </c>
      <c r="L338" s="6"/>
      <c r="M338" s="2" t="str">
        <f>IF(J338="",ROUND(I338*(1-IF(ISBLANK(L338),K338,L338)/100),2),ROUND(J338*(1-IF(ISBLANK(L338),K338,L338)/100),2))</f>
      </c>
      <c r="N338" s="7" t="str">
        <f>IF(NOT(AND(J338="",L338="")),IF(OR(AND(L338&lt;&gt;"",NOT(ISNUMBER(L338))),IFERROR(MOD(L338,1),1)&gt;0,AND(ISNUMBER(L338),OR(L338&lt;0,L338&gt;95))),"Введите целое число от 0 до 95",IF(OR(AND(J338&lt;&gt;"",NOT(ISNUMBER(J338))),IFERROR(MOD(J338,1),1)&gt;0,AND(ISNUMBER(J338),OR(J338&lt;50,J338&gt;20000000))),"Введите целое число от 50 до 20000000",IF(NOT(ABS(IFERROR(VALUE(LEFT(M338,FIND("-",M338)-1)),M338)*100-(2500+2000000000)/2)&lt;=ABS(2500-2000000000)/2),"Цена со скидкой должна быть от 25 до 20000000",IF(AND(IFERROR(VALUE(LEFT(M338,FIND("-",M338)-1)),M338)*150&lt;=561599,IFERROR(VALUE(LEFT(M338,FIND("-",M338)-1)),M338)*200&gt;561599),"Вы уменьшили цену в несколько раз, товар попадет в карантин цен",IF(IFERROR(VALUE(LEFT(M338,FIND("-",M338)-1)),M338)*200&lt;=561599,"Не сохранили изменения, чтобы защитить от ошибки — новые цены меньше текущих более чем в 2 раза. Снижайте их постепенно",IF(AND(IFERROR(VALUE(I338),0)=0,ISNUMBER(J338),OR(J338&lt;454,ABS(IFERROR(VALUE(LEFT(M338,FIND("-",M338)-1)),M338))*100&lt;45400)),"Проверьте цену товара. Большинство товаров в выбранной категории стоят дороже 454","")))))),"")</f>
      </c>
    </row>
    <row r="339">
      <c r="A339" s="2" t="inlineStr">
        <is>
          <t/>
        </is>
      </c>
      <c r="B339" s="2" t="inlineStr">
        <is>
          <t>Кухонные весы</t>
        </is>
      </c>
      <c r="C339" s="2">
        <v>603732277</v>
      </c>
      <c r="D339" s="2" t="inlineStr">
        <is>
          <t>192601</t>
        </is>
      </c>
      <c r="E339" s="2" t="inlineStr">
        <is>
          <t>2047147940491</t>
        </is>
      </c>
      <c r="F339" s="2">
        <v>0</v>
      </c>
      <c r="G339" s="2">
        <v>18</v>
      </c>
      <c r="H339" s="2" t="inlineStr">
        <is>
          <t/>
        </is>
      </c>
      <c r="I339" s="2" t="inlineStr">
        <is>
          <t>5380</t>
        </is>
      </c>
      <c r="J339" s="4"/>
      <c r="K339" s="2">
        <v>78</v>
      </c>
      <c r="L339" s="6"/>
      <c r="M339" s="2" t="str">
        <f>IF(J339="",ROUND(I339*(1-IF(ISBLANK(L339),K339,L339)/100),2),ROUND(J339*(1-IF(ISBLANK(L339),K339,L339)/100),2))</f>
      </c>
      <c r="N339" s="7" t="str">
        <f>IF(NOT(AND(J339="",L339="")),IF(OR(AND(L339&lt;&gt;"",NOT(ISNUMBER(L339))),IFERROR(MOD(L339,1),1)&gt;0,AND(ISNUMBER(L339),OR(L339&lt;0,L339&gt;95))),"Введите целое число от 0 до 95",IF(OR(AND(J339&lt;&gt;"",NOT(ISNUMBER(J339))),IFERROR(MOD(J339,1),1)&gt;0,AND(ISNUMBER(J339),OR(J339&lt;50,J339&gt;20000000))),"Введите целое число от 50 до 20000000",IF(NOT(ABS(IFERROR(VALUE(LEFT(M339,FIND("-",M339)-1)),M339)*100-(2500+2000000000)/2)&lt;=ABS(2500-2000000000)/2),"Цена со скидкой должна быть от 25 до 20000000",IF(AND(IFERROR(VALUE(LEFT(M339,FIND("-",M339)-1)),M339)*150&lt;=118359,IFERROR(VALUE(LEFT(M339,FIND("-",M339)-1)),M339)*200&gt;118359),"Вы уменьшили цену в несколько раз, товар попадет в карантин цен",IF(IFERROR(VALUE(LEFT(M339,FIND("-",M339)-1)),M339)*200&lt;=118359,"Не сохранили изменения, чтобы защитить от ошибки — новые цены меньше текущих более чем в 2 раза. Снижайте их постепенно",IF(AND(IFERROR(VALUE(I339),0)=0,ISNUMBER(J339),OR(J339&lt;214,ABS(IFERROR(VALUE(LEFT(M339,FIND("-",M339)-1)),M339))*100&lt;21400)),"Проверьте цену товара. Большинство товаров в выбранной категории стоят дороже 214","")))))),"")</f>
      </c>
    </row>
    <row r="340">
      <c r="A340" s="2" t="inlineStr">
        <is>
          <t/>
        </is>
      </c>
      <c r="B340" s="2" t="inlineStr">
        <is>
          <t>Жаровни</t>
        </is>
      </c>
      <c r="C340" s="2">
        <v>618397981</v>
      </c>
      <c r="D340" s="2" t="inlineStr">
        <is>
          <t>27080</t>
        </is>
      </c>
      <c r="E340" s="2" t="inlineStr">
        <is>
          <t>2047308722904</t>
        </is>
      </c>
      <c r="F340" s="2">
        <v>0</v>
      </c>
      <c r="G340" s="2">
        <v>0</v>
      </c>
      <c r="H340" s="2" t="inlineStr">
        <is>
          <t/>
        </is>
      </c>
      <c r="I340" s="2" t="inlineStr">
        <is>
          <t>19034</t>
        </is>
      </c>
      <c r="J340" s="4"/>
      <c r="K340" s="2">
        <v>65</v>
      </c>
      <c r="L340" s="6"/>
      <c r="M340" s="2" t="str">
        <f>IF(J340="",ROUND(I340*(1-IF(ISBLANK(L340),K340,L340)/100),2),ROUND(J340*(1-IF(ISBLANK(L340),K340,L340)/100),2))</f>
      </c>
      <c r="N340" s="7" t="str">
        <f>IF(NOT(AND(J340="",L340="")),IF(OR(AND(L340&lt;&gt;"",NOT(ISNUMBER(L340))),IFERROR(MOD(L340,1),1)&gt;0,AND(ISNUMBER(L340),OR(L340&lt;0,L340&gt;95))),"Введите целое число от 0 до 95",IF(OR(AND(J340&lt;&gt;"",NOT(ISNUMBER(J340))),IFERROR(MOD(J340,1),1)&gt;0,AND(ISNUMBER(J340),OR(J340&lt;50,J340&gt;20000000))),"Введите целое число от 50 до 20000000",IF(NOT(ABS(IFERROR(VALUE(LEFT(M340,FIND("-",M340)-1)),M340)*100-(2500+2000000000)/2)&lt;=ABS(2500-2000000000)/2),"Цена со скидкой должна быть от 25 до 20000000",IF(AND(IFERROR(VALUE(LEFT(M340,FIND("-",M340)-1)),M340)*150&lt;=666190,IFERROR(VALUE(LEFT(M340,FIND("-",M340)-1)),M340)*200&gt;666190),"Вы уменьшили цену в несколько раз, товар попадет в карантин цен",IF(IFERROR(VALUE(LEFT(M340,FIND("-",M340)-1)),M340)*200&lt;=666190,"Не сохранили изменения, чтобы защитить от ошибки — новые цены меньше текущих более чем в 2 раза. Снижайте их постепенно",IF(AND(IFERROR(VALUE(I340),0)=0,ISNUMBER(J340),OR(J340&lt;722,ABS(IFERROR(VALUE(LEFT(M340,FIND("-",M340)-1)),M340))*100&lt;72200)),"Проверьте цену товара. Большинство товаров в выбранной категории стоят дороже 722","")))))),"")</f>
      </c>
    </row>
    <row r="341">
      <c r="A341" s="2" t="inlineStr">
        <is>
          <t/>
        </is>
      </c>
      <c r="B341" s="2" t="inlineStr">
        <is>
          <t>Швабры</t>
        </is>
      </c>
      <c r="C341" s="2">
        <v>766661016</v>
      </c>
      <c r="D341" s="2" t="inlineStr">
        <is>
          <t>457493</t>
        </is>
      </c>
      <c r="E341" s="2" t="inlineStr">
        <is>
          <t>2048435646095</t>
        </is>
      </c>
      <c r="F341" s="2">
        <v>4</v>
      </c>
      <c r="G341" s="2">
        <v>54</v>
      </c>
      <c r="H341" s="2">
        <v>999</v>
      </c>
      <c r="I341" s="2" t="inlineStr">
        <is>
          <t>20453</t>
        </is>
      </c>
      <c r="J341" s="4"/>
      <c r="K341" s="2">
        <v>80</v>
      </c>
      <c r="L341" s="6"/>
      <c r="M341" s="2" t="str">
        <f>IF(J341="",ROUND(I341*(1-IF(ISBLANK(L341),K341,L341)/100),2),ROUND(J341*(1-IF(ISBLANK(L341),K341,L341)/100),2))</f>
      </c>
      <c r="N341" s="7" t="str">
        <f>IF(NOT(AND(J341="",L341="")),IF(OR(AND(L341&lt;&gt;"",NOT(ISNUMBER(L341))),IFERROR(MOD(L341,1),1)&gt;0,AND(ISNUMBER(L341),OR(L341&lt;0,L341&gt;95))),"Введите целое число от 0 до 95",IF(OR(AND(J341&lt;&gt;"",NOT(ISNUMBER(J341))),IFERROR(MOD(J341,1),1)&gt;0,AND(ISNUMBER(J341),OR(J341&lt;50,J341&gt;20000000))),"Введите целое число от 50 до 20000000",IF(NOT(ABS(IFERROR(VALUE(LEFT(M341,FIND("-",M341)-1)),M341)*100-(2500+2000000000)/2)&lt;=ABS(2500-2000000000)/2),"Цена со скидкой должна быть от 25 до 20000000",IF(AND(IFERROR(VALUE(LEFT(M341,FIND("-",M341)-1)),M341)*150&lt;=409059,IFERROR(VALUE(LEFT(M341,FIND("-",M341)-1)),M341)*200&gt;409059),"Вы уменьшили цену в несколько раз, товар попадет в карантин цен",IF(IFERROR(VALUE(LEFT(M341,FIND("-",M341)-1)),M341)*200&lt;=409059,"Не сохранили изменения, чтобы защитить от ошибки — новые цены меньше текущих более чем в 2 раза. Снижайте их постепенно",IF(AND(IFERROR(VALUE(I341),0)=0,ISNUMBER(J341),OR(J341&lt;448,ABS(IFERROR(VALUE(LEFT(M341,FIND("-",M341)-1)),M341))*100&lt;44800)),"Проверьте цену товара. Большинство товаров в выбранной категории стоят дороже 448","")))))),"")</f>
      </c>
    </row>
    <row r="342">
      <c r="A342" s="2" t="inlineStr">
        <is>
          <t/>
        </is>
      </c>
      <c r="B342" s="2" t="inlineStr">
        <is>
          <t>Кухонные весы</t>
        </is>
      </c>
      <c r="C342" s="2">
        <v>603732280</v>
      </c>
      <c r="D342" s="2" t="inlineStr">
        <is>
          <t>192637</t>
        </is>
      </c>
      <c r="E342" s="2" t="inlineStr">
        <is>
          <t>2047147940552</t>
        </is>
      </c>
      <c r="F342" s="2">
        <v>0</v>
      </c>
      <c r="G342" s="2">
        <v>0</v>
      </c>
      <c r="H342" s="2" t="inlineStr">
        <is>
          <t/>
        </is>
      </c>
      <c r="I342" s="2" t="inlineStr">
        <is>
          <t>6003</t>
        </is>
      </c>
      <c r="J342" s="4"/>
      <c r="K342" s="2">
        <v>65</v>
      </c>
      <c r="L342" s="6"/>
      <c r="M342" s="2" t="str">
        <f>IF(J342="",ROUND(I342*(1-IF(ISBLANK(L342),K342,L342)/100),2),ROUND(J342*(1-IF(ISBLANK(L342),K342,L342)/100),2))</f>
      </c>
      <c r="N342" s="7" t="str">
        <f>IF(NOT(AND(J342="",L342="")),IF(OR(AND(L342&lt;&gt;"",NOT(ISNUMBER(L342))),IFERROR(MOD(L342,1),1)&gt;0,AND(ISNUMBER(L342),OR(L342&lt;0,L342&gt;95))),"Введите целое число от 0 до 95",IF(OR(AND(J342&lt;&gt;"",NOT(ISNUMBER(J342))),IFERROR(MOD(J342,1),1)&gt;0,AND(ISNUMBER(J342),OR(J342&lt;50,J342&gt;20000000))),"Введите целое число от 50 до 20000000",IF(NOT(ABS(IFERROR(VALUE(LEFT(M342,FIND("-",M342)-1)),M342)*100-(2500+2000000000)/2)&lt;=ABS(2500-2000000000)/2),"Цена со скидкой должна быть от 25 до 20000000",IF(AND(IFERROR(VALUE(LEFT(M342,FIND("-",M342)-1)),M342)*150&lt;=210104,IFERROR(VALUE(LEFT(M342,FIND("-",M342)-1)),M342)*200&gt;210104),"Вы уменьшили цену в несколько раз, товар попадет в карантин цен",IF(IFERROR(VALUE(LEFT(M342,FIND("-",M342)-1)),M342)*200&lt;=210104,"Не сохранили изменения, чтобы защитить от ошибки — новые цены меньше текущих более чем в 2 раза. Снижайте их постепенно",IF(AND(IFERROR(VALUE(I342),0)=0,ISNUMBER(J342),OR(J342&lt;214,ABS(IFERROR(VALUE(LEFT(M342,FIND("-",M342)-1)),M342))*100&lt;21400)),"Проверьте цену товара. Большинство товаров в выбранной категории стоят дороже 214","")))))),"")</f>
      </c>
    </row>
    <row r="343">
      <c r="A343" s="2" t="inlineStr">
        <is>
          <t/>
        </is>
      </c>
      <c r="B343" s="2" t="inlineStr">
        <is>
          <t>Швабры</t>
        </is>
      </c>
      <c r="C343" s="2">
        <v>766661017</v>
      </c>
      <c r="D343" s="2" t="inlineStr">
        <is>
          <t>513882</t>
        </is>
      </c>
      <c r="E343" s="2" t="inlineStr">
        <is>
          <t>2048435646101</t>
        </is>
      </c>
      <c r="F343" s="2">
        <v>0</v>
      </c>
      <c r="G343" s="2">
        <v>0</v>
      </c>
      <c r="H343" s="2" t="inlineStr">
        <is>
          <t/>
        </is>
      </c>
      <c r="I343" s="2" t="inlineStr">
        <is>
          <t>14443</t>
        </is>
      </c>
      <c r="J343" s="4"/>
      <c r="K343" s="2">
        <v>65</v>
      </c>
      <c r="L343" s="6"/>
      <c r="M343" s="2" t="str">
        <f>IF(J343="",ROUND(I343*(1-IF(ISBLANK(L343),K343,L343)/100),2),ROUND(J343*(1-IF(ISBLANK(L343),K343,L343)/100),2))</f>
      </c>
      <c r="N343" s="7" t="str">
        <f>IF(NOT(AND(J343="",L343="")),IF(OR(AND(L343&lt;&gt;"",NOT(ISNUMBER(L343))),IFERROR(MOD(L343,1),1)&gt;0,AND(ISNUMBER(L343),OR(L343&lt;0,L343&gt;95))),"Введите целое число от 0 до 95",IF(OR(AND(J343&lt;&gt;"",NOT(ISNUMBER(J343))),IFERROR(MOD(J343,1),1)&gt;0,AND(ISNUMBER(J343),OR(J343&lt;50,J343&gt;20000000))),"Введите целое число от 50 до 20000000",IF(NOT(ABS(IFERROR(VALUE(LEFT(M343,FIND("-",M343)-1)),M343)*100-(2500+2000000000)/2)&lt;=ABS(2500-2000000000)/2),"Цена со скидкой должна быть от 25 до 20000000",IF(AND(IFERROR(VALUE(LEFT(M343,FIND("-",M343)-1)),M343)*150&lt;=505504,IFERROR(VALUE(LEFT(M343,FIND("-",M343)-1)),M343)*200&gt;505504),"Вы уменьшили цену в несколько раз, товар попадет в карантин цен",IF(IFERROR(VALUE(LEFT(M343,FIND("-",M343)-1)),M343)*200&lt;=505504,"Не сохранили изменения, чтобы защитить от ошибки — новые цены меньше текущих более чем в 2 раза. Снижайте их постепенно",IF(AND(IFERROR(VALUE(I343),0)=0,ISNUMBER(J343),OR(J343&lt;448,ABS(IFERROR(VALUE(LEFT(M343,FIND("-",M343)-1)),M343))*100&lt;44800)),"Проверьте цену товара. Большинство товаров в выбранной категории стоят дороже 448","")))))),"")</f>
      </c>
    </row>
    <row r="344">
      <c r="A344" s="2" t="inlineStr">
        <is>
          <t/>
        </is>
      </c>
      <c r="B344" s="2" t="inlineStr">
        <is>
          <t>Формы для запекания</t>
        </is>
      </c>
      <c r="C344" s="2">
        <v>618382636</v>
      </c>
      <c r="D344" s="2" t="inlineStr">
        <is>
          <t>120116</t>
        </is>
      </c>
      <c r="E344" s="2" t="inlineStr">
        <is>
          <t>2047308549464</t>
        </is>
      </c>
      <c r="F344" s="2">
        <v>0</v>
      </c>
      <c r="G344" s="2">
        <v>4</v>
      </c>
      <c r="H344" s="2" t="inlineStr">
        <is>
          <t/>
        </is>
      </c>
      <c r="I344" s="2" t="inlineStr">
        <is>
          <t>13051</t>
        </is>
      </c>
      <c r="J344" s="4"/>
      <c r="K344" s="2">
        <v>80</v>
      </c>
      <c r="L344" s="6"/>
      <c r="M344" s="2" t="str">
        <f>IF(J344="",ROUND(I344*(1-IF(ISBLANK(L344),K344,L344)/100),2),ROUND(J344*(1-IF(ISBLANK(L344),K344,L344)/100),2))</f>
      </c>
      <c r="N344" s="7" t="str">
        <f>IF(NOT(AND(J344="",L344="")),IF(OR(AND(L344&lt;&gt;"",NOT(ISNUMBER(L344))),IFERROR(MOD(L344,1),1)&gt;0,AND(ISNUMBER(L344),OR(L344&lt;0,L344&gt;95))),"Введите целое число от 0 до 95",IF(OR(AND(J344&lt;&gt;"",NOT(ISNUMBER(J344))),IFERROR(MOD(J344,1),1)&gt;0,AND(ISNUMBER(J344),OR(J344&lt;50,J344&gt;20000000))),"Введите целое число от 50 до 20000000",IF(NOT(ABS(IFERROR(VALUE(LEFT(M344,FIND("-",M344)-1)),M344)*100-(2500+2000000000)/2)&lt;=ABS(2500-2000000000)/2),"Цена со скидкой должна быть от 25 до 20000000",IF(AND(IFERROR(VALUE(LEFT(M344,FIND("-",M344)-1)),M344)*150&lt;=261019,IFERROR(VALUE(LEFT(M344,FIND("-",M344)-1)),M344)*200&gt;261019),"Вы уменьшили цену в несколько раз, товар попадет в карантин цен",IF(IFERROR(VALUE(LEFT(M344,FIND("-",M344)-1)),M344)*200&lt;=261019,"Не сохранили изменения, чтобы защитить от ошибки — новые цены меньше текущих более чем в 2 раза. Снижайте их постепенно",IF(AND(IFERROR(VALUE(I344),0)=0,ISNUMBER(J344),OR(J344&lt;290,ABS(IFERROR(VALUE(LEFT(M344,FIND("-",M344)-1)),M344))*100&lt;29000)),"Проверьте цену товара. Большинство товаров в выбранной категории стоят дороже 290","")))))),"")</f>
      </c>
    </row>
    <row r="345">
      <c r="A345" s="2" t="inlineStr">
        <is>
          <t/>
        </is>
      </c>
      <c r="B345" s="2" t="inlineStr">
        <is>
          <t>Швабры</t>
        </is>
      </c>
      <c r="C345" s="2">
        <v>766661014</v>
      </c>
      <c r="D345" s="2" t="inlineStr">
        <is>
          <t>457494</t>
        </is>
      </c>
      <c r="E345" s="2" t="inlineStr">
        <is>
          <t>2048435646071</t>
        </is>
      </c>
      <c r="F345" s="2">
        <v>3</v>
      </c>
      <c r="G345" s="2">
        <v>52</v>
      </c>
      <c r="H345" s="2">
        <v>999</v>
      </c>
      <c r="I345" s="2" t="inlineStr">
        <is>
          <t>27623</t>
        </is>
      </c>
      <c r="J345" s="4"/>
      <c r="K345" s="2">
        <v>81</v>
      </c>
      <c r="L345" s="6"/>
      <c r="M345" s="2" t="str">
        <f>IF(J345="",ROUND(I345*(1-IF(ISBLANK(L345),K345,L345)/100),2),ROUND(J345*(1-IF(ISBLANK(L345),K345,L345)/100),2))</f>
      </c>
      <c r="N345" s="7" t="str">
        <f>IF(NOT(AND(J345="",L345="")),IF(OR(AND(L345&lt;&gt;"",NOT(ISNUMBER(L345))),IFERROR(MOD(L345,1),1)&gt;0,AND(ISNUMBER(L345),OR(L345&lt;0,L345&gt;95))),"Введите целое число от 0 до 95",IF(OR(AND(J345&lt;&gt;"",NOT(ISNUMBER(J345))),IFERROR(MOD(J345,1),1)&gt;0,AND(ISNUMBER(J345),OR(J345&lt;50,J345&gt;20000000))),"Введите целое число от 50 до 20000000",IF(NOT(ABS(IFERROR(VALUE(LEFT(M345,FIND("-",M345)-1)),M345)*100-(2500+2000000000)/2)&lt;=ABS(2500-2000000000)/2),"Цена со скидкой должна быть от 25 до 20000000",IF(AND(IFERROR(VALUE(LEFT(M345,FIND("-",M345)-1)),M345)*150&lt;=524836,IFERROR(VALUE(LEFT(M345,FIND("-",M345)-1)),M345)*200&gt;524836),"Вы уменьшили цену в несколько раз, товар попадет в карантин цен",IF(IFERROR(VALUE(LEFT(M345,FIND("-",M345)-1)),M345)*200&lt;=524836,"Не сохранили изменения, чтобы защитить от ошибки — новые цены меньше текущих более чем в 2 раза. Снижайте их постепенно",IF(AND(IFERROR(VALUE(I345),0)=0,ISNUMBER(J345),OR(J345&lt;448,ABS(IFERROR(VALUE(LEFT(M345,FIND("-",M345)-1)),M345))*100&lt;44800)),"Проверьте цену товара. Большинство товаров в выбранной категории стоят дороже 448","")))))),"")</f>
      </c>
    </row>
    <row r="346">
      <c r="A346" s="2" t="inlineStr">
        <is>
          <t/>
        </is>
      </c>
      <c r="B346" s="2" t="inlineStr">
        <is>
          <t>Грили электрические</t>
        </is>
      </c>
      <c r="C346" s="2">
        <v>603736230</v>
      </c>
      <c r="D346" s="2" t="inlineStr">
        <is>
          <t>192654</t>
        </is>
      </c>
      <c r="E346" s="2" t="inlineStr">
        <is>
          <t>2047147983283</t>
        </is>
      </c>
      <c r="F346" s="2">
        <v>0</v>
      </c>
      <c r="G346" s="2">
        <v>1</v>
      </c>
      <c r="H346" s="2" t="inlineStr">
        <is>
          <t/>
        </is>
      </c>
      <c r="I346" s="2" t="inlineStr">
        <is>
          <t>30504</t>
        </is>
      </c>
      <c r="J346" s="4"/>
      <c r="K346" s="2">
        <v>80</v>
      </c>
      <c r="L346" s="6"/>
      <c r="M346" s="2" t="str">
        <f>IF(J346="",ROUND(I346*(1-IF(ISBLANK(L346),K346,L346)/100),2),ROUND(J346*(1-IF(ISBLANK(L346),K346,L346)/100),2))</f>
      </c>
      <c r="N346" s="7" t="str">
        <f>IF(NOT(AND(J346="",L346="")),IF(OR(AND(L346&lt;&gt;"",NOT(ISNUMBER(L346))),IFERROR(MOD(L346,1),1)&gt;0,AND(ISNUMBER(L346),OR(L346&lt;0,L346&gt;95))),"Введите целое число от 0 до 95",IF(OR(AND(J346&lt;&gt;"",NOT(ISNUMBER(J346))),IFERROR(MOD(J346,1),1)&gt;0,AND(ISNUMBER(J346),OR(J346&lt;50,J346&gt;20000000))),"Введите целое число от 50 до 20000000",IF(NOT(ABS(IFERROR(VALUE(LEFT(M346,FIND("-",M346)-1)),M346)*100-(2500+2000000000)/2)&lt;=ABS(2500-2000000000)/2),"Цена со скидкой должна быть от 25 до 20000000",IF(AND(IFERROR(VALUE(LEFT(M346,FIND("-",M346)-1)),M346)*150&lt;=610079,IFERROR(VALUE(LEFT(M346,FIND("-",M346)-1)),M346)*200&gt;610079),"Вы уменьшили цену в несколько раз, товар попадет в карантин цен",IF(IFERROR(VALUE(LEFT(M346,FIND("-",M346)-1)),M346)*200&lt;=610079,"Не сохранили изменения, чтобы защитить от ошибки — новые цены меньше текущих более чем в 2 раза. Снижайте их постепенно",IF(AND(IFERROR(VALUE(I346),0)=0,ISNUMBER(J346),OR(J346&lt;337,ABS(IFERROR(VALUE(LEFT(M346,FIND("-",M346)-1)),M346))*100&lt;33700)),"Проверьте цену товара. Большинство товаров в выбранной категории стоят дороже 337","")))))),"")</f>
      </c>
    </row>
    <row r="347">
      <c r="A347" s="2" t="inlineStr">
        <is>
          <t/>
        </is>
      </c>
      <c r="B347" s="2" t="inlineStr">
        <is>
          <t>Жаровни</t>
        </is>
      </c>
      <c r="C347" s="2">
        <v>618397982</v>
      </c>
      <c r="D347" s="2" t="inlineStr">
        <is>
          <t>27122</t>
        </is>
      </c>
      <c r="E347" s="2" t="inlineStr">
        <is>
          <t>2047308722935</t>
        </is>
      </c>
      <c r="F347" s="2">
        <v>0</v>
      </c>
      <c r="G347" s="2">
        <v>0</v>
      </c>
      <c r="H347" s="2" t="inlineStr">
        <is>
          <t/>
        </is>
      </c>
      <c r="I347" s="2" t="inlineStr">
        <is>
          <t>21814</t>
        </is>
      </c>
      <c r="J347" s="4"/>
      <c r="K347" s="2">
        <v>65</v>
      </c>
      <c r="L347" s="6"/>
      <c r="M347" s="2" t="str">
        <f>IF(J347="",ROUND(I347*(1-IF(ISBLANK(L347),K347,L347)/100),2),ROUND(J347*(1-IF(ISBLANK(L347),K347,L347)/100),2))</f>
      </c>
      <c r="N347" s="7" t="str">
        <f>IF(NOT(AND(J347="",L347="")),IF(OR(AND(L347&lt;&gt;"",NOT(ISNUMBER(L347))),IFERROR(MOD(L347,1),1)&gt;0,AND(ISNUMBER(L347),OR(L347&lt;0,L347&gt;95))),"Введите целое число от 0 до 95",IF(OR(AND(J347&lt;&gt;"",NOT(ISNUMBER(J347))),IFERROR(MOD(J347,1),1)&gt;0,AND(ISNUMBER(J347),OR(J347&lt;50,J347&gt;20000000))),"Введите целое число от 50 до 20000000",IF(NOT(ABS(IFERROR(VALUE(LEFT(M347,FIND("-",M347)-1)),M347)*100-(2500+2000000000)/2)&lt;=ABS(2500-2000000000)/2),"Цена со скидкой должна быть от 25 до 20000000",IF(AND(IFERROR(VALUE(LEFT(M347,FIND("-",M347)-1)),M347)*150&lt;=763490,IFERROR(VALUE(LEFT(M347,FIND("-",M347)-1)),M347)*200&gt;763490),"Вы уменьшили цену в несколько раз, товар попадет в карантин цен",IF(IFERROR(VALUE(LEFT(M347,FIND("-",M347)-1)),M347)*200&lt;=763490,"Не сохранили изменения, чтобы защитить от ошибки — новые цены меньше текущих более чем в 2 раза. Снижайте их постепенно",IF(AND(IFERROR(VALUE(I347),0)=0,ISNUMBER(J347),OR(J347&lt;722,ABS(IFERROR(VALUE(LEFT(M347,FIND("-",M347)-1)),M347))*100&lt;72200)),"Проверьте цену товара. Большинство товаров в выбранной категории стоят дороже 722","")))))),"")</f>
      </c>
    </row>
    <row r="348">
      <c r="A348" s="2" t="inlineStr">
        <is>
          <t/>
        </is>
      </c>
      <c r="B348" s="2" t="inlineStr">
        <is>
          <t>Жаровни</t>
        </is>
      </c>
      <c r="C348" s="2">
        <v>618397983</v>
      </c>
      <c r="D348" s="2" t="inlineStr">
        <is>
          <t>27123</t>
        </is>
      </c>
      <c r="E348" s="2" t="inlineStr">
        <is>
          <t>2047308722942</t>
        </is>
      </c>
      <c r="F348" s="2">
        <v>0</v>
      </c>
      <c r="G348" s="2">
        <v>2</v>
      </c>
      <c r="H348" s="2" t="inlineStr">
        <is>
          <t/>
        </is>
      </c>
      <c r="I348" s="2" t="inlineStr">
        <is>
          <t>20380</t>
        </is>
      </c>
      <c r="J348" s="4"/>
      <c r="K348" s="2">
        <v>80</v>
      </c>
      <c r="L348" s="6"/>
      <c r="M348" s="2" t="str">
        <f>IF(J348="",ROUND(I348*(1-IF(ISBLANK(L348),K348,L348)/100),2),ROUND(J348*(1-IF(ISBLANK(L348),K348,L348)/100),2))</f>
      </c>
      <c r="N348" s="7" t="str">
        <f>IF(NOT(AND(J348="",L348="")),IF(OR(AND(L348&lt;&gt;"",NOT(ISNUMBER(L348))),IFERROR(MOD(L348,1),1)&gt;0,AND(ISNUMBER(L348),OR(L348&lt;0,L348&gt;95))),"Введите целое число от 0 до 95",IF(OR(AND(J348&lt;&gt;"",NOT(ISNUMBER(J348))),IFERROR(MOD(J348,1),1)&gt;0,AND(ISNUMBER(J348),OR(J348&lt;50,J348&gt;20000000))),"Введите целое число от 50 до 20000000",IF(NOT(ABS(IFERROR(VALUE(LEFT(M348,FIND("-",M348)-1)),M348)*100-(2500+2000000000)/2)&lt;=ABS(2500-2000000000)/2),"Цена со скидкой должна быть от 25 до 20000000",IF(AND(IFERROR(VALUE(LEFT(M348,FIND("-",M348)-1)),M348)*150&lt;=407599,IFERROR(VALUE(LEFT(M348,FIND("-",M348)-1)),M348)*200&gt;407599),"Вы уменьшили цену в несколько раз, товар попадет в карантин цен",IF(IFERROR(VALUE(LEFT(M348,FIND("-",M348)-1)),M348)*200&lt;=407599,"Не сохранили изменения, чтобы защитить от ошибки — новые цены меньше текущих более чем в 2 раза. Снижайте их постепенно",IF(AND(IFERROR(VALUE(I348),0)=0,ISNUMBER(J348),OR(J348&lt;722,ABS(IFERROR(VALUE(LEFT(M348,FIND("-",M348)-1)),M348))*100&lt;72200)),"Проверьте цену товара. Большинство товаров в выбранной категории стоят дороже 722","")))))),"")</f>
      </c>
    </row>
    <row r="349">
      <c r="A349" s="2" t="inlineStr">
        <is>
          <t/>
        </is>
      </c>
      <c r="B349" s="2" t="inlineStr">
        <is>
          <t>Сахарницы</t>
        </is>
      </c>
      <c r="C349" s="2">
        <v>600639315</v>
      </c>
      <c r="D349" s="2" t="inlineStr">
        <is>
          <t>076004</t>
        </is>
      </c>
      <c r="E349" s="2" t="inlineStr">
        <is>
          <t>2047129194416</t>
        </is>
      </c>
      <c r="F349" s="2" t="inlineStr">
        <is>
          <t/>
        </is>
      </c>
      <c r="G349" s="2" t="inlineStr">
        <is>
          <t/>
        </is>
      </c>
      <c r="H349" s="2" t="inlineStr">
        <is>
          <t/>
        </is>
      </c>
      <c r="I349" s="2" t="inlineStr">
        <is>
          <t>0</t>
        </is>
      </c>
      <c r="J349" s="4"/>
      <c r="K349" s="2">
        <v>0</v>
      </c>
      <c r="L349" s="6"/>
      <c r="M349" s="2" t="str">
        <f>IF(J349="",ROUND(I349*(1-IF(ISBLANK(L349),K349,L349)/100),2),ROUND(J349*(1-IF(ISBLANK(L349),K349,L349)/100),2))</f>
      </c>
      <c r="N349" s="7" t="str">
        <f>IF(NOT(AND(J349="",L349="")),IF(OR(AND(L349&lt;&gt;"",NOT(ISNUMBER(L349))),IFERROR(MOD(L349,1),1)&gt;0,AND(ISNUMBER(L349),OR(L349&lt;0,L349&gt;95))),"Введите целое число от 0 до 95",IF(OR(AND(J349&lt;&gt;"",NOT(ISNUMBER(J349))),IFERROR(MOD(J349,1),1)&gt;0,AND(ISNUMBER(J349),OR(J349&lt;50,J349&gt;20000000))),"Введите целое число от 50 до 20000000",IF(NOT(ABS(IFERROR(VALUE(LEFT(M349,FIND("-",M349)-1)),M349)*100-(2500+2000000000)/2)&lt;=ABS(2500-2000000000)/2),"Цена со скидкой должна быть от 25 до 20000000",IF(AND(IFERROR(VALUE(LEFT(M349,FIND("-",M349)-1)),M349)*150&lt;=0,IFERROR(VALUE(LEFT(M349,FIND("-",M349)-1)),M349)*200&gt;0),"Вы уменьшили цену в несколько раз, товар попадет в карантин цен",IF(IFERROR(VALUE(LEFT(M349,FIND("-",M349)-1)),M349)*200&lt;=0,"Не сохранили изменения, чтобы защитить от ошибки — новые цены меньше текущих более чем в 2 раза. Снижайте их постепенно",IF(AND(IFERROR(VALUE(I349),0)=0,ISNUMBER(J349),OR(J349&lt;417,ABS(IFERROR(VALUE(LEFT(M349,FIND("-",M349)-1)),M349))*100&lt;41700)),"Проверьте цену товара. Большинство товаров в выбранной категории стоят дороже 417","")))))),"")</f>
      </c>
    </row>
    <row r="350">
      <c r="A350" s="2" t="inlineStr">
        <is>
          <t/>
        </is>
      </c>
      <c r="B350" s="2" t="inlineStr">
        <is>
          <t>Формы для запекания</t>
        </is>
      </c>
      <c r="C350" s="2">
        <v>618382631</v>
      </c>
      <c r="D350" s="2" t="inlineStr">
        <is>
          <t>121755</t>
        </is>
      </c>
      <c r="E350" s="2" t="inlineStr">
        <is>
          <t>2047308549396</t>
        </is>
      </c>
      <c r="F350" s="2">
        <v>0</v>
      </c>
      <c r="G350" s="2">
        <v>0</v>
      </c>
      <c r="H350" s="2" t="inlineStr">
        <is>
          <t/>
        </is>
      </c>
      <c r="I350" s="2" t="inlineStr">
        <is>
          <t>8385</t>
        </is>
      </c>
      <c r="J350" s="4"/>
      <c r="K350" s="2">
        <v>65</v>
      </c>
      <c r="L350" s="6"/>
      <c r="M350" s="2" t="str">
        <f>IF(J350="",ROUND(I350*(1-IF(ISBLANK(L350),K350,L350)/100),2),ROUND(J350*(1-IF(ISBLANK(L350),K350,L350)/100),2))</f>
      </c>
      <c r="N350" s="7" t="str">
        <f>IF(NOT(AND(J350="",L350="")),IF(OR(AND(L350&lt;&gt;"",NOT(ISNUMBER(L350))),IFERROR(MOD(L350,1),1)&gt;0,AND(ISNUMBER(L350),OR(L350&lt;0,L350&gt;95))),"Введите целое число от 0 до 95",IF(OR(AND(J350&lt;&gt;"",NOT(ISNUMBER(J350))),IFERROR(MOD(J350,1),1)&gt;0,AND(ISNUMBER(J350),OR(J350&lt;50,J350&gt;20000000))),"Введите целое число от 50 до 20000000",IF(NOT(ABS(IFERROR(VALUE(LEFT(M350,FIND("-",M350)-1)),M350)*100-(2500+2000000000)/2)&lt;=ABS(2500-2000000000)/2),"Цена со скидкой должна быть от 25 до 20000000",IF(AND(IFERROR(VALUE(LEFT(M350,FIND("-",M350)-1)),M350)*150&lt;=293475,IFERROR(VALUE(LEFT(M350,FIND("-",M350)-1)),M350)*200&gt;293475),"Вы уменьшили цену в несколько раз, товар попадет в карантин цен",IF(IFERROR(VALUE(LEFT(M350,FIND("-",M350)-1)),M350)*200&lt;=293475,"Не сохранили изменения, чтобы защитить от ошибки — новые цены меньше текущих более чем в 2 раза. Снижайте их постепенно",IF(AND(IFERROR(VALUE(I350),0)=0,ISNUMBER(J350),OR(J350&lt;290,ABS(IFERROR(VALUE(LEFT(M350,FIND("-",M350)-1)),M350))*100&lt;29000)),"Проверьте цену товара. Большинство товаров в выбранной категории стоят дороже 290","")))))),"")</f>
      </c>
    </row>
    <row r="351">
      <c r="A351" s="2" t="inlineStr">
        <is>
          <t>Veloria</t>
        </is>
      </c>
      <c r="B351" s="2" t="inlineStr">
        <is>
          <t>Скатерти</t>
        </is>
      </c>
      <c r="C351" s="2">
        <v>727195904</v>
      </c>
      <c r="D351" s="2" t="inlineStr">
        <is>
          <t>434129</t>
        </is>
      </c>
      <c r="E351" s="2" t="inlineStr">
        <is>
          <t>2048060785848</t>
        </is>
      </c>
      <c r="F351" s="2">
        <v>0</v>
      </c>
      <c r="G351" s="2">
        <v>0</v>
      </c>
      <c r="H351" s="2" t="inlineStr">
        <is>
          <t/>
        </is>
      </c>
      <c r="I351" s="2" t="inlineStr">
        <is>
          <t>4300</t>
        </is>
      </c>
      <c r="J351" s="4"/>
      <c r="K351" s="2">
        <v>77</v>
      </c>
      <c r="L351" s="6"/>
      <c r="M351" s="2" t="str">
        <f>IF(J351="",ROUND(I351*(1-IF(ISBLANK(L351),K351,L351)/100),2),ROUND(J351*(1-IF(ISBLANK(L351),K351,L351)/100),2))</f>
      </c>
      <c r="N351" s="7" t="str">
        <f>IF(NOT(AND(J351="",L351="")),IF(OR(AND(L351&lt;&gt;"",NOT(ISNUMBER(L351))),IFERROR(MOD(L351,1),1)&gt;0,AND(ISNUMBER(L351),OR(L351&lt;0,L351&gt;95))),"Введите целое число от 0 до 95",IF(OR(AND(J351&lt;&gt;"",NOT(ISNUMBER(J351))),IFERROR(MOD(J351,1),1)&gt;0,AND(ISNUMBER(J351),OR(J351&lt;50,J351&gt;20000000))),"Введите целое число от 50 до 20000000",IF(NOT(ABS(IFERROR(VALUE(LEFT(M351,FIND("-",M351)-1)),M351)*100-(2500+2000000000)/2)&lt;=ABS(2500-2000000000)/2),"Цена со скидкой должна быть от 25 до 20000000",IF(AND(IFERROR(VALUE(LEFT(M351,FIND("-",M351)-1)),M351)*150&lt;=98899,IFERROR(VALUE(LEFT(M351,FIND("-",M351)-1)),M351)*200&gt;98899),"Вы уменьшили цену в несколько раз, товар попадет в карантин цен",IF(IFERROR(VALUE(LEFT(M351,FIND("-",M351)-1)),M351)*200&lt;=98899,"Не сохранили изменения, чтобы защитить от ошибки — новые цены меньше текущих более чем в 2 раза. Снижайте их постепенно",IF(AND(IFERROR(VALUE(I351),0)=0,ISNUMBER(J351),OR(J351&lt;385,ABS(IFERROR(VALUE(LEFT(M351,FIND("-",M351)-1)),M351))*100&lt;38500)),"Проверьте цену товара. Большинство товаров в выбранной категории стоят дороже 385","")))))),"")</f>
      </c>
    </row>
    <row r="352">
      <c r="A352" s="2" t="inlineStr">
        <is>
          <t/>
        </is>
      </c>
      <c r="B352" s="2" t="inlineStr">
        <is>
          <t>Кастрюли</t>
        </is>
      </c>
      <c r="C352" s="2">
        <v>729145124</v>
      </c>
      <c r="D352" s="2" t="inlineStr">
        <is>
          <t>283289</t>
        </is>
      </c>
      <c r="E352" s="2" t="inlineStr">
        <is>
          <t>2048079111324</t>
        </is>
      </c>
      <c r="F352" s="2">
        <v>2</v>
      </c>
      <c r="G352" s="2">
        <v>0</v>
      </c>
      <c r="H352" s="2">
        <v>999</v>
      </c>
      <c r="I352" s="2" t="inlineStr">
        <is>
          <t>37390</t>
        </is>
      </c>
      <c r="J352" s="4"/>
      <c r="K352" s="2">
        <v>81</v>
      </c>
      <c r="L352" s="6"/>
      <c r="M352" s="2" t="str">
        <f>IF(J352="",ROUND(I352*(1-IF(ISBLANK(L352),K352,L352)/100),2),ROUND(J352*(1-IF(ISBLANK(L352),K352,L352)/100),2))</f>
      </c>
      <c r="N352" s="7" t="str">
        <f>IF(NOT(AND(J352="",L352="")),IF(OR(AND(L352&lt;&gt;"",NOT(ISNUMBER(L352))),IFERROR(MOD(L352,1),1)&gt;0,AND(ISNUMBER(L352),OR(L352&lt;0,L352&gt;95))),"Введите целое число от 0 до 95",IF(OR(AND(J352&lt;&gt;"",NOT(ISNUMBER(J352))),IFERROR(MOD(J352,1),1)&gt;0,AND(ISNUMBER(J352),OR(J352&lt;50,J352&gt;20000000))),"Введите целое число от 50 до 20000000",IF(NOT(ABS(IFERROR(VALUE(LEFT(M352,FIND("-",M352)-1)),M352)*100-(2500+2000000000)/2)&lt;=ABS(2500-2000000000)/2),"Цена со скидкой должна быть от 25 до 20000000",IF(AND(IFERROR(VALUE(LEFT(M352,FIND("-",M352)-1)),M352)*150&lt;=710409,IFERROR(VALUE(LEFT(M352,FIND("-",M352)-1)),M352)*200&gt;710409),"Вы уменьшили цену в несколько раз, товар попадет в карантин цен",IF(IFERROR(VALUE(LEFT(M352,FIND("-",M352)-1)),M352)*200&lt;=710409,"Не сохранили изменения, чтобы защитить от ошибки — новые цены меньше текущих более чем в 2 раза. Снижайте их постепенно",IF(AND(IFERROR(VALUE(I352),0)=0,ISNUMBER(J352),OR(J352&lt;523,ABS(IFERROR(VALUE(LEFT(M352,FIND("-",M352)-1)),M352))*100&lt;52300)),"Проверьте цену товара. Большинство товаров в выбранной категории стоят дороже 523","")))))),"")</f>
      </c>
    </row>
    <row r="353">
      <c r="A353" s="2" t="inlineStr">
        <is>
          <t/>
        </is>
      </c>
      <c r="B353" s="2" t="inlineStr">
        <is>
          <t>Утюги</t>
        </is>
      </c>
      <c r="C353" s="2">
        <v>600650814</v>
      </c>
      <c r="D353" s="2" t="inlineStr">
        <is>
          <t>191303</t>
        </is>
      </c>
      <c r="E353" s="2" t="inlineStr">
        <is>
          <t>2047129359075</t>
        </is>
      </c>
      <c r="F353" s="2">
        <v>6</v>
      </c>
      <c r="G353" s="2">
        <v>6</v>
      </c>
      <c r="H353" s="2">
        <v>999</v>
      </c>
      <c r="I353" s="2" t="inlineStr">
        <is>
          <t>11101</t>
        </is>
      </c>
      <c r="J353" s="4"/>
      <c r="K353" s="2">
        <v>79</v>
      </c>
      <c r="L353" s="6"/>
      <c r="M353" s="2" t="str">
        <f>IF(J353="",ROUND(I353*(1-IF(ISBLANK(L353),K353,L353)/100),2),ROUND(J353*(1-IF(ISBLANK(L353),K353,L353)/100),2))</f>
      </c>
      <c r="N353" s="7" t="str">
        <f>IF(NOT(AND(J353="",L353="")),IF(OR(AND(L353&lt;&gt;"",NOT(ISNUMBER(L353))),IFERROR(MOD(L353,1),1)&gt;0,AND(ISNUMBER(L353),OR(L353&lt;0,L353&gt;95))),"Введите целое число от 0 до 95",IF(OR(AND(J353&lt;&gt;"",NOT(ISNUMBER(J353))),IFERROR(MOD(J353,1),1)&gt;0,AND(ISNUMBER(J353),OR(J353&lt;50,J353&gt;20000000))),"Введите целое число от 50 до 20000000",IF(NOT(ABS(IFERROR(VALUE(LEFT(M353,FIND("-",M353)-1)),M353)*100-(2500+2000000000)/2)&lt;=ABS(2500-2000000000)/2),"Цена со скидкой должна быть от 25 до 20000000",IF(AND(IFERROR(VALUE(LEFT(M353,FIND("-",M353)-1)),M353)*150&lt;=233120,IFERROR(VALUE(LEFT(M353,FIND("-",M353)-1)),M353)*200&gt;233120),"Вы уменьшили цену в несколько раз, товар попадет в карантин цен",IF(IFERROR(VALUE(LEFT(M353,FIND("-",M353)-1)),M353)*200&lt;=233120,"Не сохранили изменения, чтобы защитить от ошибки — новые цены меньше текущих более чем в 2 раза. Снижайте их постепенно",IF(AND(IFERROR(VALUE(I353),0)=0,ISNUMBER(J353),OR(J353&lt;403,ABS(IFERROR(VALUE(LEFT(M353,FIND("-",M353)-1)),M353))*100&lt;40300)),"Проверьте цену товара. Большинство товаров в выбранной категории стоят дороже 403","")))))),"")</f>
      </c>
    </row>
    <row r="354">
      <c r="A354" s="2" t="inlineStr">
        <is>
          <t/>
        </is>
      </c>
      <c r="B354" s="2" t="inlineStr">
        <is>
          <t>Кастрюли</t>
        </is>
      </c>
      <c r="C354" s="2">
        <v>729144140</v>
      </c>
      <c r="D354" s="2" t="inlineStr">
        <is>
          <t>282901</t>
        </is>
      </c>
      <c r="E354" s="2" t="inlineStr">
        <is>
          <t>2048079094177</t>
        </is>
      </c>
      <c r="F354" s="2">
        <v>0</v>
      </c>
      <c r="G354" s="2">
        <v>4</v>
      </c>
      <c r="H354" s="2" t="inlineStr">
        <is>
          <t/>
        </is>
      </c>
      <c r="I354" s="2" t="inlineStr">
        <is>
          <t>21515</t>
        </is>
      </c>
      <c r="J354" s="4"/>
      <c r="K354" s="2">
        <v>80</v>
      </c>
      <c r="L354" s="6"/>
      <c r="M354" s="2" t="str">
        <f>IF(J354="",ROUND(I354*(1-IF(ISBLANK(L354),K354,L354)/100),2),ROUND(J354*(1-IF(ISBLANK(L354),K354,L354)/100),2))</f>
      </c>
      <c r="N354" s="7" t="str">
        <f>IF(NOT(AND(J354="",L354="")),IF(OR(AND(L354&lt;&gt;"",NOT(ISNUMBER(L354))),IFERROR(MOD(L354,1),1)&gt;0,AND(ISNUMBER(L354),OR(L354&lt;0,L354&gt;95))),"Введите целое число от 0 до 95",IF(OR(AND(J354&lt;&gt;"",NOT(ISNUMBER(J354))),IFERROR(MOD(J354,1),1)&gt;0,AND(ISNUMBER(J354),OR(J354&lt;50,J354&gt;20000000))),"Введите целое число от 50 до 20000000",IF(NOT(ABS(IFERROR(VALUE(LEFT(M354,FIND("-",M354)-1)),M354)*100-(2500+2000000000)/2)&lt;=ABS(2500-2000000000)/2),"Цена со скидкой должна быть от 25 до 20000000",IF(AND(IFERROR(VALUE(LEFT(M354,FIND("-",M354)-1)),M354)*150&lt;=430299,IFERROR(VALUE(LEFT(M354,FIND("-",M354)-1)),M354)*200&gt;430299),"Вы уменьшили цену в несколько раз, товар попадет в карантин цен",IF(IFERROR(VALUE(LEFT(M354,FIND("-",M354)-1)),M354)*200&lt;=430299,"Не сохранили изменения, чтобы защитить от ошибки — новые цены меньше текущих более чем в 2 раза. Снижайте их постепенно",IF(AND(IFERROR(VALUE(I354),0)=0,ISNUMBER(J354),OR(J354&lt;523,ABS(IFERROR(VALUE(LEFT(M354,FIND("-",M354)-1)),M354))*100&lt;52300)),"Проверьте цену товара. Большинство товаров в выбранной категории стоят дороже 523","")))))),"")</f>
      </c>
    </row>
    <row r="355">
      <c r="A355" s="2" t="inlineStr">
        <is>
          <t/>
        </is>
      </c>
      <c r="B355" s="2" t="inlineStr">
        <is>
          <t>Кастрюли</t>
        </is>
      </c>
      <c r="C355" s="2">
        <v>729143932</v>
      </c>
      <c r="D355" s="2" t="inlineStr">
        <is>
          <t>20464</t>
        </is>
      </c>
      <c r="E355" s="2" t="inlineStr">
        <is>
          <t>2048079087483</t>
        </is>
      </c>
      <c r="F355" s="2">
        <v>0</v>
      </c>
      <c r="G355" s="2">
        <v>6</v>
      </c>
      <c r="H355" s="2" t="inlineStr">
        <is>
          <t/>
        </is>
      </c>
      <c r="I355" s="2" t="inlineStr">
        <is>
          <t>21429</t>
        </is>
      </c>
      <c r="J355" s="4"/>
      <c r="K355" s="2">
        <v>79</v>
      </c>
      <c r="L355" s="6"/>
      <c r="M355" s="2" t="str">
        <f>IF(J355="",ROUND(I355*(1-IF(ISBLANK(L355),K355,L355)/100),2),ROUND(J355*(1-IF(ISBLANK(L355),K355,L355)/100),2))</f>
      </c>
      <c r="N355" s="7" t="str">
        <f>IF(NOT(AND(J355="",L355="")),IF(OR(AND(L355&lt;&gt;"",NOT(ISNUMBER(L355))),IFERROR(MOD(L355,1),1)&gt;0,AND(ISNUMBER(L355),OR(L355&lt;0,L355&gt;95))),"Введите целое число от 0 до 95",IF(OR(AND(J355&lt;&gt;"",NOT(ISNUMBER(J355))),IFERROR(MOD(J355,1),1)&gt;0,AND(ISNUMBER(J355),OR(J355&lt;50,J355&gt;20000000))),"Введите целое число от 50 до 20000000",IF(NOT(ABS(IFERROR(VALUE(LEFT(M355,FIND("-",M355)-1)),M355)*100-(2500+2000000000)/2)&lt;=ABS(2500-2000000000)/2),"Цена со скидкой должна быть от 25 до 20000000",IF(AND(IFERROR(VALUE(LEFT(M355,FIND("-",M355)-1)),M355)*150&lt;=450008,IFERROR(VALUE(LEFT(M355,FIND("-",M355)-1)),M355)*200&gt;450008),"Вы уменьшили цену в несколько раз, товар попадет в карантин цен",IF(IFERROR(VALUE(LEFT(M355,FIND("-",M355)-1)),M355)*200&lt;=450008,"Не сохранили изменения, чтобы защитить от ошибки — новые цены меньше текущих более чем в 2 раза. Снижайте их постепенно",IF(AND(IFERROR(VALUE(I355),0)=0,ISNUMBER(J355),OR(J355&lt;523,ABS(IFERROR(VALUE(LEFT(M355,FIND("-",M355)-1)),M355))*100&lt;52300)),"Проверьте цену товара. Большинство товаров в выбранной категории стоят дороже 523","")))))),"")</f>
      </c>
    </row>
    <row r="356">
      <c r="A356" s="2" t="inlineStr">
        <is>
          <t/>
        </is>
      </c>
      <c r="B356" s="2" t="inlineStr">
        <is>
          <t>Кастрюли</t>
        </is>
      </c>
      <c r="C356" s="2">
        <v>729144182</v>
      </c>
      <c r="D356" s="2" t="inlineStr">
        <is>
          <t>21279</t>
        </is>
      </c>
      <c r="E356" s="2" t="inlineStr">
        <is>
          <t>2048079094412</t>
        </is>
      </c>
      <c r="F356" s="2">
        <v>0</v>
      </c>
      <c r="G356" s="2">
        <v>2</v>
      </c>
      <c r="H356" s="2">
        <v>1</v>
      </c>
      <c r="I356" s="2" t="inlineStr">
        <is>
          <t>23852</t>
        </is>
      </c>
      <c r="J356" s="4"/>
      <c r="K356" s="2">
        <v>80</v>
      </c>
      <c r="L356" s="6"/>
      <c r="M356" s="2" t="str">
        <f>IF(J356="",ROUND(I356*(1-IF(ISBLANK(L356),K356,L356)/100),2),ROUND(J356*(1-IF(ISBLANK(L356),K356,L356)/100),2))</f>
      </c>
      <c r="N356" s="7" t="str">
        <f>IF(NOT(AND(J356="",L356="")),IF(OR(AND(L356&lt;&gt;"",NOT(ISNUMBER(L356))),IFERROR(MOD(L356,1),1)&gt;0,AND(ISNUMBER(L356),OR(L356&lt;0,L356&gt;95))),"Введите целое число от 0 до 95",IF(OR(AND(J356&lt;&gt;"",NOT(ISNUMBER(J356))),IFERROR(MOD(J356,1),1)&gt;0,AND(ISNUMBER(J356),OR(J356&lt;50,J356&gt;20000000))),"Введите целое число от 50 до 20000000",IF(NOT(ABS(IFERROR(VALUE(LEFT(M356,FIND("-",M356)-1)),M356)*100-(2500+2000000000)/2)&lt;=ABS(2500-2000000000)/2),"Цена со скидкой должна быть от 25 до 20000000",IF(AND(IFERROR(VALUE(LEFT(M356,FIND("-",M356)-1)),M356)*150&lt;=477039,IFERROR(VALUE(LEFT(M356,FIND("-",M356)-1)),M356)*200&gt;477039),"Вы уменьшили цену в несколько раз, товар попадет в карантин цен",IF(IFERROR(VALUE(LEFT(M356,FIND("-",M356)-1)),M356)*200&lt;=477039,"Не сохранили изменения, чтобы защитить от ошибки — новые цены меньше текущих более чем в 2 раза. Снижайте их постепенно",IF(AND(IFERROR(VALUE(I356),0)=0,ISNUMBER(J356),OR(J356&lt;523,ABS(IFERROR(VALUE(LEFT(M356,FIND("-",M356)-1)),M356))*100&lt;52300)),"Проверьте цену товара. Большинство товаров в выбранной категории стоят дороже 523","")))))),"")</f>
      </c>
    </row>
    <row r="357">
      <c r="A357" s="2" t="inlineStr">
        <is>
          <t/>
        </is>
      </c>
      <c r="B357" s="2" t="inlineStr">
        <is>
          <t>Кастрюли</t>
        </is>
      </c>
      <c r="C357" s="2">
        <v>729144194</v>
      </c>
      <c r="D357" s="2" t="inlineStr">
        <is>
          <t>240195</t>
        </is>
      </c>
      <c r="E357" s="2" t="inlineStr">
        <is>
          <t>2048079094641</t>
        </is>
      </c>
      <c r="F357" s="2">
        <v>2</v>
      </c>
      <c r="G357" s="2">
        <v>0</v>
      </c>
      <c r="H357" s="2">
        <v>999</v>
      </c>
      <c r="I357" s="2" t="inlineStr">
        <is>
          <t>33546</t>
        </is>
      </c>
      <c r="J357" s="4"/>
      <c r="K357" s="2">
        <v>81</v>
      </c>
      <c r="L357" s="6"/>
      <c r="M357" s="2" t="str">
        <f>IF(J357="",ROUND(I357*(1-IF(ISBLANK(L357),K357,L357)/100),2),ROUND(J357*(1-IF(ISBLANK(L357),K357,L357)/100),2))</f>
      </c>
      <c r="N357" s="7" t="str">
        <f>IF(NOT(AND(J357="",L357="")),IF(OR(AND(L357&lt;&gt;"",NOT(ISNUMBER(L357))),IFERROR(MOD(L357,1),1)&gt;0,AND(ISNUMBER(L357),OR(L357&lt;0,L357&gt;95))),"Введите целое число от 0 до 95",IF(OR(AND(J357&lt;&gt;"",NOT(ISNUMBER(J357))),IFERROR(MOD(J357,1),1)&gt;0,AND(ISNUMBER(J357),OR(J357&lt;50,J357&gt;20000000))),"Введите целое число от 50 до 20000000",IF(NOT(ABS(IFERROR(VALUE(LEFT(M357,FIND("-",M357)-1)),M357)*100-(2500+2000000000)/2)&lt;=ABS(2500-2000000000)/2),"Цена со скидкой должна быть от 25 до 20000000",IF(AND(IFERROR(VALUE(LEFT(M357,FIND("-",M357)-1)),M357)*150&lt;=637373,IFERROR(VALUE(LEFT(M357,FIND("-",M357)-1)),M357)*200&gt;637373),"Вы уменьшили цену в несколько раз, товар попадет в карантин цен",IF(IFERROR(VALUE(LEFT(M357,FIND("-",M357)-1)),M357)*200&lt;=637373,"Не сохранили изменения, чтобы защитить от ошибки — новые цены меньше текущих более чем в 2 раза. Снижайте их постепенно",IF(AND(IFERROR(VALUE(I357),0)=0,ISNUMBER(J357),OR(J357&lt;523,ABS(IFERROR(VALUE(LEFT(M357,FIND("-",M357)-1)),M357))*100&lt;52300)),"Проверьте цену товара. Большинство товаров в выбранной категории стоят дороже 523","")))))),"")</f>
      </c>
    </row>
    <row r="358">
      <c r="A358" s="2" t="inlineStr">
        <is>
          <t/>
        </is>
      </c>
      <c r="B358" s="2" t="inlineStr">
        <is>
          <t>Кастрюли</t>
        </is>
      </c>
      <c r="C358" s="2">
        <v>729144033</v>
      </c>
      <c r="D358" s="2" t="inlineStr">
        <is>
          <t>283585</t>
        </is>
      </c>
      <c r="E358" s="2" t="inlineStr">
        <is>
          <t>2048079090254</t>
        </is>
      </c>
      <c r="F358" s="2">
        <v>4</v>
      </c>
      <c r="G358" s="2">
        <v>0</v>
      </c>
      <c r="H358" s="2">
        <v>999</v>
      </c>
      <c r="I358" s="2" t="inlineStr">
        <is>
          <t>10716</t>
        </is>
      </c>
      <c r="J358" s="4"/>
      <c r="K358" s="2">
        <v>80</v>
      </c>
      <c r="L358" s="6"/>
      <c r="M358" s="2" t="str">
        <f>IF(J358="",ROUND(I358*(1-IF(ISBLANK(L358),K358,L358)/100),2),ROUND(J358*(1-IF(ISBLANK(L358),K358,L358)/100),2))</f>
      </c>
      <c r="N358" s="7" t="str">
        <f>IF(NOT(AND(J358="",L358="")),IF(OR(AND(L358&lt;&gt;"",NOT(ISNUMBER(L358))),IFERROR(MOD(L358,1),1)&gt;0,AND(ISNUMBER(L358),OR(L358&lt;0,L358&gt;95))),"Введите целое число от 0 до 95",IF(OR(AND(J358&lt;&gt;"",NOT(ISNUMBER(J358))),IFERROR(MOD(J358,1),1)&gt;0,AND(ISNUMBER(J358),OR(J358&lt;50,J358&gt;20000000))),"Введите целое число от 50 до 20000000",IF(NOT(ABS(IFERROR(VALUE(LEFT(M358,FIND("-",M358)-1)),M358)*100-(2500+2000000000)/2)&lt;=ABS(2500-2000000000)/2),"Цена со скидкой должна быть от 25 до 20000000",IF(AND(IFERROR(VALUE(LEFT(M358,FIND("-",M358)-1)),M358)*150&lt;=214319,IFERROR(VALUE(LEFT(M358,FIND("-",M358)-1)),M358)*200&gt;214319),"Вы уменьшили цену в несколько раз, товар попадет в карантин цен",IF(IFERROR(VALUE(LEFT(M358,FIND("-",M358)-1)),M358)*200&lt;=214319,"Не сохранили изменения, чтобы защитить от ошибки — новые цены меньше текущих более чем в 2 раза. Снижайте их постепенно",IF(AND(IFERROR(VALUE(I358),0)=0,ISNUMBER(J358),OR(J358&lt;523,ABS(IFERROR(VALUE(LEFT(M358,FIND("-",M358)-1)),M358))*100&lt;52300)),"Проверьте цену товара. Большинство товаров в выбранной категории стоят дороже 523","")))))),"")</f>
      </c>
    </row>
    <row r="359">
      <c r="A359" s="2" t="inlineStr">
        <is>
          <t/>
        </is>
      </c>
      <c r="B359" s="2" t="inlineStr">
        <is>
          <t>Кастрюли</t>
        </is>
      </c>
      <c r="C359" s="2">
        <v>729144198</v>
      </c>
      <c r="D359" s="2" t="inlineStr">
        <is>
          <t>240221</t>
        </is>
      </c>
      <c r="E359" s="2" t="inlineStr">
        <is>
          <t>2048079094719</t>
        </is>
      </c>
      <c r="F359" s="2">
        <v>0</v>
      </c>
      <c r="G359" s="2">
        <v>1</v>
      </c>
      <c r="H359" s="2" t="inlineStr">
        <is>
          <t/>
        </is>
      </c>
      <c r="I359" s="2" t="inlineStr">
        <is>
          <t>34987</t>
        </is>
      </c>
      <c r="J359" s="4"/>
      <c r="K359" s="2">
        <v>80</v>
      </c>
      <c r="L359" s="6"/>
      <c r="M359" s="2" t="str">
        <f>IF(J359="",ROUND(I359*(1-IF(ISBLANK(L359),K359,L359)/100),2),ROUND(J359*(1-IF(ISBLANK(L359),K359,L359)/100),2))</f>
      </c>
      <c r="N359" s="7" t="str">
        <f>IF(NOT(AND(J359="",L359="")),IF(OR(AND(L359&lt;&gt;"",NOT(ISNUMBER(L359))),IFERROR(MOD(L359,1),1)&gt;0,AND(ISNUMBER(L359),OR(L359&lt;0,L359&gt;95))),"Введите целое число от 0 до 95",IF(OR(AND(J359&lt;&gt;"",NOT(ISNUMBER(J359))),IFERROR(MOD(J359,1),1)&gt;0,AND(ISNUMBER(J359),OR(J359&lt;50,J359&gt;20000000))),"Введите целое число от 50 до 20000000",IF(NOT(ABS(IFERROR(VALUE(LEFT(M359,FIND("-",M359)-1)),M359)*100-(2500+2000000000)/2)&lt;=ABS(2500-2000000000)/2),"Цена со скидкой должна быть от 25 до 20000000",IF(AND(IFERROR(VALUE(LEFT(M359,FIND("-",M359)-1)),M359)*150&lt;=699739,IFERROR(VALUE(LEFT(M359,FIND("-",M359)-1)),M359)*200&gt;699739),"Вы уменьшили цену в несколько раз, товар попадет в карантин цен",IF(IFERROR(VALUE(LEFT(M359,FIND("-",M359)-1)),M359)*200&lt;=699739,"Не сохранили изменения, чтобы защитить от ошибки — новые цены меньше текущих более чем в 2 раза. Снижайте их постепенно",IF(AND(IFERROR(VALUE(I359),0)=0,ISNUMBER(J359),OR(J359&lt;523,ABS(IFERROR(VALUE(LEFT(M359,FIND("-",M359)-1)),M359))*100&lt;52300)),"Проверьте цену товара. Большинство товаров в выбранной категории стоят дороже 523","")))))),"")</f>
      </c>
    </row>
    <row r="360">
      <c r="A360" s="2" t="inlineStr">
        <is>
          <t/>
        </is>
      </c>
      <c r="B360" s="2" t="inlineStr">
        <is>
          <t>Кофемолки электрические</t>
        </is>
      </c>
      <c r="C360" s="2">
        <v>603734240</v>
      </c>
      <c r="D360" s="2" t="inlineStr">
        <is>
          <t>191993</t>
        </is>
      </c>
      <c r="E360" s="2" t="inlineStr">
        <is>
          <t>2047147962219</t>
        </is>
      </c>
      <c r="F360" s="2">
        <v>0</v>
      </c>
      <c r="G360" s="2">
        <v>6</v>
      </c>
      <c r="H360" s="2" t="inlineStr">
        <is>
          <t/>
        </is>
      </c>
      <c r="I360" s="2" t="inlineStr">
        <is>
          <t>9260</t>
        </is>
      </c>
      <c r="J360" s="4"/>
      <c r="K360" s="2">
        <v>78</v>
      </c>
      <c r="L360" s="6"/>
      <c r="M360" s="2" t="str">
        <f>IF(J360="",ROUND(I360*(1-IF(ISBLANK(L360),K360,L360)/100),2),ROUND(J360*(1-IF(ISBLANK(L360),K360,L360)/100),2))</f>
      </c>
      <c r="N360" s="7" t="str">
        <f>IF(NOT(AND(J360="",L360="")),IF(OR(AND(L360&lt;&gt;"",NOT(ISNUMBER(L360))),IFERROR(MOD(L360,1),1)&gt;0,AND(ISNUMBER(L360),OR(L360&lt;0,L360&gt;95))),"Введите целое число от 0 до 95",IF(OR(AND(J360&lt;&gt;"",NOT(ISNUMBER(J360))),IFERROR(MOD(J360,1),1)&gt;0,AND(ISNUMBER(J360),OR(J360&lt;50,J360&gt;20000000))),"Введите целое число от 50 до 20000000",IF(NOT(ABS(IFERROR(VALUE(LEFT(M360,FIND("-",M360)-1)),M360)*100-(2500+2000000000)/2)&lt;=ABS(2500-2000000000)/2),"Цена со скидкой должна быть от 25 до 20000000",IF(AND(IFERROR(VALUE(LEFT(M360,FIND("-",M360)-1)),M360)*150&lt;=203719,IFERROR(VALUE(LEFT(M360,FIND("-",M360)-1)),M360)*200&gt;203719),"Вы уменьшили цену в несколько раз, товар попадет в карантин цен",IF(IFERROR(VALUE(LEFT(M360,FIND("-",M360)-1)),M360)*200&lt;=203719,"Не сохранили изменения, чтобы защитить от ошибки — новые цены меньше текущих более чем в 2 раза. Снижайте их постепенно",IF(AND(IFERROR(VALUE(I360),0)=0,ISNUMBER(J360),OR(J360&lt;291,ABS(IFERROR(VALUE(LEFT(M360,FIND("-",M360)-1)),M360))*100&lt;29100)),"Проверьте цену товара. Большинство товаров в выбранной категории стоят дороже 291","")))))),"")</f>
      </c>
    </row>
    <row r="361">
      <c r="A361" s="2" t="inlineStr">
        <is>
          <t/>
        </is>
      </c>
      <c r="B361" s="2" t="inlineStr">
        <is>
          <t>Тостеры</t>
        </is>
      </c>
      <c r="C361" s="2">
        <v>603587792</v>
      </c>
      <c r="D361" s="2" t="inlineStr">
        <is>
          <t>192197</t>
        </is>
      </c>
      <c r="E361" s="2" t="inlineStr">
        <is>
          <t>2047146680312</t>
        </is>
      </c>
      <c r="F361" s="2">
        <v>0</v>
      </c>
      <c r="G361" s="2">
        <v>0</v>
      </c>
      <c r="H361" s="2" t="inlineStr">
        <is>
          <t/>
        </is>
      </c>
      <c r="I361" s="2" t="inlineStr">
        <is>
          <t>33197</t>
        </is>
      </c>
      <c r="J361" s="4"/>
      <c r="K361" s="2">
        <v>65</v>
      </c>
      <c r="L361" s="6"/>
      <c r="M361" s="2" t="str">
        <f>IF(J361="",ROUND(I361*(1-IF(ISBLANK(L361),K361,L361)/100),2),ROUND(J361*(1-IF(ISBLANK(L361),K361,L361)/100),2))</f>
      </c>
      <c r="N361" s="7" t="str">
        <f>IF(NOT(AND(J361="",L361="")),IF(OR(AND(L361&lt;&gt;"",NOT(ISNUMBER(L361))),IFERROR(MOD(L361,1),1)&gt;0,AND(ISNUMBER(L361),OR(L361&lt;0,L361&gt;95))),"Введите целое число от 0 до 95",IF(OR(AND(J361&lt;&gt;"",NOT(ISNUMBER(J361))),IFERROR(MOD(J361,1),1)&gt;0,AND(ISNUMBER(J361),OR(J361&lt;50,J361&gt;20000000))),"Введите целое число от 50 до 20000000",IF(NOT(ABS(IFERROR(VALUE(LEFT(M361,FIND("-",M361)-1)),M361)*100-(2500+2000000000)/2)&lt;=ABS(2500-2000000000)/2),"Цена со скидкой должна быть от 25 до 20000000",IF(AND(IFERROR(VALUE(LEFT(M361,FIND("-",M361)-1)),M361)*150&lt;=1161895,IFERROR(VALUE(LEFT(M361,FIND("-",M361)-1)),M361)*200&gt;1161895),"Вы уменьшили цену в несколько раз, товар попадет в карантин цен",IF(IFERROR(VALUE(LEFT(M361,FIND("-",M361)-1)),M361)*200&lt;=1161895,"Не сохранили изменения, чтобы защитить от ошибки — новые цены меньше текущих более чем в 2 раза. Снижайте их постепенно",IF(AND(IFERROR(VALUE(I361),0)=0,ISNUMBER(J361),OR(J361&lt;351,ABS(IFERROR(VALUE(LEFT(M361,FIND("-",M361)-1)),M361))*100&lt;35100)),"Проверьте цену товара. Большинство товаров в выбранной категории стоят дороже 351","")))))),"")</f>
      </c>
    </row>
    <row r="362">
      <c r="A362" s="2" t="inlineStr">
        <is>
          <t/>
        </is>
      </c>
      <c r="B362" s="2" t="inlineStr">
        <is>
          <t>Кастрюли</t>
        </is>
      </c>
      <c r="C362" s="2">
        <v>729145122</v>
      </c>
      <c r="D362" s="2" t="inlineStr">
        <is>
          <t>283450</t>
        </is>
      </c>
      <c r="E362" s="2" t="inlineStr">
        <is>
          <t>2048079111300</t>
        </is>
      </c>
      <c r="F362" s="2">
        <v>3</v>
      </c>
      <c r="G362" s="2">
        <v>0</v>
      </c>
      <c r="H362" s="2">
        <v>999</v>
      </c>
      <c r="I362" s="2" t="inlineStr">
        <is>
          <t>41692</t>
        </is>
      </c>
      <c r="J362" s="4"/>
      <c r="K362" s="2">
        <v>80</v>
      </c>
      <c r="L362" s="6"/>
      <c r="M362" s="2" t="str">
        <f>IF(J362="",ROUND(I362*(1-IF(ISBLANK(L362),K362,L362)/100),2),ROUND(J362*(1-IF(ISBLANK(L362),K362,L362)/100),2))</f>
      </c>
      <c r="N362" s="7" t="str">
        <f>IF(NOT(AND(J362="",L362="")),IF(OR(AND(L362&lt;&gt;"",NOT(ISNUMBER(L362))),IFERROR(MOD(L362,1),1)&gt;0,AND(ISNUMBER(L362),OR(L362&lt;0,L362&gt;95))),"Введите целое число от 0 до 95",IF(OR(AND(J362&lt;&gt;"",NOT(ISNUMBER(J362))),IFERROR(MOD(J362,1),1)&gt;0,AND(ISNUMBER(J362),OR(J362&lt;50,J362&gt;20000000))),"Введите целое число от 50 до 20000000",IF(NOT(ABS(IFERROR(VALUE(LEFT(M362,FIND("-",M362)-1)),M362)*100-(2500+2000000000)/2)&lt;=ABS(2500-2000000000)/2),"Цена со скидкой должна быть от 25 до 20000000",IF(AND(IFERROR(VALUE(LEFT(M362,FIND("-",M362)-1)),M362)*150&lt;=833839,IFERROR(VALUE(LEFT(M362,FIND("-",M362)-1)),M362)*200&gt;833839),"Вы уменьшили цену в несколько раз, товар попадет в карантин цен",IF(IFERROR(VALUE(LEFT(M362,FIND("-",M362)-1)),M362)*200&lt;=833839,"Не сохранили изменения, чтобы защитить от ошибки — новые цены меньше текущих более чем в 2 раза. Снижайте их постепенно",IF(AND(IFERROR(VALUE(I362),0)=0,ISNUMBER(J362),OR(J362&lt;523,ABS(IFERROR(VALUE(LEFT(M362,FIND("-",M362)-1)),M362))*100&lt;52300)),"Проверьте цену товара. Большинство товаров в выбранной категории стоят дороже 523","")))))),"")</f>
      </c>
    </row>
    <row r="363">
      <c r="A363" s="2" t="inlineStr">
        <is>
          <t/>
        </is>
      </c>
      <c r="B363" s="2" t="inlineStr">
        <is>
          <t>Триммеры</t>
        </is>
      </c>
      <c r="C363" s="2">
        <v>598657594</v>
      </c>
      <c r="D363" s="2" t="inlineStr">
        <is>
          <t>190589</t>
        </is>
      </c>
      <c r="E363" s="2" t="inlineStr">
        <is>
          <t>2047106057710</t>
        </is>
      </c>
      <c r="F363" s="2">
        <v>0</v>
      </c>
      <c r="G363" s="2">
        <v>1</v>
      </c>
      <c r="H363" s="2" t="inlineStr">
        <is>
          <t/>
        </is>
      </c>
      <c r="I363" s="2" t="inlineStr">
        <is>
          <t>2432</t>
        </is>
      </c>
      <c r="J363" s="4"/>
      <c r="K363" s="2">
        <v>78</v>
      </c>
      <c r="L363" s="6"/>
      <c r="M363" s="2" t="str">
        <f>IF(J363="",ROUND(I363*(1-IF(ISBLANK(L363),K363,L363)/100),2),ROUND(J363*(1-IF(ISBLANK(L363),K363,L363)/100),2))</f>
      </c>
      <c r="N363" s="7" t="str">
        <f>IF(NOT(AND(J363="",L363="")),IF(OR(AND(L363&lt;&gt;"",NOT(ISNUMBER(L363))),IFERROR(MOD(L363,1),1)&gt;0,AND(ISNUMBER(L363),OR(L363&lt;0,L363&gt;95))),"Введите целое число от 0 до 95",IF(OR(AND(J363&lt;&gt;"",NOT(ISNUMBER(J363))),IFERROR(MOD(J363,1),1)&gt;0,AND(ISNUMBER(J363),OR(J363&lt;50,J363&gt;20000000))),"Введите целое число от 50 до 20000000",IF(NOT(ABS(IFERROR(VALUE(LEFT(M363,FIND("-",M363)-1)),M363)*100-(2500+2000000000)/2)&lt;=ABS(2500-2000000000)/2),"Цена со скидкой должна быть от 25 до 20000000",IF(AND(IFERROR(VALUE(LEFT(M363,FIND("-",M363)-1)),M363)*150&lt;=53504,IFERROR(VALUE(LEFT(M363,FIND("-",M363)-1)),M363)*200&gt;53504),"Вы уменьшили цену в несколько раз, товар попадет в карантин цен",IF(IFERROR(VALUE(LEFT(M363,FIND("-",M363)-1)),M363)*200&lt;=53504,"Не сохранили изменения, чтобы защитить от ошибки — новые цены меньше текущих более чем в 2 раза. Снижайте их постепенно",IF(AND(IFERROR(VALUE(I363),0)=0,ISNUMBER(J363),OR(J363&lt;358,ABS(IFERROR(VALUE(LEFT(M363,FIND("-",M363)-1)),M363))*100&lt;35800)),"Проверьте цену товара. Большинство товаров в выбранной категории стоят дороже 358","")))))),"")</f>
      </c>
    </row>
    <row r="364">
      <c r="A364" s="2" t="inlineStr">
        <is>
          <t/>
        </is>
      </c>
      <c r="B364" s="2" t="inlineStr">
        <is>
          <t>Плиты настольные</t>
        </is>
      </c>
      <c r="C364" s="2">
        <v>603737949</v>
      </c>
      <c r="D364" s="2" t="inlineStr">
        <is>
          <t>190240</t>
        </is>
      </c>
      <c r="E364" s="2" t="inlineStr">
        <is>
          <t>2047148006165</t>
        </is>
      </c>
      <c r="F364" s="2">
        <v>0</v>
      </c>
      <c r="G364" s="2">
        <v>2</v>
      </c>
      <c r="H364" s="2" t="inlineStr">
        <is>
          <t/>
        </is>
      </c>
      <c r="I364" s="2" t="inlineStr">
        <is>
          <t>7276</t>
        </is>
      </c>
      <c r="J364" s="4"/>
      <c r="K364" s="2">
        <v>78</v>
      </c>
      <c r="L364" s="6"/>
      <c r="M364" s="2" t="str">
        <f>IF(J364="",ROUND(I364*(1-IF(ISBLANK(L364),K364,L364)/100),2),ROUND(J364*(1-IF(ISBLANK(L364),K364,L364)/100),2))</f>
      </c>
      <c r="N364" s="7" t="str">
        <f>IF(NOT(AND(J364="",L364="")),IF(OR(AND(L364&lt;&gt;"",NOT(ISNUMBER(L364))),IFERROR(MOD(L364,1),1)&gt;0,AND(ISNUMBER(L364),OR(L364&lt;0,L364&gt;95))),"Введите целое число от 0 до 95",IF(OR(AND(J364&lt;&gt;"",NOT(ISNUMBER(J364))),IFERROR(MOD(J364,1),1)&gt;0,AND(ISNUMBER(J364),OR(J364&lt;50,J364&gt;20000000))),"Введите целое число от 50 до 20000000",IF(NOT(ABS(IFERROR(VALUE(LEFT(M364,FIND("-",M364)-1)),M364)*100-(2500+2000000000)/2)&lt;=ABS(2500-2000000000)/2),"Цена со скидкой должна быть от 25 до 20000000",IF(AND(IFERROR(VALUE(LEFT(M364,FIND("-",M364)-1)),M364)*150&lt;=160071,IFERROR(VALUE(LEFT(M364,FIND("-",M364)-1)),M364)*200&gt;160071),"Вы уменьшили цену в несколько раз, товар попадет в карантин цен",IF(IFERROR(VALUE(LEFT(M364,FIND("-",M364)-1)),M364)*200&lt;=160071,"Не сохранили изменения, чтобы защитить от ошибки — новые цены меньше текущих более чем в 2 раза. Снижайте их постепенно",IF(AND(IFERROR(VALUE(I364),0)=0,ISNUMBER(J364),OR(J364&lt;316,ABS(IFERROR(VALUE(LEFT(M364,FIND("-",M364)-1)),M364))*100&lt;31600)),"Проверьте цену товара. Большинство товаров в выбранной категории стоят дороже 316","")))))),"")</f>
      </c>
    </row>
    <row r="365">
      <c r="A365" s="2" t="inlineStr">
        <is>
          <t/>
        </is>
      </c>
      <c r="B365" s="2" t="inlineStr">
        <is>
          <t>Термопоты</t>
        </is>
      </c>
      <c r="C365" s="2">
        <v>603587783</v>
      </c>
      <c r="D365" s="2" t="inlineStr">
        <is>
          <t>192593</t>
        </is>
      </c>
      <c r="E365" s="2" t="inlineStr">
        <is>
          <t>2047146680145</t>
        </is>
      </c>
      <c r="F365" s="2">
        <v>0</v>
      </c>
      <c r="G365" s="2">
        <v>2</v>
      </c>
      <c r="H365" s="2" t="inlineStr">
        <is>
          <t/>
        </is>
      </c>
      <c r="I365" s="2" t="inlineStr">
        <is>
          <t>35000</t>
        </is>
      </c>
      <c r="J365" s="4"/>
      <c r="K365" s="2">
        <v>78</v>
      </c>
      <c r="L365" s="6"/>
      <c r="M365" s="2" t="str">
        <f>IF(J365="",ROUND(I365*(1-IF(ISBLANK(L365),K365,L365)/100),2),ROUND(J365*(1-IF(ISBLANK(L365),K365,L365)/100),2))</f>
      </c>
      <c r="N365" s="7" t="str">
        <f>IF(NOT(AND(J365="",L365="")),IF(OR(AND(L365&lt;&gt;"",NOT(ISNUMBER(L365))),IFERROR(MOD(L365,1),1)&gt;0,AND(ISNUMBER(L365),OR(L365&lt;0,L365&gt;95))),"Введите целое число от 0 до 95",IF(OR(AND(J365&lt;&gt;"",NOT(ISNUMBER(J365))),IFERROR(MOD(J365,1),1)&gt;0,AND(ISNUMBER(J365),OR(J365&lt;50,J365&gt;20000000))),"Введите целое число от 50 до 20000000",IF(NOT(ABS(IFERROR(VALUE(LEFT(M365,FIND("-",M365)-1)),M365)*100-(2500+2000000000)/2)&lt;=ABS(2500-2000000000)/2),"Цена со скидкой должна быть от 25 до 20000000",IF(AND(IFERROR(VALUE(LEFT(M365,FIND("-",M365)-1)),M365)*150&lt;=769999,IFERROR(VALUE(LEFT(M365,FIND("-",M365)-1)),M365)*200&gt;769999),"Вы уменьшили цену в несколько раз, товар попадет в карантин цен",IF(IFERROR(VALUE(LEFT(M365,FIND("-",M365)-1)),M365)*200&lt;=769999,"Не сохранили изменения, чтобы защитить от ошибки — новые цены меньше текущих более чем в 2 раза. Снижайте их постепенно",IF(AND(IFERROR(VALUE(I365),0)=0,ISNUMBER(J365),OR(J365&lt;808,ABS(IFERROR(VALUE(LEFT(M365,FIND("-",M365)-1)),M365))*100&lt;80800)),"Проверьте цену товара. Большинство товаров в выбранной категории стоят дороже 808","")))))),"")</f>
      </c>
    </row>
    <row r="366">
      <c r="A366" s="2" t="inlineStr">
        <is>
          <t/>
        </is>
      </c>
      <c r="B366" s="2" t="inlineStr">
        <is>
          <t>Грили электрические</t>
        </is>
      </c>
      <c r="C366" s="2">
        <v>603736231</v>
      </c>
      <c r="D366" s="2" t="inlineStr">
        <is>
          <t>192331</t>
        </is>
      </c>
      <c r="E366" s="2" t="inlineStr">
        <is>
          <t>2047147983290</t>
        </is>
      </c>
      <c r="F366" s="2">
        <v>0</v>
      </c>
      <c r="G366" s="2">
        <v>5</v>
      </c>
      <c r="H366" s="2" t="inlineStr">
        <is>
          <t/>
        </is>
      </c>
      <c r="I366" s="2" t="inlineStr">
        <is>
          <t>35820</t>
        </is>
      </c>
      <c r="J366" s="4"/>
      <c r="K366" s="2">
        <v>80</v>
      </c>
      <c r="L366" s="6"/>
      <c r="M366" s="2" t="str">
        <f>IF(J366="",ROUND(I366*(1-IF(ISBLANK(L366),K366,L366)/100),2),ROUND(J366*(1-IF(ISBLANK(L366),K366,L366)/100),2))</f>
      </c>
      <c r="N366" s="7" t="str">
        <f>IF(NOT(AND(J366="",L366="")),IF(OR(AND(L366&lt;&gt;"",NOT(ISNUMBER(L366))),IFERROR(MOD(L366,1),1)&gt;0,AND(ISNUMBER(L366),OR(L366&lt;0,L366&gt;95))),"Введите целое число от 0 до 95",IF(OR(AND(J366&lt;&gt;"",NOT(ISNUMBER(J366))),IFERROR(MOD(J366,1),1)&gt;0,AND(ISNUMBER(J366),OR(J366&lt;50,J366&gt;20000000))),"Введите целое число от 50 до 20000000",IF(NOT(ABS(IFERROR(VALUE(LEFT(M366,FIND("-",M366)-1)),M366)*100-(2500+2000000000)/2)&lt;=ABS(2500-2000000000)/2),"Цена со скидкой должна быть от 25 до 20000000",IF(AND(IFERROR(VALUE(LEFT(M366,FIND("-",M366)-1)),M366)*150&lt;=716399,IFERROR(VALUE(LEFT(M366,FIND("-",M366)-1)),M366)*200&gt;716399),"Вы уменьшили цену в несколько раз, товар попадет в карантин цен",IF(IFERROR(VALUE(LEFT(M366,FIND("-",M366)-1)),M366)*200&lt;=716399,"Не сохранили изменения, чтобы защитить от ошибки — новые цены меньше текущих более чем в 2 раза. Снижайте их постепенно",IF(AND(IFERROR(VALUE(I366),0)=0,ISNUMBER(J366),OR(J366&lt;337,ABS(IFERROR(VALUE(LEFT(M366,FIND("-",M366)-1)),M366))*100&lt;33700)),"Проверьте цену товара. Большинство товаров в выбранной категории стоят дороже 337","")))))),"")</f>
      </c>
    </row>
    <row r="367">
      <c r="A367" s="2" t="inlineStr">
        <is>
          <t/>
        </is>
      </c>
      <c r="B367" s="2" t="inlineStr">
        <is>
          <t>Турки электрические</t>
        </is>
      </c>
      <c r="C367" s="2">
        <v>603734210</v>
      </c>
      <c r="D367" s="2" t="inlineStr">
        <is>
          <t>192594</t>
        </is>
      </c>
      <c r="E367" s="2" t="inlineStr">
        <is>
          <t>2047147961908</t>
        </is>
      </c>
      <c r="F367" s="2" t="inlineStr">
        <is>
          <t/>
        </is>
      </c>
      <c r="G367" s="2" t="inlineStr">
        <is>
          <t/>
        </is>
      </c>
      <c r="H367" s="2" t="inlineStr">
        <is>
          <t/>
        </is>
      </c>
      <c r="I367" s="2" t="inlineStr">
        <is>
          <t>15034</t>
        </is>
      </c>
      <c r="J367" s="4"/>
      <c r="K367" s="2">
        <v>65</v>
      </c>
      <c r="L367" s="6"/>
      <c r="M367" s="2" t="str">
        <f>IF(J367="",ROUND(I367*(1-IF(ISBLANK(L367),K367,L367)/100),2),ROUND(J367*(1-IF(ISBLANK(L367),K367,L367)/100),2))</f>
      </c>
      <c r="N367" s="7" t="str">
        <f>IF(NOT(AND(J367="",L367="")),IF(OR(AND(L367&lt;&gt;"",NOT(ISNUMBER(L367))),IFERROR(MOD(L367,1),1)&gt;0,AND(ISNUMBER(L367),OR(L367&lt;0,L367&gt;95))),"Введите целое число от 0 до 95",IF(OR(AND(J367&lt;&gt;"",NOT(ISNUMBER(J367))),IFERROR(MOD(J367,1),1)&gt;0,AND(ISNUMBER(J367),OR(J367&lt;50,J367&gt;20000000))),"Введите целое число от 50 до 20000000",IF(NOT(ABS(IFERROR(VALUE(LEFT(M367,FIND("-",M367)-1)),M367)*100-(2500+2000000000)/2)&lt;=ABS(2500-2000000000)/2),"Цена со скидкой должна быть от 25 до 20000000",IF(AND(IFERROR(VALUE(LEFT(M367,FIND("-",M367)-1)),M367)*150&lt;=526190,IFERROR(VALUE(LEFT(M367,FIND("-",M367)-1)),M367)*200&gt;526190),"Вы уменьшили цену в несколько раз, товар попадет в карантин цен",IF(IFERROR(VALUE(LEFT(M367,FIND("-",M367)-1)),M367)*200&lt;=526190,"Не сохранили изменения, чтобы защитить от ошибки — новые цены меньше текущих более чем в 2 раза. Снижайте их постепенно",IF(AND(IFERROR(VALUE(I367),0)=0,ISNUMBER(J367),OR(J367&lt;625,ABS(IFERROR(VALUE(LEFT(M367,FIND("-",M367)-1)),M367))*100&lt;62500)),"Проверьте цену товара. Большинство товаров в выбранной категории стоят дороже 625","")))))),"")</f>
      </c>
    </row>
    <row r="368">
      <c r="A368" s="2" t="inlineStr">
        <is>
          <t/>
        </is>
      </c>
      <c r="B368" s="2" t="inlineStr">
        <is>
          <t>Турки электрические</t>
        </is>
      </c>
      <c r="C368" s="2">
        <v>603734209</v>
      </c>
      <c r="D368" s="2" t="inlineStr">
        <is>
          <t>192561</t>
        </is>
      </c>
      <c r="E368" s="2" t="inlineStr">
        <is>
          <t>2047147961892</t>
        </is>
      </c>
      <c r="F368" s="2">
        <v>0</v>
      </c>
      <c r="G368" s="2">
        <v>0</v>
      </c>
      <c r="H368" s="2" t="inlineStr">
        <is>
          <t/>
        </is>
      </c>
      <c r="I368" s="2" t="inlineStr">
        <is>
          <t>26773</t>
        </is>
      </c>
      <c r="J368" s="4"/>
      <c r="K368" s="2">
        <v>65</v>
      </c>
      <c r="L368" s="6"/>
      <c r="M368" s="2" t="str">
        <f>IF(J368="",ROUND(I368*(1-IF(ISBLANK(L368),K368,L368)/100),2),ROUND(J368*(1-IF(ISBLANK(L368),K368,L368)/100),2))</f>
      </c>
      <c r="N368" s="7" t="str">
        <f>IF(NOT(AND(J368="",L368="")),IF(OR(AND(L368&lt;&gt;"",NOT(ISNUMBER(L368))),IFERROR(MOD(L368,1),1)&gt;0,AND(ISNUMBER(L368),OR(L368&lt;0,L368&gt;95))),"Введите целое число от 0 до 95",IF(OR(AND(J368&lt;&gt;"",NOT(ISNUMBER(J368))),IFERROR(MOD(J368,1),1)&gt;0,AND(ISNUMBER(J368),OR(J368&lt;50,J368&gt;20000000))),"Введите целое число от 50 до 20000000",IF(NOT(ABS(IFERROR(VALUE(LEFT(M368,FIND("-",M368)-1)),M368)*100-(2500+2000000000)/2)&lt;=ABS(2500-2000000000)/2),"Цена со скидкой должна быть от 25 до 20000000",IF(AND(IFERROR(VALUE(LEFT(M368,FIND("-",M368)-1)),M368)*150&lt;=937054,IFERROR(VALUE(LEFT(M368,FIND("-",M368)-1)),M368)*200&gt;937054),"Вы уменьшили цену в несколько раз, товар попадет в карантин цен",IF(IFERROR(VALUE(LEFT(M368,FIND("-",M368)-1)),M368)*200&lt;=937054,"Не сохранили изменения, чтобы защитить от ошибки — новые цены меньше текущих более чем в 2 раза. Снижайте их постепенно",IF(AND(IFERROR(VALUE(I368),0)=0,ISNUMBER(J368),OR(J368&lt;625,ABS(IFERROR(VALUE(LEFT(M368,FIND("-",M368)-1)),M368))*100&lt;62500)),"Проверьте цену товара. Большинство товаров в выбранной категории стоят дороже 625","")))))),"")</f>
      </c>
    </row>
    <row r="369">
      <c r="A369" s="2" t="inlineStr">
        <is>
          <t/>
        </is>
      </c>
      <c r="B369" s="2" t="inlineStr">
        <is>
          <t>Плиты настольные</t>
        </is>
      </c>
      <c r="C369" s="2">
        <v>603737945</v>
      </c>
      <c r="D369" s="2" t="inlineStr">
        <is>
          <t>19505</t>
        </is>
      </c>
      <c r="E369" s="2" t="inlineStr">
        <is>
          <t>2047148006127</t>
        </is>
      </c>
      <c r="F369" s="2">
        <v>0</v>
      </c>
      <c r="G369" s="2">
        <v>9</v>
      </c>
      <c r="H369" s="2" t="inlineStr">
        <is>
          <t/>
        </is>
      </c>
      <c r="I369" s="2" t="inlineStr">
        <is>
          <t>7004</t>
        </is>
      </c>
      <c r="J369" s="4"/>
      <c r="K369" s="2">
        <v>78</v>
      </c>
      <c r="L369" s="6"/>
      <c r="M369" s="2" t="str">
        <f>IF(J369="",ROUND(I369*(1-IF(ISBLANK(L369),K369,L369)/100),2),ROUND(J369*(1-IF(ISBLANK(L369),K369,L369)/100),2))</f>
      </c>
      <c r="N369" s="7" t="str">
        <f>IF(NOT(AND(J369="",L369="")),IF(OR(AND(L369&lt;&gt;"",NOT(ISNUMBER(L369))),IFERROR(MOD(L369,1),1)&gt;0,AND(ISNUMBER(L369),OR(L369&lt;0,L369&gt;95))),"Введите целое число от 0 до 95",IF(OR(AND(J369&lt;&gt;"",NOT(ISNUMBER(J369))),IFERROR(MOD(J369,1),1)&gt;0,AND(ISNUMBER(J369),OR(J369&lt;50,J369&gt;20000000))),"Введите целое число от 50 до 20000000",IF(NOT(ABS(IFERROR(VALUE(LEFT(M369,FIND("-",M369)-1)),M369)*100-(2500+2000000000)/2)&lt;=ABS(2500-2000000000)/2),"Цена со скидкой должна быть от 25 до 20000000",IF(AND(IFERROR(VALUE(LEFT(M369,FIND("-",M369)-1)),M369)*150&lt;=154088,IFERROR(VALUE(LEFT(M369,FIND("-",M369)-1)),M369)*200&gt;154088),"Вы уменьшили цену в несколько раз, товар попадет в карантин цен",IF(IFERROR(VALUE(LEFT(M369,FIND("-",M369)-1)),M369)*200&lt;=154088,"Не сохранили изменения, чтобы защитить от ошибки — новые цены меньше текущих более чем в 2 раза. Снижайте их постепенно",IF(AND(IFERROR(VALUE(I369),0)=0,ISNUMBER(J369),OR(J369&lt;316,ABS(IFERROR(VALUE(LEFT(M369,FIND("-",M369)-1)),M369))*100&lt;31600)),"Проверьте цену товара. Большинство товаров в выбранной категории стоят дороже 316","")))))),"")</f>
      </c>
    </row>
    <row r="370">
      <c r="A370" s="2" t="inlineStr">
        <is>
          <t/>
        </is>
      </c>
      <c r="B370" s="2" t="inlineStr">
        <is>
          <t>Грили электрические</t>
        </is>
      </c>
      <c r="C370" s="2">
        <v>603736225</v>
      </c>
      <c r="D370" s="2" t="inlineStr">
        <is>
          <t>192578</t>
        </is>
      </c>
      <c r="E370" s="2" t="inlineStr">
        <is>
          <t>2047147983122</t>
        </is>
      </c>
      <c r="F370" s="2">
        <v>0</v>
      </c>
      <c r="G370" s="2">
        <v>1</v>
      </c>
      <c r="H370" s="2" t="inlineStr">
        <is>
          <t/>
        </is>
      </c>
      <c r="I370" s="2" t="inlineStr">
        <is>
          <t>21048</t>
        </is>
      </c>
      <c r="J370" s="4"/>
      <c r="K370" s="2">
        <v>80</v>
      </c>
      <c r="L370" s="6"/>
      <c r="M370" s="2" t="str">
        <f>IF(J370="",ROUND(I370*(1-IF(ISBLANK(L370),K370,L370)/100),2),ROUND(J370*(1-IF(ISBLANK(L370),K370,L370)/100),2))</f>
      </c>
      <c r="N370" s="7" t="str">
        <f>IF(NOT(AND(J370="",L370="")),IF(OR(AND(L370&lt;&gt;"",NOT(ISNUMBER(L370))),IFERROR(MOD(L370,1),1)&gt;0,AND(ISNUMBER(L370),OR(L370&lt;0,L370&gt;95))),"Введите целое число от 0 до 95",IF(OR(AND(J370&lt;&gt;"",NOT(ISNUMBER(J370))),IFERROR(MOD(J370,1),1)&gt;0,AND(ISNUMBER(J370),OR(J370&lt;50,J370&gt;20000000))),"Введите целое число от 50 до 20000000",IF(NOT(ABS(IFERROR(VALUE(LEFT(M370,FIND("-",M370)-1)),M370)*100-(2500+2000000000)/2)&lt;=ABS(2500-2000000000)/2),"Цена со скидкой должна быть от 25 до 20000000",IF(AND(IFERROR(VALUE(LEFT(M370,FIND("-",M370)-1)),M370)*150&lt;=420959,IFERROR(VALUE(LEFT(M370,FIND("-",M370)-1)),M370)*200&gt;420959),"Вы уменьшили цену в несколько раз, товар попадет в карантин цен",IF(IFERROR(VALUE(LEFT(M370,FIND("-",M370)-1)),M370)*200&lt;=420959,"Не сохранили изменения, чтобы защитить от ошибки — новые цены меньше текущих более чем в 2 раза. Снижайте их постепенно",IF(AND(IFERROR(VALUE(I370),0)=0,ISNUMBER(J370),OR(J370&lt;337,ABS(IFERROR(VALUE(LEFT(M370,FIND("-",M370)-1)),M370))*100&lt;33700)),"Проверьте цену товара. Большинство товаров в выбранной категории стоят дороже 337","")))))),"")</f>
      </c>
    </row>
    <row r="371">
      <c r="A371" s="2" t="inlineStr">
        <is>
          <t/>
        </is>
      </c>
      <c r="B371" s="2" t="inlineStr">
        <is>
          <t>Грили электрические</t>
        </is>
      </c>
      <c r="C371" s="2">
        <v>603736232</v>
      </c>
      <c r="D371" s="2" t="inlineStr">
        <is>
          <t>192289</t>
        </is>
      </c>
      <c r="E371" s="2" t="inlineStr">
        <is>
          <t>2047147983313</t>
        </is>
      </c>
      <c r="F371" s="2">
        <v>0</v>
      </c>
      <c r="G371" s="2">
        <v>0</v>
      </c>
      <c r="H371" s="2" t="inlineStr">
        <is>
          <t/>
        </is>
      </c>
      <c r="I371" s="2" t="inlineStr">
        <is>
          <t>11225</t>
        </is>
      </c>
      <c r="J371" s="4"/>
      <c r="K371" s="2">
        <v>65</v>
      </c>
      <c r="L371" s="6"/>
      <c r="M371" s="2" t="str">
        <f>IF(J371="",ROUND(I371*(1-IF(ISBLANK(L371),K371,L371)/100),2),ROUND(J371*(1-IF(ISBLANK(L371),K371,L371)/100),2))</f>
      </c>
      <c r="N371" s="7" t="str">
        <f>IF(NOT(AND(J371="",L371="")),IF(OR(AND(L371&lt;&gt;"",NOT(ISNUMBER(L371))),IFERROR(MOD(L371,1),1)&gt;0,AND(ISNUMBER(L371),OR(L371&lt;0,L371&gt;95))),"Введите целое число от 0 до 95",IF(OR(AND(J371&lt;&gt;"",NOT(ISNUMBER(J371))),IFERROR(MOD(J371,1),1)&gt;0,AND(ISNUMBER(J371),OR(J371&lt;50,J371&gt;20000000))),"Введите целое число от 50 до 20000000",IF(NOT(ABS(IFERROR(VALUE(LEFT(M371,FIND("-",M371)-1)),M371)*100-(2500+2000000000)/2)&lt;=ABS(2500-2000000000)/2),"Цена со скидкой должна быть от 25 до 20000000",IF(AND(IFERROR(VALUE(LEFT(M371,FIND("-",M371)-1)),M371)*150&lt;=392874,IFERROR(VALUE(LEFT(M371,FIND("-",M371)-1)),M371)*200&gt;392874),"Вы уменьшили цену в несколько раз, товар попадет в карантин цен",IF(IFERROR(VALUE(LEFT(M371,FIND("-",M371)-1)),M371)*200&lt;=392874,"Не сохранили изменения, чтобы защитить от ошибки — новые цены меньше текущих более чем в 2 раза. Снижайте их постепенно",IF(AND(IFERROR(VALUE(I371),0)=0,ISNUMBER(J371),OR(J371&lt;337,ABS(IFERROR(VALUE(LEFT(M371,FIND("-",M371)-1)),M371))*100&lt;33700)),"Проверьте цену товара. Большинство товаров в выбранной категории стоят дороже 337","")))))),"")</f>
      </c>
    </row>
    <row r="372">
      <c r="A372" s="2" t="inlineStr">
        <is>
          <t/>
        </is>
      </c>
      <c r="B372" s="2" t="inlineStr">
        <is>
          <t>Плиты настольные</t>
        </is>
      </c>
      <c r="C372" s="2">
        <v>603737942</v>
      </c>
      <c r="D372" s="2" t="inlineStr">
        <is>
          <t>192547</t>
        </is>
      </c>
      <c r="E372" s="2" t="inlineStr">
        <is>
          <t>2047148006080</t>
        </is>
      </c>
      <c r="F372" s="2">
        <v>0</v>
      </c>
      <c r="G372" s="2">
        <v>15</v>
      </c>
      <c r="H372" s="2" t="inlineStr">
        <is>
          <t/>
        </is>
      </c>
      <c r="I372" s="2" t="inlineStr">
        <is>
          <t>5980</t>
        </is>
      </c>
      <c r="J372" s="4"/>
      <c r="K372" s="2">
        <v>78</v>
      </c>
      <c r="L372" s="6"/>
      <c r="M372" s="2" t="str">
        <f>IF(J372="",ROUND(I372*(1-IF(ISBLANK(L372),K372,L372)/100),2),ROUND(J372*(1-IF(ISBLANK(L372),K372,L372)/100),2))</f>
      </c>
      <c r="N372" s="7" t="str">
        <f>IF(NOT(AND(J372="",L372="")),IF(OR(AND(L372&lt;&gt;"",NOT(ISNUMBER(L372))),IFERROR(MOD(L372,1),1)&gt;0,AND(ISNUMBER(L372),OR(L372&lt;0,L372&gt;95))),"Введите целое число от 0 до 95",IF(OR(AND(J372&lt;&gt;"",NOT(ISNUMBER(J372))),IFERROR(MOD(J372,1),1)&gt;0,AND(ISNUMBER(J372),OR(J372&lt;50,J372&gt;20000000))),"Введите целое число от 50 до 20000000",IF(NOT(ABS(IFERROR(VALUE(LEFT(M372,FIND("-",M372)-1)),M372)*100-(2500+2000000000)/2)&lt;=ABS(2500-2000000000)/2),"Цена со скидкой должна быть от 25 до 20000000",IF(AND(IFERROR(VALUE(LEFT(M372,FIND("-",M372)-1)),M372)*150&lt;=131560,IFERROR(VALUE(LEFT(M372,FIND("-",M372)-1)),M372)*200&gt;131560),"Вы уменьшили цену в несколько раз, товар попадет в карантин цен",IF(IFERROR(VALUE(LEFT(M372,FIND("-",M372)-1)),M372)*200&lt;=131560,"Не сохранили изменения, чтобы защитить от ошибки — новые цены меньше текущих более чем в 2 раза. Снижайте их постепенно",IF(AND(IFERROR(VALUE(I372),0)=0,ISNUMBER(J372),OR(J372&lt;316,ABS(IFERROR(VALUE(LEFT(M372,FIND("-",M372)-1)),M372))*100&lt;31600)),"Проверьте цену товара. Большинство товаров в выбранной категории стоят дороже 316","")))))),"")</f>
      </c>
    </row>
    <row r="373">
      <c r="A373" s="2" t="inlineStr">
        <is>
          <t/>
        </is>
      </c>
      <c r="B373" s="2" t="inlineStr">
        <is>
          <t>Плиты настольные</t>
        </is>
      </c>
      <c r="C373" s="2">
        <v>603737947</v>
      </c>
      <c r="D373" s="2" t="inlineStr">
        <is>
          <t>19427</t>
        </is>
      </c>
      <c r="E373" s="2" t="inlineStr">
        <is>
          <t>2047148006141</t>
        </is>
      </c>
      <c r="F373" s="2">
        <v>0</v>
      </c>
      <c r="G373" s="2">
        <v>7</v>
      </c>
      <c r="H373" s="2" t="inlineStr">
        <is>
          <t/>
        </is>
      </c>
      <c r="I373" s="2" t="inlineStr">
        <is>
          <t>7056</t>
        </is>
      </c>
      <c r="J373" s="4"/>
      <c r="K373" s="2">
        <v>78</v>
      </c>
      <c r="L373" s="6"/>
      <c r="M373" s="2" t="str">
        <f>IF(J373="",ROUND(I373*(1-IF(ISBLANK(L373),K373,L373)/100),2),ROUND(J373*(1-IF(ISBLANK(L373),K373,L373)/100),2))</f>
      </c>
      <c r="N373" s="7" t="str">
        <f>IF(NOT(AND(J373="",L373="")),IF(OR(AND(L373&lt;&gt;"",NOT(ISNUMBER(L373))),IFERROR(MOD(L373,1),1)&gt;0,AND(ISNUMBER(L373),OR(L373&lt;0,L373&gt;95))),"Введите целое число от 0 до 95",IF(OR(AND(J373&lt;&gt;"",NOT(ISNUMBER(J373))),IFERROR(MOD(J373,1),1)&gt;0,AND(ISNUMBER(J373),OR(J373&lt;50,J373&gt;20000000))),"Введите целое число от 50 до 20000000",IF(NOT(ABS(IFERROR(VALUE(LEFT(M373,FIND("-",M373)-1)),M373)*100-(2500+2000000000)/2)&lt;=ABS(2500-2000000000)/2),"Цена со скидкой должна быть от 25 до 20000000",IF(AND(IFERROR(VALUE(LEFT(M373,FIND("-",M373)-1)),M373)*150&lt;=155231,IFERROR(VALUE(LEFT(M373,FIND("-",M373)-1)),M373)*200&gt;155231),"Вы уменьшили цену в несколько раз, товар попадет в карантин цен",IF(IFERROR(VALUE(LEFT(M373,FIND("-",M373)-1)),M373)*200&lt;=155231,"Не сохранили изменения, чтобы защитить от ошибки — новые цены меньше текущих более чем в 2 раза. Снижайте их постепенно",IF(AND(IFERROR(VALUE(I373),0)=0,ISNUMBER(J373),OR(J373&lt;316,ABS(IFERROR(VALUE(LEFT(M373,FIND("-",M373)-1)),M373))*100&lt;31600)),"Проверьте цену товара. Большинство товаров в выбранной категории стоят дороже 316","")))))),"")</f>
      </c>
    </row>
    <row r="374">
      <c r="A374" s="2" t="inlineStr">
        <is>
          <t/>
        </is>
      </c>
      <c r="B374" s="2" t="inlineStr">
        <is>
          <t>Мясорубки электрические</t>
        </is>
      </c>
      <c r="C374" s="2">
        <v>603737969</v>
      </c>
      <c r="D374" s="2" t="inlineStr">
        <is>
          <t>192613</t>
        </is>
      </c>
      <c r="E374" s="2" t="inlineStr">
        <is>
          <t>2047148006516</t>
        </is>
      </c>
      <c r="F374" s="2">
        <v>0</v>
      </c>
      <c r="G374" s="2">
        <v>1</v>
      </c>
      <c r="H374" s="2" t="inlineStr">
        <is>
          <t/>
        </is>
      </c>
      <c r="I374" s="2" t="inlineStr">
        <is>
          <t>28080</t>
        </is>
      </c>
      <c r="J374" s="4"/>
      <c r="K374" s="2">
        <v>80</v>
      </c>
      <c r="L374" s="6"/>
      <c r="M374" s="2" t="str">
        <f>IF(J374="",ROUND(I374*(1-IF(ISBLANK(L374),K374,L374)/100),2),ROUND(J374*(1-IF(ISBLANK(L374),K374,L374)/100),2))</f>
      </c>
      <c r="N374" s="7" t="str">
        <f>IF(NOT(AND(J374="",L374="")),IF(OR(AND(L374&lt;&gt;"",NOT(ISNUMBER(L374))),IFERROR(MOD(L374,1),1)&gt;0,AND(ISNUMBER(L374),OR(L374&lt;0,L374&gt;95))),"Введите целое число от 0 до 95",IF(OR(AND(J374&lt;&gt;"",NOT(ISNUMBER(J374))),IFERROR(MOD(J374,1),1)&gt;0,AND(ISNUMBER(J374),OR(J374&lt;50,J374&gt;20000000))),"Введите целое число от 50 до 20000000",IF(NOT(ABS(IFERROR(VALUE(LEFT(M374,FIND("-",M374)-1)),M374)*100-(2500+2000000000)/2)&lt;=ABS(2500-2000000000)/2),"Цена со скидкой должна быть от 25 до 20000000",IF(AND(IFERROR(VALUE(LEFT(M374,FIND("-",M374)-1)),M374)*150&lt;=561599,IFERROR(VALUE(LEFT(M374,FIND("-",M374)-1)),M374)*200&gt;561599),"Вы уменьшили цену в несколько раз, товар попадет в карантин цен",IF(IFERROR(VALUE(LEFT(M374,FIND("-",M374)-1)),M374)*200&lt;=561599,"Не сохранили изменения, чтобы защитить от ошибки — новые цены меньше текущих более чем в 2 раза. Снижайте их постепенно",IF(AND(IFERROR(VALUE(I374),0)=0,ISNUMBER(J374),OR(J374&lt;454,ABS(IFERROR(VALUE(LEFT(M374,FIND("-",M374)-1)),M374))*100&lt;45400)),"Проверьте цену товара. Большинство товаров в выбранной категории стоят дороже 454","")))))),"")</f>
      </c>
    </row>
    <row r="375">
      <c r="A375" s="2" t="inlineStr">
        <is>
          <t/>
        </is>
      </c>
      <c r="B375" s="2" t="inlineStr">
        <is>
          <t>Шторы для ванной</t>
        </is>
      </c>
      <c r="C375" s="2">
        <v>766623313</v>
      </c>
      <c r="D375" s="2" t="inlineStr">
        <is>
          <t>420529</t>
        </is>
      </c>
      <c r="E375" s="2" t="inlineStr">
        <is>
          <t>2048435361899</t>
        </is>
      </c>
      <c r="F375" s="2">
        <v>19</v>
      </c>
      <c r="G375" s="2">
        <v>0</v>
      </c>
      <c r="H375" s="2">
        <v>999</v>
      </c>
      <c r="I375" s="2" t="inlineStr">
        <is>
          <t>5671</t>
        </is>
      </c>
      <c r="J375" s="4"/>
      <c r="K375" s="2">
        <v>81</v>
      </c>
      <c r="L375" s="6"/>
      <c r="M375" s="2" t="str">
        <f>IF(J375="",ROUND(I375*(1-IF(ISBLANK(L375),K375,L375)/100),2),ROUND(J375*(1-IF(ISBLANK(L375),K375,L375)/100),2))</f>
      </c>
      <c r="N375" s="7" t="str">
        <f>IF(NOT(AND(J375="",L375="")),IF(OR(AND(L375&lt;&gt;"",NOT(ISNUMBER(L375))),IFERROR(MOD(L375,1),1)&gt;0,AND(ISNUMBER(L375),OR(L375&lt;0,L375&gt;95))),"Введите целое число от 0 до 95",IF(OR(AND(J375&lt;&gt;"",NOT(ISNUMBER(J375))),IFERROR(MOD(J375,1),1)&gt;0,AND(ISNUMBER(J375),OR(J375&lt;50,J375&gt;20000000))),"Введите целое число от 50 до 20000000",IF(NOT(ABS(IFERROR(VALUE(LEFT(M375,FIND("-",M375)-1)),M375)*100-(2500+2000000000)/2)&lt;=ABS(2500-2000000000)/2),"Цена со скидкой должна быть от 25 до 20000000",IF(AND(IFERROR(VALUE(LEFT(M375,FIND("-",M375)-1)),M375)*150&lt;=107748,IFERROR(VALUE(LEFT(M375,FIND("-",M375)-1)),M375)*200&gt;107748),"Вы уменьшили цену в несколько раз, товар попадет в карантин цен",IF(IFERROR(VALUE(LEFT(M375,FIND("-",M375)-1)),M375)*200&lt;=107748,"Не сохранили изменения, чтобы защитить от ошибки — новые цены меньше текущих более чем в 2 раза. Снижайте их постепенно",IF(AND(IFERROR(VALUE(I375),0)=0,ISNUMBER(J375),OR(J375&lt;491,ABS(IFERROR(VALUE(LEFT(M375,FIND("-",M375)-1)),M375))*100&lt;49100)),"Проверьте цену товара. Большинство товаров в выбранной категории стоят дороже 491","")))))),"")</f>
      </c>
    </row>
    <row r="376">
      <c r="A376" s="2" t="inlineStr">
        <is>
          <t/>
        </is>
      </c>
      <c r="B376" s="2" t="inlineStr">
        <is>
          <t>Плиты настольные</t>
        </is>
      </c>
      <c r="C376" s="2">
        <v>603737943</v>
      </c>
      <c r="D376" s="2" t="inlineStr">
        <is>
          <t>191740</t>
        </is>
      </c>
      <c r="E376" s="2" t="inlineStr">
        <is>
          <t>2047148006097</t>
        </is>
      </c>
      <c r="F376" s="2">
        <v>0</v>
      </c>
      <c r="G376" s="2">
        <v>0</v>
      </c>
      <c r="H376" s="2">
        <v>6</v>
      </c>
      <c r="I376" s="2" t="inlineStr">
        <is>
          <t>12128</t>
        </is>
      </c>
      <c r="J376" s="4"/>
      <c r="K376" s="2">
        <v>75</v>
      </c>
      <c r="L376" s="6"/>
      <c r="M376" s="2" t="str">
        <f>IF(J376="",ROUND(I376*(1-IF(ISBLANK(L376),K376,L376)/100),2),ROUND(J376*(1-IF(ISBLANK(L376),K376,L376)/100),2))</f>
      </c>
      <c r="N376" s="7" t="str">
        <f>IF(NOT(AND(J376="",L376="")),IF(OR(AND(L376&lt;&gt;"",NOT(ISNUMBER(L376))),IFERROR(MOD(L376,1),1)&gt;0,AND(ISNUMBER(L376),OR(L376&lt;0,L376&gt;95))),"Введите целое число от 0 до 95",IF(OR(AND(J376&lt;&gt;"",NOT(ISNUMBER(J376))),IFERROR(MOD(J376,1),1)&gt;0,AND(ISNUMBER(J376),OR(J376&lt;50,J376&gt;20000000))),"Введите целое число от 50 до 20000000",IF(NOT(ABS(IFERROR(VALUE(LEFT(M376,FIND("-",M376)-1)),M376)*100-(2500+2000000000)/2)&lt;=ABS(2500-2000000000)/2),"Цена со скидкой должна быть от 25 до 20000000",IF(AND(IFERROR(VALUE(LEFT(M376,FIND("-",M376)-1)),M376)*150&lt;=303200,IFERROR(VALUE(LEFT(M376,FIND("-",M376)-1)),M376)*200&gt;303200),"Вы уменьшили цену в несколько раз, товар попадет в карантин цен",IF(IFERROR(VALUE(LEFT(M376,FIND("-",M376)-1)),M376)*200&lt;=303200,"Не сохранили изменения, чтобы защитить от ошибки — новые цены меньше текущих более чем в 2 раза. Снижайте их постепенно",IF(AND(IFERROR(VALUE(I376),0)=0,ISNUMBER(J376),OR(J376&lt;316,ABS(IFERROR(VALUE(LEFT(M376,FIND("-",M376)-1)),M376))*100&lt;31600)),"Проверьте цену товара. Большинство товаров в выбранной категории стоят дороже 316","")))))),"")</f>
      </c>
    </row>
    <row r="377">
      <c r="A377" s="2" t="inlineStr">
        <is>
          <t/>
        </is>
      </c>
      <c r="B377" s="2" t="inlineStr">
        <is>
          <t>Шторы для ванной</t>
        </is>
      </c>
      <c r="C377" s="2">
        <v>619535094</v>
      </c>
      <c r="D377" s="2" t="inlineStr">
        <is>
          <t>420201</t>
        </is>
      </c>
      <c r="E377" s="2" t="inlineStr">
        <is>
          <t>2047325559019</t>
        </is>
      </c>
      <c r="F377" s="2">
        <v>4</v>
      </c>
      <c r="G377" s="2">
        <v>0</v>
      </c>
      <c r="H377" s="2">
        <v>999</v>
      </c>
      <c r="I377" s="2" t="inlineStr">
        <is>
          <t>6592</t>
        </is>
      </c>
      <c r="J377" s="4"/>
      <c r="K377" s="2">
        <v>81</v>
      </c>
      <c r="L377" s="6"/>
      <c r="M377" s="2" t="str">
        <f>IF(J377="",ROUND(I377*(1-IF(ISBLANK(L377),K377,L377)/100),2),ROUND(J377*(1-IF(ISBLANK(L377),K377,L377)/100),2))</f>
      </c>
      <c r="N377" s="7" t="str">
        <f>IF(NOT(AND(J377="",L377="")),IF(OR(AND(L377&lt;&gt;"",NOT(ISNUMBER(L377))),IFERROR(MOD(L377,1),1)&gt;0,AND(ISNUMBER(L377),OR(L377&lt;0,L377&gt;95))),"Введите целое число от 0 до 95",IF(OR(AND(J377&lt;&gt;"",NOT(ISNUMBER(J377))),IFERROR(MOD(J377,1),1)&gt;0,AND(ISNUMBER(J377),OR(J377&lt;50,J377&gt;20000000))),"Введите целое число от 50 до 20000000",IF(NOT(ABS(IFERROR(VALUE(LEFT(M377,FIND("-",M377)-1)),M377)*100-(2500+2000000000)/2)&lt;=ABS(2500-2000000000)/2),"Цена со скидкой должна быть от 25 до 20000000",IF(AND(IFERROR(VALUE(LEFT(M377,FIND("-",M377)-1)),M377)*150&lt;=125247,IFERROR(VALUE(LEFT(M377,FIND("-",M377)-1)),M377)*200&gt;125247),"Вы уменьшили цену в несколько раз, товар попадет в карантин цен",IF(IFERROR(VALUE(LEFT(M377,FIND("-",M377)-1)),M377)*200&lt;=125247,"Не сохранили изменения, чтобы защитить от ошибки — новые цены меньше текущих более чем в 2 раза. Снижайте их постепенно",IF(AND(IFERROR(VALUE(I377),0)=0,ISNUMBER(J377),OR(J377&lt;491,ABS(IFERROR(VALUE(LEFT(M377,FIND("-",M377)-1)),M377))*100&lt;49100)),"Проверьте цену товара. Большинство товаров в выбранной категории стоят дороже 491","")))))),"")</f>
      </c>
    </row>
    <row r="378">
      <c r="A378" s="2" t="inlineStr">
        <is>
          <t/>
        </is>
      </c>
      <c r="B378" s="2" t="inlineStr">
        <is>
          <t>Сковороды</t>
        </is>
      </c>
      <c r="C378" s="2">
        <v>729286966</v>
      </c>
      <c r="D378" s="2" t="inlineStr">
        <is>
          <t>20159</t>
        </is>
      </c>
      <c r="E378" s="2" t="inlineStr">
        <is>
          <t>2048080629887</t>
        </is>
      </c>
      <c r="F378" s="2">
        <v>0</v>
      </c>
      <c r="G378" s="2">
        <v>1</v>
      </c>
      <c r="H378" s="2" t="inlineStr">
        <is>
          <t/>
        </is>
      </c>
      <c r="I378" s="2" t="inlineStr">
        <is>
          <t>20574</t>
        </is>
      </c>
      <c r="J378" s="4"/>
      <c r="K378" s="2">
        <v>80</v>
      </c>
      <c r="L378" s="6"/>
      <c r="M378" s="2" t="str">
        <f>IF(J378="",ROUND(I378*(1-IF(ISBLANK(L378),K378,L378)/100),2),ROUND(J378*(1-IF(ISBLANK(L378),K378,L378)/100),2))</f>
      </c>
      <c r="N378" s="7" t="str">
        <f>IF(NOT(AND(J378="",L378="")),IF(OR(AND(L378&lt;&gt;"",NOT(ISNUMBER(L378))),IFERROR(MOD(L378,1),1)&gt;0,AND(ISNUMBER(L378),OR(L378&lt;0,L378&gt;95))),"Введите целое число от 0 до 95",IF(OR(AND(J378&lt;&gt;"",NOT(ISNUMBER(J378))),IFERROR(MOD(J378,1),1)&gt;0,AND(ISNUMBER(J378),OR(J378&lt;50,J378&gt;20000000))),"Введите целое число от 50 до 20000000",IF(NOT(ABS(IFERROR(VALUE(LEFT(M378,FIND("-",M378)-1)),M378)*100-(2500+2000000000)/2)&lt;=ABS(2500-2000000000)/2),"Цена со скидкой должна быть от 25 до 20000000",IF(AND(IFERROR(VALUE(LEFT(M378,FIND("-",M378)-1)),M378)*150&lt;=411479,IFERROR(VALUE(LEFT(M378,FIND("-",M378)-1)),M378)*200&gt;411479),"Вы уменьшили цену в несколько раз, товар попадет в карантин цен",IF(IFERROR(VALUE(LEFT(M378,FIND("-",M378)-1)),M378)*200&lt;=411479,"Не сохранили изменения, чтобы защитить от ошибки — новые цены меньше текущих более чем в 2 раза. Снижайте их постепенно",IF(AND(IFERROR(VALUE(I378),0)=0,ISNUMBER(J378),OR(J378&lt;756,ABS(IFERROR(VALUE(LEFT(M378,FIND("-",M378)-1)),M378))*100&lt;75600)),"Проверьте цену товара. Большинство товаров в выбранной категории стоят дороже 756","")))))),"")</f>
      </c>
    </row>
    <row r="379">
      <c r="A379" s="2" t="inlineStr">
        <is>
          <t/>
        </is>
      </c>
      <c r="B379" s="2" t="inlineStr">
        <is>
          <t>Часы настенные</t>
        </is>
      </c>
      <c r="C379" s="2">
        <v>765919362</v>
      </c>
      <c r="D379" s="2" t="inlineStr">
        <is>
          <t>660508</t>
        </is>
      </c>
      <c r="E379" s="2" t="inlineStr">
        <is>
          <t>2048428667496</t>
        </is>
      </c>
      <c r="F379" s="2">
        <v>0</v>
      </c>
      <c r="G379" s="2">
        <v>0</v>
      </c>
      <c r="H379" s="2" t="inlineStr">
        <is>
          <t/>
        </is>
      </c>
      <c r="I379" s="2" t="inlineStr">
        <is>
          <t>8873</t>
        </is>
      </c>
      <c r="J379" s="4"/>
      <c r="K379" s="2">
        <v>65</v>
      </c>
      <c r="L379" s="6"/>
      <c r="M379" s="2" t="str">
        <f>IF(J379="",ROUND(I379*(1-IF(ISBLANK(L379),K379,L379)/100),2),ROUND(J379*(1-IF(ISBLANK(L379),K379,L379)/100),2))</f>
      </c>
      <c r="N379" s="7" t="str">
        <f>IF(NOT(AND(J379="",L379="")),IF(OR(AND(L379&lt;&gt;"",NOT(ISNUMBER(L379))),IFERROR(MOD(L379,1),1)&gt;0,AND(ISNUMBER(L379),OR(L379&lt;0,L379&gt;95))),"Введите целое число от 0 до 95",IF(OR(AND(J379&lt;&gt;"",NOT(ISNUMBER(J379))),IFERROR(MOD(J379,1),1)&gt;0,AND(ISNUMBER(J379),OR(J379&lt;50,J379&gt;20000000))),"Введите целое число от 50 до 20000000",IF(NOT(ABS(IFERROR(VALUE(LEFT(M379,FIND("-",M379)-1)),M379)*100-(2500+2000000000)/2)&lt;=ABS(2500-2000000000)/2),"Цена со скидкой должна быть от 25 до 20000000",IF(AND(IFERROR(VALUE(LEFT(M379,FIND("-",M379)-1)),M379)*150&lt;=310555,IFERROR(VALUE(LEFT(M379,FIND("-",M379)-1)),M379)*200&gt;310555),"Вы уменьшили цену в несколько раз, товар попадет в карантин цен",IF(IFERROR(VALUE(LEFT(M379,FIND("-",M379)-1)),M379)*200&lt;=310555,"Не сохранили изменения, чтобы защитить от ошибки — новые цены меньше текущих более чем в 2 раза. Снижайте их постепенно",IF(AND(IFERROR(VALUE(I379),0)=0,ISNUMBER(J379),OR(J379&lt;481,ABS(IFERROR(VALUE(LEFT(M379,FIND("-",M379)-1)),M379))*100&lt;48100)),"Проверьте цену товара. Большинство товаров в выбранной категории стоят дороже 481","")))))),"")</f>
      </c>
    </row>
    <row r="380">
      <c r="A380" s="2" t="inlineStr">
        <is>
          <t/>
        </is>
      </c>
      <c r="B380" s="2" t="inlineStr">
        <is>
          <t>Шторы для ванной</t>
        </is>
      </c>
      <c r="C380" s="2">
        <v>766623312</v>
      </c>
      <c r="D380" s="2" t="inlineStr">
        <is>
          <t>420528</t>
        </is>
      </c>
      <c r="E380" s="2" t="inlineStr">
        <is>
          <t>2048435361882</t>
        </is>
      </c>
      <c r="F380" s="2">
        <v>10</v>
      </c>
      <c r="G380" s="2">
        <v>0</v>
      </c>
      <c r="H380" s="2">
        <v>999</v>
      </c>
      <c r="I380" s="2" t="inlineStr">
        <is>
          <t>5342</t>
        </is>
      </c>
      <c r="J380" s="4"/>
      <c r="K380" s="2">
        <v>80</v>
      </c>
      <c r="L380" s="6"/>
      <c r="M380" s="2" t="str">
        <f>IF(J380="",ROUND(I380*(1-IF(ISBLANK(L380),K380,L380)/100),2),ROUND(J380*(1-IF(ISBLANK(L380),K380,L380)/100),2))</f>
      </c>
      <c r="N380" s="7" t="str">
        <f>IF(NOT(AND(J380="",L380="")),IF(OR(AND(L380&lt;&gt;"",NOT(ISNUMBER(L380))),IFERROR(MOD(L380,1),1)&gt;0,AND(ISNUMBER(L380),OR(L380&lt;0,L380&gt;95))),"Введите целое число от 0 до 95",IF(OR(AND(J380&lt;&gt;"",NOT(ISNUMBER(J380))),IFERROR(MOD(J380,1),1)&gt;0,AND(ISNUMBER(J380),OR(J380&lt;50,J380&gt;20000000))),"Введите целое число от 50 до 20000000",IF(NOT(ABS(IFERROR(VALUE(LEFT(M380,FIND("-",M380)-1)),M380)*100-(2500+2000000000)/2)&lt;=ABS(2500-2000000000)/2),"Цена со скидкой должна быть от 25 до 20000000",IF(AND(IFERROR(VALUE(LEFT(M380,FIND("-",M380)-1)),M380)*150&lt;=106839,IFERROR(VALUE(LEFT(M380,FIND("-",M380)-1)),M380)*200&gt;106839),"Вы уменьшили цену в несколько раз, товар попадет в карантин цен",IF(IFERROR(VALUE(LEFT(M380,FIND("-",M380)-1)),M380)*200&lt;=106839,"Не сохранили изменения, чтобы защитить от ошибки — новые цены меньше текущих более чем в 2 раза. Снижайте их постепенно",IF(AND(IFERROR(VALUE(I380),0)=0,ISNUMBER(J380),OR(J380&lt;491,ABS(IFERROR(VALUE(LEFT(M380,FIND("-",M380)-1)),M380))*100&lt;49100)),"Проверьте цену товара. Большинство товаров в выбранной категории стоят дороже 491","")))))),"")</f>
      </c>
    </row>
    <row r="381">
      <c r="A381" s="2" t="inlineStr">
        <is>
          <t/>
        </is>
      </c>
      <c r="B381" s="2" t="inlineStr">
        <is>
          <t>Часы настенные</t>
        </is>
      </c>
      <c r="C381" s="2">
        <v>765919399</v>
      </c>
      <c r="D381" s="2" t="inlineStr">
        <is>
          <t>660518</t>
        </is>
      </c>
      <c r="E381" s="2" t="inlineStr">
        <is>
          <t>2048428667632</t>
        </is>
      </c>
      <c r="F381" s="2">
        <v>0</v>
      </c>
      <c r="G381" s="2">
        <v>0</v>
      </c>
      <c r="H381" s="2" t="inlineStr">
        <is>
          <t/>
        </is>
      </c>
      <c r="I381" s="2" t="inlineStr">
        <is>
          <t>10588</t>
        </is>
      </c>
      <c r="J381" s="4"/>
      <c r="K381" s="2">
        <v>69</v>
      </c>
      <c r="L381" s="6"/>
      <c r="M381" s="2" t="str">
        <f>IF(J381="",ROUND(I381*(1-IF(ISBLANK(L381),K381,L381)/100),2),ROUND(J381*(1-IF(ISBLANK(L381),K381,L381)/100),2))</f>
      </c>
      <c r="N381" s="7" t="str">
        <f>IF(NOT(AND(J381="",L381="")),IF(OR(AND(L381&lt;&gt;"",NOT(ISNUMBER(L381))),IFERROR(MOD(L381,1),1)&gt;0,AND(ISNUMBER(L381),OR(L381&lt;0,L381&gt;95))),"Введите целое число от 0 до 95",IF(OR(AND(J381&lt;&gt;"",NOT(ISNUMBER(J381))),IFERROR(MOD(J381,1),1)&gt;0,AND(ISNUMBER(J381),OR(J381&lt;50,J381&gt;20000000))),"Введите целое число от 50 до 20000000",IF(NOT(ABS(IFERROR(VALUE(LEFT(M381,FIND("-",M381)-1)),M381)*100-(2500+2000000000)/2)&lt;=ABS(2500-2000000000)/2),"Цена со скидкой должна быть от 25 до 20000000",IF(AND(IFERROR(VALUE(LEFT(M381,FIND("-",M381)-1)),M381)*150&lt;=328228,IFERROR(VALUE(LEFT(M381,FIND("-",M381)-1)),M381)*200&gt;328228),"Вы уменьшили цену в несколько раз, товар попадет в карантин цен",IF(IFERROR(VALUE(LEFT(M381,FIND("-",M381)-1)),M381)*200&lt;=328228,"Не сохранили изменения, чтобы защитить от ошибки — новые цены меньше текущих более чем в 2 раза. Снижайте их постепенно",IF(AND(IFERROR(VALUE(I381),0)=0,ISNUMBER(J381),OR(J381&lt;481,ABS(IFERROR(VALUE(LEFT(M381,FIND("-",M381)-1)),M381))*100&lt;48100)),"Проверьте цену товара. Большинство товаров в выбранной категории стоят дороже 481","")))))),"")</f>
      </c>
    </row>
    <row r="382">
      <c r="A382" s="2" t="inlineStr">
        <is>
          <t/>
        </is>
      </c>
      <c r="B382" s="2" t="inlineStr">
        <is>
          <t>Шторы для ванной</t>
        </is>
      </c>
      <c r="C382" s="2">
        <v>766623319</v>
      </c>
      <c r="D382" s="2" t="inlineStr">
        <is>
          <t>420613</t>
        </is>
      </c>
      <c r="E382" s="2" t="inlineStr">
        <is>
          <t>2048435361974</t>
        </is>
      </c>
      <c r="F382" s="2">
        <v>2</v>
      </c>
      <c r="G382" s="2">
        <v>0</v>
      </c>
      <c r="H382" s="2">
        <v>999</v>
      </c>
      <c r="I382" s="2" t="inlineStr">
        <is>
          <t>6079</t>
        </is>
      </c>
      <c r="J382" s="4"/>
      <c r="K382" s="2">
        <v>80</v>
      </c>
      <c r="L382" s="6"/>
      <c r="M382" s="2" t="str">
        <f>IF(J382="",ROUND(I382*(1-IF(ISBLANK(L382),K382,L382)/100),2),ROUND(J382*(1-IF(ISBLANK(L382),K382,L382)/100),2))</f>
      </c>
      <c r="N382" s="7" t="str">
        <f>IF(NOT(AND(J382="",L382="")),IF(OR(AND(L382&lt;&gt;"",NOT(ISNUMBER(L382))),IFERROR(MOD(L382,1),1)&gt;0,AND(ISNUMBER(L382),OR(L382&lt;0,L382&gt;95))),"Введите целое число от 0 до 95",IF(OR(AND(J382&lt;&gt;"",NOT(ISNUMBER(J382))),IFERROR(MOD(J382,1),1)&gt;0,AND(ISNUMBER(J382),OR(J382&lt;50,J382&gt;20000000))),"Введите целое число от 50 до 20000000",IF(NOT(ABS(IFERROR(VALUE(LEFT(M382,FIND("-",M382)-1)),M382)*100-(2500+2000000000)/2)&lt;=ABS(2500-2000000000)/2),"Цена со скидкой должна быть от 25 до 20000000",IF(AND(IFERROR(VALUE(LEFT(M382,FIND("-",M382)-1)),M382)*150&lt;=121579,IFERROR(VALUE(LEFT(M382,FIND("-",M382)-1)),M382)*200&gt;121579),"Вы уменьшили цену в несколько раз, товар попадет в карантин цен",IF(IFERROR(VALUE(LEFT(M382,FIND("-",M382)-1)),M382)*200&lt;=121579,"Не сохранили изменения, чтобы защитить от ошибки — новые цены меньше текущих более чем в 2 раза. Снижайте их постепенно",IF(AND(IFERROR(VALUE(I382),0)=0,ISNUMBER(J382),OR(J382&lt;491,ABS(IFERROR(VALUE(LEFT(M382,FIND("-",M382)-1)),M382))*100&lt;49100)),"Проверьте цену товара. Большинство товаров в выбранной категории стоят дороже 491","")))))),"")</f>
      </c>
    </row>
    <row r="383">
      <c r="A383" s="2" t="inlineStr">
        <is>
          <t/>
        </is>
      </c>
      <c r="B383" s="2" t="inlineStr">
        <is>
          <t>Сумки хозяйственные</t>
        </is>
      </c>
      <c r="C383" s="2">
        <v>607797380</v>
      </c>
      <c r="D383" s="2" t="inlineStr">
        <is>
          <t>523054</t>
        </is>
      </c>
      <c r="E383" s="2" t="inlineStr">
        <is>
          <t>2047198412893</t>
        </is>
      </c>
      <c r="F383" s="2">
        <v>0</v>
      </c>
      <c r="G383" s="2">
        <v>59</v>
      </c>
      <c r="H383" s="2" t="inlineStr">
        <is>
          <t/>
        </is>
      </c>
      <c r="I383" s="2" t="inlineStr">
        <is>
          <t>2760</t>
        </is>
      </c>
      <c r="J383" s="4"/>
      <c r="K383" s="2">
        <v>78</v>
      </c>
      <c r="L383" s="6"/>
      <c r="M383" s="2" t="str">
        <f>IF(J383="",ROUND(I383*(1-IF(ISBLANK(L383),K383,L383)/100),2),ROUND(J383*(1-IF(ISBLANK(L383),K383,L383)/100),2))</f>
      </c>
      <c r="N383" s="7" t="str">
        <f>IF(NOT(AND(J383="",L383="")),IF(OR(AND(L383&lt;&gt;"",NOT(ISNUMBER(L383))),IFERROR(MOD(L383,1),1)&gt;0,AND(ISNUMBER(L383),OR(L383&lt;0,L383&gt;95))),"Введите целое число от 0 до 95",IF(OR(AND(J383&lt;&gt;"",NOT(ISNUMBER(J383))),IFERROR(MOD(J383,1),1)&gt;0,AND(ISNUMBER(J383),OR(J383&lt;50,J383&gt;20000000))),"Введите целое число от 50 до 20000000",IF(NOT(ABS(IFERROR(VALUE(LEFT(M383,FIND("-",M383)-1)),M383)*100-(2500+2000000000)/2)&lt;=ABS(2500-2000000000)/2),"Цена со скидкой должна быть от 25 до 20000000",IF(AND(IFERROR(VALUE(LEFT(M383,FIND("-",M383)-1)),M383)*150&lt;=60719,IFERROR(VALUE(LEFT(M383,FIND("-",M383)-1)),M383)*200&gt;60719),"Вы уменьшили цену в несколько раз, товар попадет в карантин цен",IF(IFERROR(VALUE(LEFT(M383,FIND("-",M383)-1)),M383)*200&lt;=60719,"Не сохранили изменения, чтобы защитить от ошибки — новые цены меньше текущих более чем в 2 раза. Снижайте их постепенно",IF(AND(IFERROR(VALUE(I383),0)=0,ISNUMBER(J383),OR(J383&lt;281,ABS(IFERROR(VALUE(LEFT(M383,FIND("-",M383)-1)),M383))*100&lt;28100)),"Проверьте цену товара. Большинство товаров в выбранной категории стоят дороже 281","")))))),"")</f>
      </c>
    </row>
    <row r="384">
      <c r="A384" s="2" t="inlineStr">
        <is>
          <t/>
        </is>
      </c>
      <c r="B384" s="2" t="inlineStr">
        <is>
          <t>Чайники заварочные</t>
        </is>
      </c>
      <c r="C384" s="2">
        <v>766442735</v>
      </c>
      <c r="D384" s="2" t="inlineStr">
        <is>
          <t>821073</t>
        </is>
      </c>
      <c r="E384" s="2" t="inlineStr">
        <is>
          <t>2048433863876</t>
        </is>
      </c>
      <c r="F384" s="2">
        <v>0</v>
      </c>
      <c r="G384" s="2">
        <v>0</v>
      </c>
      <c r="H384" s="2" t="inlineStr">
        <is>
          <t/>
        </is>
      </c>
      <c r="I384" s="2" t="inlineStr">
        <is>
          <t>8694</t>
        </is>
      </c>
      <c r="J384" s="4"/>
      <c r="K384" s="2">
        <v>65</v>
      </c>
      <c r="L384" s="6"/>
      <c r="M384" s="2" t="str">
        <f>IF(J384="",ROUND(I384*(1-IF(ISBLANK(L384),K384,L384)/100),2),ROUND(J384*(1-IF(ISBLANK(L384),K384,L384)/100),2))</f>
      </c>
      <c r="N384" s="7" t="str">
        <f>IF(NOT(AND(J384="",L384="")),IF(OR(AND(L384&lt;&gt;"",NOT(ISNUMBER(L384))),IFERROR(MOD(L384,1),1)&gt;0,AND(ISNUMBER(L384),OR(L384&lt;0,L384&gt;95))),"Введите целое число от 0 до 95",IF(OR(AND(J384&lt;&gt;"",NOT(ISNUMBER(J384))),IFERROR(MOD(J384,1),1)&gt;0,AND(ISNUMBER(J384),OR(J384&lt;50,J384&gt;20000000))),"Введите целое число от 50 до 20000000",IF(NOT(ABS(IFERROR(VALUE(LEFT(M384,FIND("-",M384)-1)),M384)*100-(2500+2000000000)/2)&lt;=ABS(2500-2000000000)/2),"Цена со скидкой должна быть от 25 до 20000000",IF(AND(IFERROR(VALUE(LEFT(M384,FIND("-",M384)-1)),M384)*150&lt;=304289,IFERROR(VALUE(LEFT(M384,FIND("-",M384)-1)),M384)*200&gt;304289),"Вы уменьшили цену в несколько раз, товар попадет в карантин цен",IF(IFERROR(VALUE(LEFT(M384,FIND("-",M384)-1)),M384)*200&lt;=304289,"Не сохранили изменения, чтобы защитить от ошибки — новые цены меньше текущих более чем в 2 раза. Снижайте их постепенно",IF(AND(IFERROR(VALUE(I384),0)=0,ISNUMBER(J384),OR(J384&lt;681,ABS(IFERROR(VALUE(LEFT(M384,FIND("-",M384)-1)),M384))*100&lt;68100)),"Проверьте цену товара. Большинство товаров в выбранной категории стоят дороже 681","")))))),"")</f>
      </c>
    </row>
    <row r="385">
      <c r="A385" s="2" t="inlineStr">
        <is>
          <t/>
        </is>
      </c>
      <c r="B385" s="2" t="inlineStr">
        <is>
          <t>Сумки хозяйственные</t>
        </is>
      </c>
      <c r="C385" s="2">
        <v>607797385</v>
      </c>
      <c r="D385" s="2" t="inlineStr">
        <is>
          <t>520656</t>
        </is>
      </c>
      <c r="E385" s="2" t="inlineStr">
        <is>
          <t>2047198412961</t>
        </is>
      </c>
      <c r="F385" s="2">
        <v>12</v>
      </c>
      <c r="G385" s="2">
        <v>0</v>
      </c>
      <c r="H385" s="2">
        <v>999</v>
      </c>
      <c r="I385" s="2" t="inlineStr">
        <is>
          <t>4976</t>
        </is>
      </c>
      <c r="J385" s="4"/>
      <c r="K385" s="2">
        <v>78</v>
      </c>
      <c r="L385" s="6"/>
      <c r="M385" s="2" t="str">
        <f>IF(J385="",ROUND(I385*(1-IF(ISBLANK(L385),K385,L385)/100),2),ROUND(J385*(1-IF(ISBLANK(L385),K385,L385)/100),2))</f>
      </c>
      <c r="N385" s="7" t="str">
        <f>IF(NOT(AND(J385="",L385="")),IF(OR(AND(L385&lt;&gt;"",NOT(ISNUMBER(L385))),IFERROR(MOD(L385,1),1)&gt;0,AND(ISNUMBER(L385),OR(L385&lt;0,L385&gt;95))),"Введите целое число от 0 до 95",IF(OR(AND(J385&lt;&gt;"",NOT(ISNUMBER(J385))),IFERROR(MOD(J385,1),1)&gt;0,AND(ISNUMBER(J385),OR(J385&lt;50,J385&gt;20000000))),"Введите целое число от 50 до 20000000",IF(NOT(ABS(IFERROR(VALUE(LEFT(M385,FIND("-",M385)-1)),M385)*100-(2500+2000000000)/2)&lt;=ABS(2500-2000000000)/2),"Цена со скидкой должна быть от 25 до 20000000",IF(AND(IFERROR(VALUE(LEFT(M385,FIND("-",M385)-1)),M385)*150&lt;=109471,IFERROR(VALUE(LEFT(M385,FIND("-",M385)-1)),M385)*200&gt;109471),"Вы уменьшили цену в несколько раз, товар попадет в карантин цен",IF(IFERROR(VALUE(LEFT(M385,FIND("-",M385)-1)),M385)*200&lt;=109471,"Не сохранили изменения, чтобы защитить от ошибки — новые цены меньше текущих более чем в 2 раза. Снижайте их постепенно",IF(AND(IFERROR(VALUE(I385),0)=0,ISNUMBER(J385),OR(J385&lt;281,ABS(IFERROR(VALUE(LEFT(M385,FIND("-",M385)-1)),M385))*100&lt;28100)),"Проверьте цену товара. Большинство товаров в выбранной категории стоят дороже 281","")))))),"")</f>
      </c>
    </row>
    <row r="386">
      <c r="A386" s="2" t="inlineStr">
        <is>
          <t/>
        </is>
      </c>
      <c r="B386" s="2" t="inlineStr">
        <is>
          <t>Сумки хозяйственные</t>
        </is>
      </c>
      <c r="C386" s="2">
        <v>607797379</v>
      </c>
      <c r="D386" s="2" t="inlineStr">
        <is>
          <t>521464</t>
        </is>
      </c>
      <c r="E386" s="2" t="inlineStr">
        <is>
          <t>2047198412879</t>
        </is>
      </c>
      <c r="F386" s="2">
        <v>15</v>
      </c>
      <c r="G386" s="2">
        <v>0</v>
      </c>
      <c r="H386" s="2">
        <v>172</v>
      </c>
      <c r="I386" s="2" t="inlineStr">
        <is>
          <t>2456</t>
        </is>
      </c>
      <c r="J386" s="4"/>
      <c r="K386" s="2">
        <v>80</v>
      </c>
      <c r="L386" s="6"/>
      <c r="M386" s="2" t="str">
        <f>IF(J386="",ROUND(I386*(1-IF(ISBLANK(L386),K386,L386)/100),2),ROUND(J386*(1-IF(ISBLANK(L386),K386,L386)/100),2))</f>
      </c>
      <c r="N386" s="7" t="str">
        <f>IF(NOT(AND(J386="",L386="")),IF(OR(AND(L386&lt;&gt;"",NOT(ISNUMBER(L386))),IFERROR(MOD(L386,1),1)&gt;0,AND(ISNUMBER(L386),OR(L386&lt;0,L386&gt;95))),"Введите целое число от 0 до 95",IF(OR(AND(J386&lt;&gt;"",NOT(ISNUMBER(J386))),IFERROR(MOD(J386,1),1)&gt;0,AND(ISNUMBER(J386),OR(J386&lt;50,J386&gt;20000000))),"Введите целое число от 50 до 20000000",IF(NOT(ABS(IFERROR(VALUE(LEFT(M386,FIND("-",M386)-1)),M386)*100-(2500+2000000000)/2)&lt;=ABS(2500-2000000000)/2),"Цена со скидкой должна быть от 25 до 20000000",IF(AND(IFERROR(VALUE(LEFT(M386,FIND("-",M386)-1)),M386)*150&lt;=49119,IFERROR(VALUE(LEFT(M386,FIND("-",M386)-1)),M386)*200&gt;49119),"Вы уменьшили цену в несколько раз, товар попадет в карантин цен",IF(IFERROR(VALUE(LEFT(M386,FIND("-",M386)-1)),M386)*200&lt;=49119,"Не сохранили изменения, чтобы защитить от ошибки — новые цены меньше текущих более чем в 2 раза. Снижайте их постепенно",IF(AND(IFERROR(VALUE(I386),0)=0,ISNUMBER(J386),OR(J386&lt;281,ABS(IFERROR(VALUE(LEFT(M386,FIND("-",M386)-1)),M386))*100&lt;28100)),"Проверьте цену товара. Большинство товаров в выбранной категории стоят дороже 281","")))))),"")</f>
      </c>
    </row>
    <row r="387">
      <c r="A387" s="2" t="inlineStr">
        <is>
          <t/>
        </is>
      </c>
      <c r="B387" s="2" t="inlineStr">
        <is>
          <t>Сумки хозяйственные</t>
        </is>
      </c>
      <c r="C387" s="2">
        <v>607797383</v>
      </c>
      <c r="D387" s="2" t="inlineStr">
        <is>
          <t>522548</t>
        </is>
      </c>
      <c r="E387" s="2" t="inlineStr">
        <is>
          <t>2047198412930</t>
        </is>
      </c>
      <c r="F387" s="2">
        <v>9</v>
      </c>
      <c r="G387" s="2">
        <v>0</v>
      </c>
      <c r="H387" s="2">
        <v>999</v>
      </c>
      <c r="I387" s="2" t="inlineStr">
        <is>
          <t>2596</t>
        </is>
      </c>
      <c r="J387" s="4"/>
      <c r="K387" s="2">
        <v>78</v>
      </c>
      <c r="L387" s="6"/>
      <c r="M387" s="2" t="str">
        <f>IF(J387="",ROUND(I387*(1-IF(ISBLANK(L387),K387,L387)/100),2),ROUND(J387*(1-IF(ISBLANK(L387),K387,L387)/100),2))</f>
      </c>
      <c r="N387" s="7" t="str">
        <f>IF(NOT(AND(J387="",L387="")),IF(OR(AND(L387&lt;&gt;"",NOT(ISNUMBER(L387))),IFERROR(MOD(L387,1),1)&gt;0,AND(ISNUMBER(L387),OR(L387&lt;0,L387&gt;95))),"Введите целое число от 0 до 95",IF(OR(AND(J387&lt;&gt;"",NOT(ISNUMBER(J387))),IFERROR(MOD(J387,1),1)&gt;0,AND(ISNUMBER(J387),OR(J387&lt;50,J387&gt;20000000))),"Введите целое число от 50 до 20000000",IF(NOT(ABS(IFERROR(VALUE(LEFT(M387,FIND("-",M387)-1)),M387)*100-(2500+2000000000)/2)&lt;=ABS(2500-2000000000)/2),"Цена со скидкой должна быть от 25 до 20000000",IF(AND(IFERROR(VALUE(LEFT(M387,FIND("-",M387)-1)),M387)*150&lt;=57111,IFERROR(VALUE(LEFT(M387,FIND("-",M387)-1)),M387)*200&gt;57111),"Вы уменьшили цену в несколько раз, товар попадет в карантин цен",IF(IFERROR(VALUE(LEFT(M387,FIND("-",M387)-1)),M387)*200&lt;=57111,"Не сохранили изменения, чтобы защитить от ошибки — новые цены меньше текущих более чем в 2 раза. Снижайте их постепенно",IF(AND(IFERROR(VALUE(I387),0)=0,ISNUMBER(J387),OR(J387&lt;281,ABS(IFERROR(VALUE(LEFT(M387,FIND("-",M387)-1)),M387))*100&lt;28100)),"Проверьте цену товара. Большинство товаров в выбранной категории стоят дороже 281","")))))),"")</f>
      </c>
    </row>
    <row r="388">
      <c r="A388" s="2" t="inlineStr">
        <is>
          <t/>
        </is>
      </c>
      <c r="B388" s="2" t="inlineStr">
        <is>
          <t>Чайники заварочные</t>
        </is>
      </c>
      <c r="C388" s="2">
        <v>766442734</v>
      </c>
      <c r="D388" s="2" t="inlineStr">
        <is>
          <t>282606</t>
        </is>
      </c>
      <c r="E388" s="2" t="inlineStr">
        <is>
          <t>2048433846763</t>
        </is>
      </c>
      <c r="F388" s="2">
        <v>11</v>
      </c>
      <c r="G388" s="2">
        <v>5</v>
      </c>
      <c r="H388" s="2">
        <v>999</v>
      </c>
      <c r="I388" s="2" t="inlineStr">
        <is>
          <t>6781</t>
        </is>
      </c>
      <c r="J388" s="4"/>
      <c r="K388" s="2">
        <v>80</v>
      </c>
      <c r="L388" s="6"/>
      <c r="M388" s="2" t="str">
        <f>IF(J388="",ROUND(I388*(1-IF(ISBLANK(L388),K388,L388)/100),2),ROUND(J388*(1-IF(ISBLANK(L388),K388,L388)/100),2))</f>
      </c>
      <c r="N388" s="7" t="str">
        <f>IF(NOT(AND(J388="",L388="")),IF(OR(AND(L388&lt;&gt;"",NOT(ISNUMBER(L388))),IFERROR(MOD(L388,1),1)&gt;0,AND(ISNUMBER(L388),OR(L388&lt;0,L388&gt;95))),"Введите целое число от 0 до 95",IF(OR(AND(J388&lt;&gt;"",NOT(ISNUMBER(J388))),IFERROR(MOD(J388,1),1)&gt;0,AND(ISNUMBER(J388),OR(J388&lt;50,J388&gt;20000000))),"Введите целое число от 50 до 20000000",IF(NOT(ABS(IFERROR(VALUE(LEFT(M388,FIND("-",M388)-1)),M388)*100-(2500+2000000000)/2)&lt;=ABS(2500-2000000000)/2),"Цена со скидкой должна быть от 25 до 20000000",IF(AND(IFERROR(VALUE(LEFT(M388,FIND("-",M388)-1)),M388)*150&lt;=135619,IFERROR(VALUE(LEFT(M388,FIND("-",M388)-1)),M388)*200&gt;135619),"Вы уменьшили цену в несколько раз, товар попадет в карантин цен",IF(IFERROR(VALUE(LEFT(M388,FIND("-",M388)-1)),M388)*200&lt;=135619,"Не сохранили изменения, чтобы защитить от ошибки — новые цены меньше текущих более чем в 2 раза. Снижайте их постепенно",IF(AND(IFERROR(VALUE(I388),0)=0,ISNUMBER(J388),OR(J388&lt;681,ABS(IFERROR(VALUE(LEFT(M388,FIND("-",M388)-1)),M388))*100&lt;68100)),"Проверьте цену товара. Большинство товаров в выбранной категории стоят дороже 681","")))))),"")</f>
      </c>
    </row>
    <row r="389">
      <c r="A389" s="2" t="inlineStr">
        <is>
          <t/>
        </is>
      </c>
      <c r="B389" s="2" t="inlineStr">
        <is>
          <t>Гирлянды интерьерные</t>
        </is>
      </c>
      <c r="C389" s="2">
        <v>616141936</v>
      </c>
      <c r="D389" s="2" t="inlineStr">
        <is>
          <t>992522</t>
        </is>
      </c>
      <c r="E389" s="2" t="inlineStr">
        <is>
          <t>2047285724465</t>
        </is>
      </c>
      <c r="F389" s="2">
        <v>1</v>
      </c>
      <c r="G389" s="2">
        <v>0</v>
      </c>
      <c r="H389" s="2">
        <v>999</v>
      </c>
      <c r="I389" s="2" t="inlineStr">
        <is>
          <t>4224</t>
        </is>
      </c>
      <c r="J389" s="4"/>
      <c r="K389" s="2">
        <v>82</v>
      </c>
      <c r="L389" s="6"/>
      <c r="M389" s="2" t="str">
        <f>IF(J389="",ROUND(I389*(1-IF(ISBLANK(L389),K389,L389)/100),2),ROUND(J389*(1-IF(ISBLANK(L389),K389,L389)/100),2))</f>
      </c>
      <c r="N389" s="7" t="str">
        <f>IF(NOT(AND(J389="",L389="")),IF(OR(AND(L389&lt;&gt;"",NOT(ISNUMBER(L389))),IFERROR(MOD(L389,1),1)&gt;0,AND(ISNUMBER(L389),OR(L389&lt;0,L389&gt;95))),"Введите целое число от 0 до 95",IF(OR(AND(J389&lt;&gt;"",NOT(ISNUMBER(J389))),IFERROR(MOD(J389,1),1)&gt;0,AND(ISNUMBER(J389),OR(J389&lt;50,J389&gt;20000000))),"Введите целое число от 50 до 20000000",IF(NOT(ABS(IFERROR(VALUE(LEFT(M389,FIND("-",M389)-1)),M389)*100-(2500+2000000000)/2)&lt;=ABS(2500-2000000000)/2),"Цена со скидкой должна быть от 25 до 20000000",IF(AND(IFERROR(VALUE(LEFT(M389,FIND("-",M389)-1)),M389)*150&lt;=76032,IFERROR(VALUE(LEFT(M389,FIND("-",M389)-1)),M389)*200&gt;76032),"Вы уменьшили цену в несколько раз, товар попадет в карантин цен",IF(IFERROR(VALUE(LEFT(M389,FIND("-",M389)-1)),M389)*200&lt;=76032,"Не сохранили изменения, чтобы защитить от ошибки — новые цены меньше текущих более чем в 2 раза. Снижайте их постепенно",IF(AND(IFERROR(VALUE(I389),0)=0,ISNUMBER(J389),OR(J389&lt;261,ABS(IFERROR(VALUE(LEFT(M389,FIND("-",M389)-1)),M389))*100&lt;26100)),"Проверьте цену товара. Большинство товаров в выбранной категории стоят дороже 261","")))))),"")</f>
      </c>
    </row>
    <row r="390">
      <c r="A390" s="2" t="inlineStr">
        <is>
          <t/>
        </is>
      </c>
      <c r="B390" s="2" t="inlineStr">
        <is>
          <t>Миски для животных</t>
        </is>
      </c>
      <c r="C390" s="2">
        <v>619621738</v>
      </c>
      <c r="D390" s="2" t="inlineStr">
        <is>
          <t>410739</t>
        </is>
      </c>
      <c r="E390" s="2" t="inlineStr">
        <is>
          <t>2047326549507</t>
        </is>
      </c>
      <c r="F390" s="2">
        <v>0</v>
      </c>
      <c r="G390" s="2">
        <v>21</v>
      </c>
      <c r="H390" s="2" t="inlineStr">
        <is>
          <t/>
        </is>
      </c>
      <c r="I390" s="2" t="inlineStr">
        <is>
          <t>3448</t>
        </is>
      </c>
      <c r="J390" s="4"/>
      <c r="K390" s="2">
        <v>78</v>
      </c>
      <c r="L390" s="6"/>
      <c r="M390" s="2" t="str">
        <f>IF(J390="",ROUND(I390*(1-IF(ISBLANK(L390),K390,L390)/100),2),ROUND(J390*(1-IF(ISBLANK(L390),K390,L390)/100),2))</f>
      </c>
      <c r="N390" s="7" t="str">
        <f>IF(NOT(AND(J390="",L390="")),IF(OR(AND(L390&lt;&gt;"",NOT(ISNUMBER(L390))),IFERROR(MOD(L390,1),1)&gt;0,AND(ISNUMBER(L390),OR(L390&lt;0,L390&gt;95))),"Введите целое число от 0 до 95",IF(OR(AND(J390&lt;&gt;"",NOT(ISNUMBER(J390))),IFERROR(MOD(J390,1),1)&gt;0,AND(ISNUMBER(J390),OR(J390&lt;50,J390&gt;20000000))),"Введите целое число от 50 до 20000000",IF(NOT(ABS(IFERROR(VALUE(LEFT(M390,FIND("-",M390)-1)),M390)*100-(2500+2000000000)/2)&lt;=ABS(2500-2000000000)/2),"Цена со скидкой должна быть от 25 до 20000000",IF(AND(IFERROR(VALUE(LEFT(M390,FIND("-",M390)-1)),M390)*150&lt;=75856,IFERROR(VALUE(LEFT(M390,FIND("-",M390)-1)),M390)*200&gt;75856),"Вы уменьшили цену в несколько раз, товар попадет в карантин цен",IF(IFERROR(VALUE(LEFT(M390,FIND("-",M390)-1)),M390)*200&lt;=75856,"Не сохранили изменения, чтобы защитить от ошибки — новые цены меньше текущих более чем в 2 раза. Снижайте их постепенно",IF(AND(IFERROR(VALUE(I390),0)=0,ISNUMBER(J390),OR(J390&lt;265,ABS(IFERROR(VALUE(LEFT(M390,FIND("-",M390)-1)),M390))*100&lt;26500)),"Проверьте цену товара. Большинство товаров в выбранной категории стоят дороже 265","")))))),"")</f>
      </c>
    </row>
    <row r="391">
      <c r="A391" s="2" t="inlineStr">
        <is>
          <t/>
        </is>
      </c>
      <c r="B391" s="2" t="inlineStr">
        <is>
          <t>Сушки для обуви</t>
        </is>
      </c>
      <c r="C391" s="2">
        <v>607802401</v>
      </c>
      <c r="D391" s="2" t="inlineStr">
        <is>
          <t>513296</t>
        </is>
      </c>
      <c r="E391" s="2" t="inlineStr">
        <is>
          <t>2047198514467</t>
        </is>
      </c>
      <c r="F391" s="2">
        <v>0</v>
      </c>
      <c r="G391" s="2">
        <v>6</v>
      </c>
      <c r="H391" s="2" t="inlineStr">
        <is>
          <t/>
        </is>
      </c>
      <c r="I391" s="2" t="inlineStr">
        <is>
          <t>4280</t>
        </is>
      </c>
      <c r="J391" s="4"/>
      <c r="K391" s="2">
        <v>78</v>
      </c>
      <c r="L391" s="6"/>
      <c r="M391" s="2" t="str">
        <f>IF(J391="",ROUND(I391*(1-IF(ISBLANK(L391),K391,L391)/100),2),ROUND(J391*(1-IF(ISBLANK(L391),K391,L391)/100),2))</f>
      </c>
      <c r="N391" s="7" t="str">
        <f>IF(NOT(AND(J391="",L391="")),IF(OR(AND(L391&lt;&gt;"",NOT(ISNUMBER(L391))),IFERROR(MOD(L391,1),1)&gt;0,AND(ISNUMBER(L391),OR(L391&lt;0,L391&gt;95))),"Введите целое число от 0 до 95",IF(OR(AND(J391&lt;&gt;"",NOT(ISNUMBER(J391))),IFERROR(MOD(J391,1),1)&gt;0,AND(ISNUMBER(J391),OR(J391&lt;50,J391&gt;20000000))),"Введите целое число от 50 до 20000000",IF(NOT(ABS(IFERROR(VALUE(LEFT(M391,FIND("-",M391)-1)),M391)*100-(2500+2000000000)/2)&lt;=ABS(2500-2000000000)/2),"Цена со скидкой должна быть от 25 до 20000000",IF(AND(IFERROR(VALUE(LEFT(M391,FIND("-",M391)-1)),M391)*150&lt;=94159,IFERROR(VALUE(LEFT(M391,FIND("-",M391)-1)),M391)*200&gt;94159),"Вы уменьшили цену в несколько раз, товар попадет в карантин цен",IF(IFERROR(VALUE(LEFT(M391,FIND("-",M391)-1)),M391)*200&lt;=94159,"Не сохранили изменения, чтобы защитить от ошибки — новые цены меньше текущих более чем в 2 раза. Снижайте их постепенно",IF(AND(IFERROR(VALUE(I391),0)=0,ISNUMBER(J391),OR(J391&lt;455,ABS(IFERROR(VALUE(LEFT(M391,FIND("-",M391)-1)),M391))*100&lt;45500)),"Проверьте цену товара. Большинство товаров в выбранной категории стоят дороже 455","")))))),"")</f>
      </c>
    </row>
    <row r="392">
      <c r="A392" s="2" t="inlineStr">
        <is>
          <t/>
        </is>
      </c>
      <c r="B392" s="2" t="inlineStr">
        <is>
          <t>Фитолампы для растений и аксессуары</t>
        </is>
      </c>
      <c r="C392" s="2">
        <v>607804977</v>
      </c>
      <c r="D392" s="2" t="inlineStr">
        <is>
          <t>880439</t>
        </is>
      </c>
      <c r="E392" s="2" t="inlineStr">
        <is>
          <t>2047198550199</t>
        </is>
      </c>
      <c r="F392" s="2">
        <v>0</v>
      </c>
      <c r="G392" s="2">
        <v>0</v>
      </c>
      <c r="H392" s="2" t="inlineStr">
        <is>
          <t/>
        </is>
      </c>
      <c r="I392" s="2" t="inlineStr">
        <is>
          <t>7898</t>
        </is>
      </c>
      <c r="J392" s="4"/>
      <c r="K392" s="2">
        <v>65</v>
      </c>
      <c r="L392" s="6"/>
      <c r="M392" s="2" t="str">
        <f>IF(J392="",ROUND(I392*(1-IF(ISBLANK(L392),K392,L392)/100),2),ROUND(J392*(1-IF(ISBLANK(L392),K392,L392)/100),2))</f>
      </c>
      <c r="N392" s="7" t="str">
        <f>IF(NOT(AND(J392="",L392="")),IF(OR(AND(L392&lt;&gt;"",NOT(ISNUMBER(L392))),IFERROR(MOD(L392,1),1)&gt;0,AND(ISNUMBER(L392),OR(L392&lt;0,L392&gt;95))),"Введите целое число от 0 до 95",IF(OR(AND(J392&lt;&gt;"",NOT(ISNUMBER(J392))),IFERROR(MOD(J392,1),1)&gt;0,AND(ISNUMBER(J392),OR(J392&lt;50,J392&gt;20000000))),"Введите целое число от 50 до 20000000",IF(NOT(ABS(IFERROR(VALUE(LEFT(M392,FIND("-",M392)-1)),M392)*100-(2500+2000000000)/2)&lt;=ABS(2500-2000000000)/2),"Цена со скидкой должна быть от 25 до 20000000",IF(AND(IFERROR(VALUE(LEFT(M392,FIND("-",M392)-1)),M392)*150&lt;=276430,IFERROR(VALUE(LEFT(M392,FIND("-",M392)-1)),M392)*200&gt;276430),"Вы уменьшили цену в несколько раз, товар попадет в карантин цен",IF(IFERROR(VALUE(LEFT(M392,FIND("-",M392)-1)),M392)*200&lt;=276430,"Не сохранили изменения, чтобы защитить от ошибки — новые цены меньше текущих более чем в 2 раза. Снижайте их постепенно",IF(AND(IFERROR(VALUE(I392),0)=0,ISNUMBER(J392),OR(J392&lt;302,ABS(IFERROR(VALUE(LEFT(M392,FIND("-",M392)-1)),M392))*100&lt;30200)),"Проверьте цену товара. Большинство товаров в выбранной категории стоят дороже 302","")))))),"")</f>
      </c>
    </row>
    <row r="393">
      <c r="A393" s="2" t="inlineStr">
        <is>
          <t/>
        </is>
      </c>
      <c r="B393" s="2" t="inlineStr">
        <is>
          <t>Миски для животных</t>
        </is>
      </c>
      <c r="C393" s="2">
        <v>619621740</v>
      </c>
      <c r="D393" s="2" t="inlineStr">
        <is>
          <t>701275</t>
        </is>
      </c>
      <c r="E393" s="2" t="inlineStr">
        <is>
          <t>2047326549521</t>
        </is>
      </c>
      <c r="F393" s="2">
        <v>0</v>
      </c>
      <c r="G393" s="2">
        <v>0</v>
      </c>
      <c r="H393" s="2" t="inlineStr">
        <is>
          <t/>
        </is>
      </c>
      <c r="I393" s="2" t="inlineStr">
        <is>
          <t>3942</t>
        </is>
      </c>
      <c r="J393" s="4"/>
      <c r="K393" s="2">
        <v>65</v>
      </c>
      <c r="L393" s="6"/>
      <c r="M393" s="2" t="str">
        <f>IF(J393="",ROUND(I393*(1-IF(ISBLANK(L393),K393,L393)/100),2),ROUND(J393*(1-IF(ISBLANK(L393),K393,L393)/100),2))</f>
      </c>
      <c r="N393" s="7" t="str">
        <f>IF(NOT(AND(J393="",L393="")),IF(OR(AND(L393&lt;&gt;"",NOT(ISNUMBER(L393))),IFERROR(MOD(L393,1),1)&gt;0,AND(ISNUMBER(L393),OR(L393&lt;0,L393&gt;95))),"Введите целое число от 0 до 95",IF(OR(AND(J393&lt;&gt;"",NOT(ISNUMBER(J393))),IFERROR(MOD(J393,1),1)&gt;0,AND(ISNUMBER(J393),OR(J393&lt;50,J393&gt;20000000))),"Введите целое число от 50 до 20000000",IF(NOT(ABS(IFERROR(VALUE(LEFT(M393,FIND("-",M393)-1)),M393)*100-(2500+2000000000)/2)&lt;=ABS(2500-2000000000)/2),"Цена со скидкой должна быть от 25 до 20000000",IF(AND(IFERROR(VALUE(LEFT(M393,FIND("-",M393)-1)),M393)*150&lt;=137969,IFERROR(VALUE(LEFT(M393,FIND("-",M393)-1)),M393)*200&gt;137969),"Вы уменьшили цену в несколько раз, товар попадет в карантин цен",IF(IFERROR(VALUE(LEFT(M393,FIND("-",M393)-1)),M393)*200&lt;=137969,"Не сохранили изменения, чтобы защитить от ошибки — новые цены меньше текущих более чем в 2 раза. Снижайте их постепенно",IF(AND(IFERROR(VALUE(I393),0)=0,ISNUMBER(J393),OR(J393&lt;265,ABS(IFERROR(VALUE(LEFT(M393,FIND("-",M393)-1)),M393))*100&lt;26500)),"Проверьте цену товара. Большинство товаров в выбранной категории стоят дороже 265","")))))),"")</f>
      </c>
    </row>
    <row r="394">
      <c r="A394" s="2" t="inlineStr">
        <is>
          <t/>
        </is>
      </c>
      <c r="B394" s="2" t="inlineStr">
        <is>
          <t>Миски для животных</t>
        </is>
      </c>
      <c r="C394" s="2">
        <v>619621737</v>
      </c>
      <c r="D394" s="2" t="inlineStr">
        <is>
          <t>701273</t>
        </is>
      </c>
      <c r="E394" s="2" t="inlineStr">
        <is>
          <t>2047326549491</t>
        </is>
      </c>
      <c r="F394" s="2">
        <v>0</v>
      </c>
      <c r="G394" s="2">
        <v>0</v>
      </c>
      <c r="H394" s="2" t="inlineStr">
        <is>
          <t/>
        </is>
      </c>
      <c r="I394" s="2" t="inlineStr">
        <is>
          <t>3124</t>
        </is>
      </c>
      <c r="J394" s="4"/>
      <c r="K394" s="2">
        <v>78</v>
      </c>
      <c r="L394" s="6"/>
      <c r="M394" s="2" t="str">
        <f>IF(J394="",ROUND(I394*(1-IF(ISBLANK(L394),K394,L394)/100),2),ROUND(J394*(1-IF(ISBLANK(L394),K394,L394)/100),2))</f>
      </c>
      <c r="N394" s="7" t="str">
        <f>IF(NOT(AND(J394="",L394="")),IF(OR(AND(L394&lt;&gt;"",NOT(ISNUMBER(L394))),IFERROR(MOD(L394,1),1)&gt;0,AND(ISNUMBER(L394),OR(L394&lt;0,L394&gt;95))),"Введите целое число от 0 до 95",IF(OR(AND(J394&lt;&gt;"",NOT(ISNUMBER(J394))),IFERROR(MOD(J394,1),1)&gt;0,AND(ISNUMBER(J394),OR(J394&lt;50,J394&gt;20000000))),"Введите целое число от 50 до 20000000",IF(NOT(ABS(IFERROR(VALUE(LEFT(M394,FIND("-",M394)-1)),M394)*100-(2500+2000000000)/2)&lt;=ABS(2500-2000000000)/2),"Цена со скидкой должна быть от 25 до 20000000",IF(AND(IFERROR(VALUE(LEFT(M394,FIND("-",M394)-1)),M394)*150&lt;=68728,IFERROR(VALUE(LEFT(M394,FIND("-",M394)-1)),M394)*200&gt;68728),"Вы уменьшили цену в несколько раз, товар попадет в карантин цен",IF(IFERROR(VALUE(LEFT(M394,FIND("-",M394)-1)),M394)*200&lt;=68728,"Не сохранили изменения, чтобы защитить от ошибки — новые цены меньше текущих более чем в 2 раза. Снижайте их постепенно",IF(AND(IFERROR(VALUE(I394),0)=0,ISNUMBER(J394),OR(J394&lt;265,ABS(IFERROR(VALUE(LEFT(M394,FIND("-",M394)-1)),M394))*100&lt;26500)),"Проверьте цену товара. Большинство товаров в выбранной категории стоят дороже 265","")))))),"")</f>
      </c>
    </row>
    <row r="395">
      <c r="A395" s="2" t="inlineStr">
        <is>
          <t/>
        </is>
      </c>
      <c r="B395" s="2" t="inlineStr">
        <is>
          <t>Елки искусственные</t>
        </is>
      </c>
      <c r="C395" s="2">
        <v>616129774</v>
      </c>
      <c r="D395" s="2" t="inlineStr">
        <is>
          <t>99277</t>
        </is>
      </c>
      <c r="E395" s="2" t="inlineStr">
        <is>
          <t>2047285466594</t>
        </is>
      </c>
      <c r="F395" s="2">
        <v>0</v>
      </c>
      <c r="G395" s="2">
        <v>14</v>
      </c>
      <c r="H395" s="2" t="inlineStr">
        <is>
          <t/>
        </is>
      </c>
      <c r="I395" s="2" t="inlineStr">
        <is>
          <t>57278</t>
        </is>
      </c>
      <c r="J395" s="4"/>
      <c r="K395" s="2">
        <v>78</v>
      </c>
      <c r="L395" s="6"/>
      <c r="M395" s="2" t="str">
        <f>IF(J395="",ROUND(I395*(1-IF(ISBLANK(L395),K395,L395)/100),2),ROUND(J395*(1-IF(ISBLANK(L395),K395,L395)/100),2))</f>
      </c>
      <c r="N395" s="7" t="str">
        <f>IF(NOT(AND(J395="",L395="")),IF(OR(AND(L395&lt;&gt;"",NOT(ISNUMBER(L395))),IFERROR(MOD(L395,1),1)&gt;0,AND(ISNUMBER(L395),OR(L395&lt;0,L395&gt;95))),"Введите целое число от 0 до 95",IF(OR(AND(J395&lt;&gt;"",NOT(ISNUMBER(J395))),IFERROR(MOD(J395,1),1)&gt;0,AND(ISNUMBER(J395),OR(J395&lt;50,J395&gt;20000000))),"Введите целое число от 50 до 20000000",IF(NOT(ABS(IFERROR(VALUE(LEFT(M395,FIND("-",M395)-1)),M395)*100-(2500+2000000000)/2)&lt;=ABS(2500-2000000000)/2),"Цена со скидкой должна быть от 25 до 20000000",IF(AND(IFERROR(VALUE(LEFT(M395,FIND("-",M395)-1)),M395)*150&lt;=1260115,IFERROR(VALUE(LEFT(M395,FIND("-",M395)-1)),M395)*200&gt;1260115),"Вы уменьшили цену в несколько раз, товар попадет в карантин цен",IF(IFERROR(VALUE(LEFT(M395,FIND("-",M395)-1)),M395)*200&lt;=1260115,"Не сохранили изменения, чтобы защитить от ошибки — новые цены меньше текущих более чем в 2 раза. Снижайте их постепенно",IF(AND(IFERROR(VALUE(I395),0)=0,ISNUMBER(J395),OR(J395&lt;269,ABS(IFERROR(VALUE(LEFT(M395,FIND("-",M395)-1)),M395))*100&lt;26900)),"Проверьте цену товара. Большинство товаров в выбранной категории стоят дороже 269","")))))),"")</f>
      </c>
    </row>
    <row r="396">
      <c r="A396" s="2" t="inlineStr">
        <is>
          <t/>
        </is>
      </c>
      <c r="B396" s="2" t="inlineStr">
        <is>
          <t>Сушки для обуви</t>
        </is>
      </c>
      <c r="C396" s="2">
        <v>607802403</v>
      </c>
      <c r="D396" s="2" t="inlineStr">
        <is>
          <t>191280</t>
        </is>
      </c>
      <c r="E396" s="2" t="inlineStr">
        <is>
          <t>2047198514481</t>
        </is>
      </c>
      <c r="F396" s="2">
        <v>0</v>
      </c>
      <c r="G396" s="2">
        <v>6</v>
      </c>
      <c r="H396" s="2" t="inlineStr">
        <is>
          <t/>
        </is>
      </c>
      <c r="I396" s="2" t="inlineStr">
        <is>
          <t>4637</t>
        </is>
      </c>
      <c r="J396" s="4"/>
      <c r="K396" s="2">
        <v>78</v>
      </c>
      <c r="L396" s="6"/>
      <c r="M396" s="2" t="str">
        <f>IF(J396="",ROUND(I396*(1-IF(ISBLANK(L396),K396,L396)/100),2),ROUND(J396*(1-IF(ISBLANK(L396),K396,L396)/100),2))</f>
      </c>
      <c r="N396" s="7" t="str">
        <f>IF(NOT(AND(J396="",L396="")),IF(OR(AND(L396&lt;&gt;"",NOT(ISNUMBER(L396))),IFERROR(MOD(L396,1),1)&gt;0,AND(ISNUMBER(L396),OR(L396&lt;0,L396&gt;95))),"Введите целое число от 0 до 95",IF(OR(AND(J396&lt;&gt;"",NOT(ISNUMBER(J396))),IFERROR(MOD(J396,1),1)&gt;0,AND(ISNUMBER(J396),OR(J396&lt;50,J396&gt;20000000))),"Введите целое число от 50 до 20000000",IF(NOT(ABS(IFERROR(VALUE(LEFT(M396,FIND("-",M396)-1)),M396)*100-(2500+2000000000)/2)&lt;=ABS(2500-2000000000)/2),"Цена со скидкой должна быть от 25 до 20000000",IF(AND(IFERROR(VALUE(LEFT(M396,FIND("-",M396)-1)),M396)*150&lt;=102013,IFERROR(VALUE(LEFT(M396,FIND("-",M396)-1)),M396)*200&gt;102013),"Вы уменьшили цену в несколько раз, товар попадет в карантин цен",IF(IFERROR(VALUE(LEFT(M396,FIND("-",M396)-1)),M396)*200&lt;=102013,"Не сохранили изменения, чтобы защитить от ошибки — новые цены меньше текущих более чем в 2 раза. Снижайте их постепенно",IF(AND(IFERROR(VALUE(I396),0)=0,ISNUMBER(J396),OR(J396&lt;455,ABS(IFERROR(VALUE(LEFT(M396,FIND("-",M396)-1)),M396))*100&lt;45500)),"Проверьте цену товара. Большинство товаров в выбранной категории стоят дороже 455","")))))),"")</f>
      </c>
    </row>
    <row r="397">
      <c r="A397" s="2" t="inlineStr">
        <is>
          <t/>
        </is>
      </c>
      <c r="B397" s="2" t="inlineStr">
        <is>
          <t>Сушки для обуви</t>
        </is>
      </c>
      <c r="C397" s="2">
        <v>607802402</v>
      </c>
      <c r="D397" s="2" t="inlineStr">
        <is>
          <t>511802</t>
        </is>
      </c>
      <c r="E397" s="2" t="inlineStr">
        <is>
          <t>2047198514474</t>
        </is>
      </c>
      <c r="F397" s="2">
        <v>0</v>
      </c>
      <c r="G397" s="2">
        <v>11</v>
      </c>
      <c r="H397" s="2" t="inlineStr">
        <is>
          <t/>
        </is>
      </c>
      <c r="I397" s="2" t="inlineStr">
        <is>
          <t>4416</t>
        </is>
      </c>
      <c r="J397" s="4"/>
      <c r="K397" s="2">
        <v>78</v>
      </c>
      <c r="L397" s="6"/>
      <c r="M397" s="2" t="str">
        <f>IF(J397="",ROUND(I397*(1-IF(ISBLANK(L397),K397,L397)/100),2),ROUND(J397*(1-IF(ISBLANK(L397),K397,L397)/100),2))</f>
      </c>
      <c r="N397" s="7" t="str">
        <f>IF(NOT(AND(J397="",L397="")),IF(OR(AND(L397&lt;&gt;"",NOT(ISNUMBER(L397))),IFERROR(MOD(L397,1),1)&gt;0,AND(ISNUMBER(L397),OR(L397&lt;0,L397&gt;95))),"Введите целое число от 0 до 95",IF(OR(AND(J397&lt;&gt;"",NOT(ISNUMBER(J397))),IFERROR(MOD(J397,1),1)&gt;0,AND(ISNUMBER(J397),OR(J397&lt;50,J397&gt;20000000))),"Введите целое число от 50 до 20000000",IF(NOT(ABS(IFERROR(VALUE(LEFT(M397,FIND("-",M397)-1)),M397)*100-(2500+2000000000)/2)&lt;=ABS(2500-2000000000)/2),"Цена со скидкой должна быть от 25 до 20000000",IF(AND(IFERROR(VALUE(LEFT(M397,FIND("-",M397)-1)),M397)*150&lt;=97151,IFERROR(VALUE(LEFT(M397,FIND("-",M397)-1)),M397)*200&gt;97151),"Вы уменьшили цену в несколько раз, товар попадет в карантин цен",IF(IFERROR(VALUE(LEFT(M397,FIND("-",M397)-1)),M397)*200&lt;=97151,"Не сохранили изменения, чтобы защитить от ошибки — новые цены меньше текущих более чем в 2 раза. Снижайте их постепенно",IF(AND(IFERROR(VALUE(I397),0)=0,ISNUMBER(J397),OR(J397&lt;455,ABS(IFERROR(VALUE(LEFT(M397,FIND("-",M397)-1)),M397))*100&lt;45500)),"Проверьте цену товара. Большинство товаров в выбранной категории стоят дороже 455","")))))),"")</f>
      </c>
    </row>
    <row r="398">
      <c r="A398" s="2" t="inlineStr">
        <is>
          <t/>
        </is>
      </c>
      <c r="B398" s="2" t="inlineStr">
        <is>
          <t>Шапки для бани</t>
        </is>
      </c>
      <c r="C398" s="2">
        <v>619623939</v>
      </c>
      <c r="D398" s="2" t="inlineStr">
        <is>
          <t>981827</t>
        </is>
      </c>
      <c r="E398" s="2" t="inlineStr">
        <is>
          <t>2047326622385</t>
        </is>
      </c>
      <c r="F398" s="2">
        <v>0</v>
      </c>
      <c r="G398" s="2">
        <v>0</v>
      </c>
      <c r="H398" s="2" t="inlineStr">
        <is>
          <t/>
        </is>
      </c>
      <c r="I398" s="2" t="inlineStr">
        <is>
          <t>0</t>
        </is>
      </c>
      <c r="J398" s="4"/>
      <c r="K398" s="2">
        <v>0</v>
      </c>
      <c r="L398" s="6"/>
      <c r="M398" s="2" t="str">
        <f>IF(J398="",ROUND(I398*(1-IF(ISBLANK(L398),K398,L398)/100),2),ROUND(J398*(1-IF(ISBLANK(L398),K398,L398)/100),2))</f>
      </c>
      <c r="N398" s="7" t="str">
        <f>IF(NOT(AND(J398="",L398="")),IF(OR(AND(L398&lt;&gt;"",NOT(ISNUMBER(L398))),IFERROR(MOD(L398,1),1)&gt;0,AND(ISNUMBER(L398),OR(L398&lt;0,L398&gt;95))),"Введите целое число от 0 до 95",IF(OR(AND(J398&lt;&gt;"",NOT(ISNUMBER(J398))),IFERROR(MOD(J398,1),1)&gt;0,AND(ISNUMBER(J398),OR(J398&lt;50,J398&gt;20000000))),"Введите целое число от 50 до 20000000",IF(NOT(ABS(IFERROR(VALUE(LEFT(M398,FIND("-",M398)-1)),M398)*100-(2500+2000000000)/2)&lt;=ABS(2500-2000000000)/2),"Цена со скидкой должна быть от 25 до 20000000",IF(AND(IFERROR(VALUE(LEFT(M398,FIND("-",M398)-1)),M398)*150&lt;=0,IFERROR(VALUE(LEFT(M398,FIND("-",M398)-1)),M398)*200&gt;0),"Вы уменьшили цену в несколько раз, товар попадет в карантин цен",IF(IFERROR(VALUE(LEFT(M398,FIND("-",M398)-1)),M398)*200&lt;=0,"Не сохранили изменения, чтобы защитить от ошибки — новые цены меньше текущих более чем в 2 раза. Снижайте их постепенно",IF(AND(IFERROR(VALUE(I398),0)=0,ISNUMBER(J398),OR(J398&lt;350,ABS(IFERROR(VALUE(LEFT(M398,FIND("-",M398)-1)),M398))*100&lt;35000)),"Проверьте цену товара. Большинство товаров в выбранной категории стоят дороже 350","")))))),"")</f>
      </c>
    </row>
    <row r="399">
      <c r="A399" s="2" t="inlineStr">
        <is>
          <t/>
        </is>
      </c>
      <c r="B399" s="2" t="inlineStr">
        <is>
          <t>Миски для животных</t>
        </is>
      </c>
      <c r="C399" s="2">
        <v>619621739</v>
      </c>
      <c r="D399" s="2" t="inlineStr">
        <is>
          <t>410763</t>
        </is>
      </c>
      <c r="E399" s="2" t="inlineStr">
        <is>
          <t>2047326549514</t>
        </is>
      </c>
      <c r="F399" s="2">
        <v>0</v>
      </c>
      <c r="G399" s="2">
        <v>25</v>
      </c>
      <c r="H399" s="2" t="inlineStr">
        <is>
          <t/>
        </is>
      </c>
      <c r="I399" s="2" t="inlineStr">
        <is>
          <t>3448</t>
        </is>
      </c>
      <c r="J399" s="4"/>
      <c r="K399" s="2">
        <v>78</v>
      </c>
      <c r="L399" s="6"/>
      <c r="M399" s="2" t="str">
        <f>IF(J399="",ROUND(I399*(1-IF(ISBLANK(L399),K399,L399)/100),2),ROUND(J399*(1-IF(ISBLANK(L399),K399,L399)/100),2))</f>
      </c>
      <c r="N399" s="7" t="str">
        <f>IF(NOT(AND(J399="",L399="")),IF(OR(AND(L399&lt;&gt;"",NOT(ISNUMBER(L399))),IFERROR(MOD(L399,1),1)&gt;0,AND(ISNUMBER(L399),OR(L399&lt;0,L399&gt;95))),"Введите целое число от 0 до 95",IF(OR(AND(J399&lt;&gt;"",NOT(ISNUMBER(J399))),IFERROR(MOD(J399,1),1)&gt;0,AND(ISNUMBER(J399),OR(J399&lt;50,J399&gt;20000000))),"Введите целое число от 50 до 20000000",IF(NOT(ABS(IFERROR(VALUE(LEFT(M399,FIND("-",M399)-1)),M399)*100-(2500+2000000000)/2)&lt;=ABS(2500-2000000000)/2),"Цена со скидкой должна быть от 25 до 20000000",IF(AND(IFERROR(VALUE(LEFT(M399,FIND("-",M399)-1)),M399)*150&lt;=75856,IFERROR(VALUE(LEFT(M399,FIND("-",M399)-1)),M399)*200&gt;75856),"Вы уменьшили цену в несколько раз, товар попадет в карантин цен",IF(IFERROR(VALUE(LEFT(M399,FIND("-",M399)-1)),M399)*200&lt;=75856,"Не сохранили изменения, чтобы защитить от ошибки — новые цены меньше текущих более чем в 2 раза. Снижайте их постепенно",IF(AND(IFERROR(VALUE(I399),0)=0,ISNUMBER(J399),OR(J399&lt;265,ABS(IFERROR(VALUE(LEFT(M399,FIND("-",M399)-1)),M399))*100&lt;26500)),"Проверьте цену товара. Большинство товаров в выбранной категории стоят дороже 265","")))))),"")</f>
      </c>
    </row>
    <row r="400">
      <c r="A400" s="2" t="inlineStr">
        <is>
          <t/>
        </is>
      </c>
      <c r="B400" s="2" t="inlineStr">
        <is>
          <t>Дождевики</t>
        </is>
      </c>
      <c r="C400" s="2">
        <v>600651710</v>
      </c>
      <c r="D400" s="2" t="inlineStr">
        <is>
          <t>512303</t>
        </is>
      </c>
      <c r="E400" s="2" t="inlineStr">
        <is>
          <t>2047129380451</t>
        </is>
      </c>
      <c r="F400" s="2">
        <v>0</v>
      </c>
      <c r="G400" s="2">
        <v>0</v>
      </c>
      <c r="H400" s="2" t="inlineStr">
        <is>
          <t/>
        </is>
      </c>
      <c r="I400" s="2" t="inlineStr">
        <is>
          <t>3400</t>
        </is>
      </c>
      <c r="J400" s="4"/>
      <c r="K400" s="2">
        <v>78</v>
      </c>
      <c r="L400" s="6"/>
      <c r="M400" s="2" t="str">
        <f>IF(J400="",ROUND(I400*(1-IF(ISBLANK(L400),K400,L400)/100),2),ROUND(J400*(1-IF(ISBLANK(L400),K400,L400)/100),2))</f>
      </c>
      <c r="N400" s="7" t="str">
        <f>IF(NOT(AND(J400="",L400="")),IF(OR(AND(L400&lt;&gt;"",NOT(ISNUMBER(L400))),IFERROR(MOD(L400,1),1)&gt;0,AND(ISNUMBER(L400),OR(L400&lt;0,L400&gt;95))),"Введите целое число от 0 до 95",IF(OR(AND(J400&lt;&gt;"",NOT(ISNUMBER(J400))),IFERROR(MOD(J400,1),1)&gt;0,AND(ISNUMBER(J400),OR(J400&lt;50,J400&gt;20000000))),"Введите целое число от 50 до 20000000",IF(NOT(ABS(IFERROR(VALUE(LEFT(M400,FIND("-",M400)-1)),M400)*100-(2500+2000000000)/2)&lt;=ABS(2500-2000000000)/2),"Цена со скидкой должна быть от 25 до 20000000",IF(AND(IFERROR(VALUE(LEFT(M400,FIND("-",M400)-1)),M400)*150&lt;=74799,IFERROR(VALUE(LEFT(M400,FIND("-",M400)-1)),M400)*200&gt;74799),"Вы уменьшили цену в несколько раз, товар попадет в карантин цен",IF(IFERROR(VALUE(LEFT(M400,FIND("-",M400)-1)),M400)*200&lt;=74799,"Не сохранили изменения, чтобы защитить от ошибки — новые цены меньше текущих более чем в 2 раза. Снижайте их постепенно",IF(AND(IFERROR(VALUE(I400),0)=0,ISNUMBER(J400),OR(J400&lt;348,ABS(IFERROR(VALUE(LEFT(M400,FIND("-",M400)-1)),M400))*100&lt;34800)),"Проверьте цену товара. Большинство товаров в выбранной категории стоят дороже 348","")))))),"")</f>
      </c>
    </row>
    <row r="401">
      <c r="A401" s="2" t="inlineStr">
        <is>
          <t/>
        </is>
      </c>
      <c r="B401" s="2" t="inlineStr">
        <is>
          <t>Шапки для бани</t>
        </is>
      </c>
      <c r="C401" s="2">
        <v>619623941</v>
      </c>
      <c r="D401" s="2" t="inlineStr">
        <is>
          <t>981555</t>
        </is>
      </c>
      <c r="E401" s="2" t="inlineStr">
        <is>
          <t>2047326622439</t>
        </is>
      </c>
      <c r="F401" s="2" t="inlineStr">
        <is>
          <t/>
        </is>
      </c>
      <c r="G401" s="2" t="inlineStr">
        <is>
          <t/>
        </is>
      </c>
      <c r="H401" s="2" t="inlineStr">
        <is>
          <t/>
        </is>
      </c>
      <c r="I401" s="2" t="inlineStr">
        <is>
          <t>0</t>
        </is>
      </c>
      <c r="J401" s="4"/>
      <c r="K401" s="2">
        <v>0</v>
      </c>
      <c r="L401" s="6"/>
      <c r="M401" s="2" t="str">
        <f>IF(J401="",ROUND(I401*(1-IF(ISBLANK(L401),K401,L401)/100),2),ROUND(J401*(1-IF(ISBLANK(L401),K401,L401)/100),2))</f>
      </c>
      <c r="N401" s="7" t="str">
        <f>IF(NOT(AND(J401="",L401="")),IF(OR(AND(L401&lt;&gt;"",NOT(ISNUMBER(L401))),IFERROR(MOD(L401,1),1)&gt;0,AND(ISNUMBER(L401),OR(L401&lt;0,L401&gt;95))),"Введите целое число от 0 до 95",IF(OR(AND(J401&lt;&gt;"",NOT(ISNUMBER(J401))),IFERROR(MOD(J401,1),1)&gt;0,AND(ISNUMBER(J401),OR(J401&lt;50,J401&gt;20000000))),"Введите целое число от 50 до 20000000",IF(NOT(ABS(IFERROR(VALUE(LEFT(M401,FIND("-",M401)-1)),M401)*100-(2500+2000000000)/2)&lt;=ABS(2500-2000000000)/2),"Цена со скидкой должна быть от 25 до 20000000",IF(AND(IFERROR(VALUE(LEFT(M401,FIND("-",M401)-1)),M401)*150&lt;=0,IFERROR(VALUE(LEFT(M401,FIND("-",M401)-1)),M401)*200&gt;0),"Вы уменьшили цену в несколько раз, товар попадет в карантин цен",IF(IFERROR(VALUE(LEFT(M401,FIND("-",M401)-1)),M401)*200&lt;=0,"Не сохранили изменения, чтобы защитить от ошибки — новые цены меньше текущих более чем в 2 раза. Снижайте их постепенно",IF(AND(IFERROR(VALUE(I401),0)=0,ISNUMBER(J401),OR(J401&lt;350,ABS(IFERROR(VALUE(LEFT(M401,FIND("-",M401)-1)),M401))*100&lt;35000)),"Проверьте цену товара. Большинство товаров в выбранной категории стоят дороже 350","")))))),"")</f>
      </c>
    </row>
    <row r="402">
      <c r="A402" s="2" t="inlineStr">
        <is>
          <t/>
        </is>
      </c>
      <c r="B402" s="2" t="inlineStr">
        <is>
          <t>Шапки для бани</t>
        </is>
      </c>
      <c r="C402" s="2">
        <v>619623940</v>
      </c>
      <c r="D402" s="2" t="inlineStr">
        <is>
          <t>981601</t>
        </is>
      </c>
      <c r="E402" s="2" t="inlineStr">
        <is>
          <t>2047326622408</t>
        </is>
      </c>
      <c r="F402" s="2">
        <v>0</v>
      </c>
      <c r="G402" s="2">
        <v>0</v>
      </c>
      <c r="H402" s="2" t="inlineStr">
        <is>
          <t/>
        </is>
      </c>
      <c r="I402" s="2" t="inlineStr">
        <is>
          <t>0</t>
        </is>
      </c>
      <c r="J402" s="4"/>
      <c r="K402" s="2">
        <v>0</v>
      </c>
      <c r="L402" s="6"/>
      <c r="M402" s="2" t="str">
        <f>IF(J402="",ROUND(I402*(1-IF(ISBLANK(L402),K402,L402)/100),2),ROUND(J402*(1-IF(ISBLANK(L402),K402,L402)/100),2))</f>
      </c>
      <c r="N402" s="7" t="str">
        <f>IF(NOT(AND(J402="",L402="")),IF(OR(AND(L402&lt;&gt;"",NOT(ISNUMBER(L402))),IFERROR(MOD(L402,1),1)&gt;0,AND(ISNUMBER(L402),OR(L402&lt;0,L402&gt;95))),"Введите целое число от 0 до 95",IF(OR(AND(J402&lt;&gt;"",NOT(ISNUMBER(J402))),IFERROR(MOD(J402,1),1)&gt;0,AND(ISNUMBER(J402),OR(J402&lt;50,J402&gt;20000000))),"Введите целое число от 50 до 20000000",IF(NOT(ABS(IFERROR(VALUE(LEFT(M402,FIND("-",M402)-1)),M402)*100-(2500+2000000000)/2)&lt;=ABS(2500-2000000000)/2),"Цена со скидкой должна быть от 25 до 20000000",IF(AND(IFERROR(VALUE(LEFT(M402,FIND("-",M402)-1)),M402)*150&lt;=0,IFERROR(VALUE(LEFT(M402,FIND("-",M402)-1)),M402)*200&gt;0),"Вы уменьшили цену в несколько раз, товар попадет в карантин цен",IF(IFERROR(VALUE(LEFT(M402,FIND("-",M402)-1)),M402)*200&lt;=0,"Не сохранили изменения, чтобы защитить от ошибки — новые цены меньше текущих более чем в 2 раза. Снижайте их постепенно",IF(AND(IFERROR(VALUE(I402),0)=0,ISNUMBER(J402),OR(J402&lt;350,ABS(IFERROR(VALUE(LEFT(M402,FIND("-",M402)-1)),M402))*100&lt;35000)),"Проверьте цену товара. Большинство товаров в выбранной категории стоят дороже 350","")))))),"")</f>
      </c>
    </row>
    <row r="403">
      <c r="A403" s="2" t="inlineStr">
        <is>
          <t/>
        </is>
      </c>
      <c r="B403" s="2" t="inlineStr">
        <is>
          <t>Шапки для бани</t>
        </is>
      </c>
      <c r="C403" s="2">
        <v>619623942</v>
      </c>
      <c r="D403" s="2" t="inlineStr">
        <is>
          <t>981814</t>
        </is>
      </c>
      <c r="E403" s="2" t="inlineStr">
        <is>
          <t>2047326622477</t>
        </is>
      </c>
      <c r="F403" s="2">
        <v>0</v>
      </c>
      <c r="G403" s="2">
        <v>0</v>
      </c>
      <c r="H403" s="2" t="inlineStr">
        <is>
          <t/>
        </is>
      </c>
      <c r="I403" s="2" t="inlineStr">
        <is>
          <t>0</t>
        </is>
      </c>
      <c r="J403" s="4"/>
      <c r="K403" s="2">
        <v>0</v>
      </c>
      <c r="L403" s="6"/>
      <c r="M403" s="2" t="str">
        <f>IF(J403="",ROUND(I403*(1-IF(ISBLANK(L403),K403,L403)/100),2),ROUND(J403*(1-IF(ISBLANK(L403),K403,L403)/100),2))</f>
      </c>
      <c r="N403" s="7" t="str">
        <f>IF(NOT(AND(J403="",L403="")),IF(OR(AND(L403&lt;&gt;"",NOT(ISNUMBER(L403))),IFERROR(MOD(L403,1),1)&gt;0,AND(ISNUMBER(L403),OR(L403&lt;0,L403&gt;95))),"Введите целое число от 0 до 95",IF(OR(AND(J403&lt;&gt;"",NOT(ISNUMBER(J403))),IFERROR(MOD(J403,1),1)&gt;0,AND(ISNUMBER(J403),OR(J403&lt;50,J403&gt;20000000))),"Введите целое число от 50 до 20000000",IF(NOT(ABS(IFERROR(VALUE(LEFT(M403,FIND("-",M403)-1)),M403)*100-(2500+2000000000)/2)&lt;=ABS(2500-2000000000)/2),"Цена со скидкой должна быть от 25 до 20000000",IF(AND(IFERROR(VALUE(LEFT(M403,FIND("-",M403)-1)),M403)*150&lt;=0,IFERROR(VALUE(LEFT(M403,FIND("-",M403)-1)),M403)*200&gt;0),"Вы уменьшили цену в несколько раз, товар попадет в карантин цен",IF(IFERROR(VALUE(LEFT(M403,FIND("-",M403)-1)),M403)*200&lt;=0,"Не сохранили изменения, чтобы защитить от ошибки — новые цены меньше текущих более чем в 2 раза. Снижайте их постепенно",IF(AND(IFERROR(VALUE(I403),0)=0,ISNUMBER(J403),OR(J403&lt;350,ABS(IFERROR(VALUE(LEFT(M403,FIND("-",M403)-1)),M403))*100&lt;35000)),"Проверьте цену товара. Большинство товаров в выбранной категории стоят дороже 350","")))))),"")</f>
      </c>
    </row>
    <row r="404">
      <c r="A404" s="2" t="inlineStr">
        <is>
          <t/>
        </is>
      </c>
      <c r="B404" s="2" t="inlineStr">
        <is>
          <t>Дождевики</t>
        </is>
      </c>
      <c r="C404" s="2">
        <v>600651719</v>
      </c>
      <c r="D404" s="2" t="inlineStr">
        <is>
          <t>523501</t>
        </is>
      </c>
      <c r="E404" s="2" t="inlineStr">
        <is>
          <t>2047129381151</t>
        </is>
      </c>
      <c r="F404" s="2">
        <v>0</v>
      </c>
      <c r="G404" s="2">
        <v>110</v>
      </c>
      <c r="H404" s="2" t="inlineStr">
        <is>
          <t/>
        </is>
      </c>
      <c r="I404" s="2" t="inlineStr">
        <is>
          <t>2760</t>
        </is>
      </c>
      <c r="J404" s="4"/>
      <c r="K404" s="2">
        <v>78</v>
      </c>
      <c r="L404" s="6"/>
      <c r="M404" s="2" t="str">
        <f>IF(J404="",ROUND(I404*(1-IF(ISBLANK(L404),K404,L404)/100),2),ROUND(J404*(1-IF(ISBLANK(L404),K404,L404)/100),2))</f>
      </c>
      <c r="N404" s="7" t="str">
        <f>IF(NOT(AND(J404="",L404="")),IF(OR(AND(L404&lt;&gt;"",NOT(ISNUMBER(L404))),IFERROR(MOD(L404,1),1)&gt;0,AND(ISNUMBER(L404),OR(L404&lt;0,L404&gt;95))),"Введите целое число от 0 до 95",IF(OR(AND(J404&lt;&gt;"",NOT(ISNUMBER(J404))),IFERROR(MOD(J404,1),1)&gt;0,AND(ISNUMBER(J404),OR(J404&lt;50,J404&gt;20000000))),"Введите целое число от 50 до 20000000",IF(NOT(ABS(IFERROR(VALUE(LEFT(M404,FIND("-",M404)-1)),M404)*100-(2500+2000000000)/2)&lt;=ABS(2500-2000000000)/2),"Цена со скидкой должна быть от 25 до 20000000",IF(AND(IFERROR(VALUE(LEFT(M404,FIND("-",M404)-1)),M404)*150&lt;=60719,IFERROR(VALUE(LEFT(M404,FIND("-",M404)-1)),M404)*200&gt;60719),"Вы уменьшили цену в несколько раз, товар попадет в карантин цен",IF(IFERROR(VALUE(LEFT(M404,FIND("-",M404)-1)),M404)*200&lt;=60719,"Не сохранили изменения, чтобы защитить от ошибки — новые цены меньше текущих более чем в 2 раза. Снижайте их постепенно",IF(AND(IFERROR(VALUE(I404),0)=0,ISNUMBER(J404),OR(J404&lt;348,ABS(IFERROR(VALUE(LEFT(M404,FIND("-",M404)-1)),M404))*100&lt;34800)),"Проверьте цену товара. Большинство товаров в выбранной категории стоят дороже 348","")))))),"")</f>
      </c>
    </row>
    <row r="405">
      <c r="A405" s="2" t="inlineStr">
        <is>
          <t/>
        </is>
      </c>
      <c r="B405" s="2" t="inlineStr">
        <is>
          <t>Дождевики</t>
        </is>
      </c>
      <c r="C405" s="2">
        <v>600651712</v>
      </c>
      <c r="D405" s="2" t="inlineStr">
        <is>
          <t>513232</t>
        </is>
      </c>
      <c r="E405" s="2" t="inlineStr">
        <is>
          <t>2047129380499</t>
        </is>
      </c>
      <c r="F405" s="2">
        <v>0</v>
      </c>
      <c r="G405" s="2">
        <v>23</v>
      </c>
      <c r="H405" s="2" t="inlineStr">
        <is>
          <t/>
        </is>
      </c>
      <c r="I405" s="2" t="inlineStr">
        <is>
          <t>6112</t>
        </is>
      </c>
      <c r="J405" s="4"/>
      <c r="K405" s="2">
        <v>78</v>
      </c>
      <c r="L405" s="6"/>
      <c r="M405" s="2" t="str">
        <f>IF(J405="",ROUND(I405*(1-IF(ISBLANK(L405),K405,L405)/100),2),ROUND(J405*(1-IF(ISBLANK(L405),K405,L405)/100),2))</f>
      </c>
      <c r="N405" s="7" t="str">
        <f>IF(NOT(AND(J405="",L405="")),IF(OR(AND(L405&lt;&gt;"",NOT(ISNUMBER(L405))),IFERROR(MOD(L405,1),1)&gt;0,AND(ISNUMBER(L405),OR(L405&lt;0,L405&gt;95))),"Введите целое число от 0 до 95",IF(OR(AND(J405&lt;&gt;"",NOT(ISNUMBER(J405))),IFERROR(MOD(J405,1),1)&gt;0,AND(ISNUMBER(J405),OR(J405&lt;50,J405&gt;20000000))),"Введите целое число от 50 до 20000000",IF(NOT(ABS(IFERROR(VALUE(LEFT(M405,FIND("-",M405)-1)),M405)*100-(2500+2000000000)/2)&lt;=ABS(2500-2000000000)/2),"Цена со скидкой должна быть от 25 до 20000000",IF(AND(IFERROR(VALUE(LEFT(M405,FIND("-",M405)-1)),M405)*150&lt;=134464,IFERROR(VALUE(LEFT(M405,FIND("-",M405)-1)),M405)*200&gt;134464),"Вы уменьшили цену в несколько раз, товар попадет в карантин цен",IF(IFERROR(VALUE(LEFT(M405,FIND("-",M405)-1)),M405)*200&lt;=134464,"Не сохранили изменения, чтобы защитить от ошибки — новые цены меньше текущих более чем в 2 раза. Снижайте их постепенно",IF(AND(IFERROR(VALUE(I405),0)=0,ISNUMBER(J405),OR(J405&lt;348,ABS(IFERROR(VALUE(LEFT(M405,FIND("-",M405)-1)),M405))*100&lt;34800)),"Проверьте цену товара. Большинство товаров в выбранной категории стоят дороже 348","")))))),"")</f>
      </c>
    </row>
    <row r="406">
      <c r="A406" s="2" t="inlineStr">
        <is>
          <t/>
        </is>
      </c>
      <c r="B406" s="2" t="inlineStr">
        <is>
          <t>Дождевики</t>
        </is>
      </c>
      <c r="C406" s="2">
        <v>600651711</v>
      </c>
      <c r="D406" s="2" t="inlineStr">
        <is>
          <t>519980</t>
        </is>
      </c>
      <c r="E406" s="2" t="inlineStr">
        <is>
          <t>2047129380475</t>
        </is>
      </c>
      <c r="F406" s="2">
        <v>0</v>
      </c>
      <c r="G406" s="2">
        <v>11</v>
      </c>
      <c r="H406" s="2" t="inlineStr">
        <is>
          <t/>
        </is>
      </c>
      <c r="I406" s="2" t="inlineStr">
        <is>
          <t>6092</t>
        </is>
      </c>
      <c r="J406" s="4"/>
      <c r="K406" s="2">
        <v>78</v>
      </c>
      <c r="L406" s="6"/>
      <c r="M406" s="2" t="str">
        <f>IF(J406="",ROUND(I406*(1-IF(ISBLANK(L406),K406,L406)/100),2),ROUND(J406*(1-IF(ISBLANK(L406),K406,L406)/100),2))</f>
      </c>
      <c r="N406" s="7" t="str">
        <f>IF(NOT(AND(J406="",L406="")),IF(OR(AND(L406&lt;&gt;"",NOT(ISNUMBER(L406))),IFERROR(MOD(L406,1),1)&gt;0,AND(ISNUMBER(L406),OR(L406&lt;0,L406&gt;95))),"Введите целое число от 0 до 95",IF(OR(AND(J406&lt;&gt;"",NOT(ISNUMBER(J406))),IFERROR(MOD(J406,1),1)&gt;0,AND(ISNUMBER(J406),OR(J406&lt;50,J406&gt;20000000))),"Введите целое число от 50 до 20000000",IF(NOT(ABS(IFERROR(VALUE(LEFT(M406,FIND("-",M406)-1)),M406)*100-(2500+2000000000)/2)&lt;=ABS(2500-2000000000)/2),"Цена со скидкой должна быть от 25 до 20000000",IF(AND(IFERROR(VALUE(LEFT(M406,FIND("-",M406)-1)),M406)*150&lt;=134023,IFERROR(VALUE(LEFT(M406,FIND("-",M406)-1)),M406)*200&gt;134023),"Вы уменьшили цену в несколько раз, товар попадет в карантин цен",IF(IFERROR(VALUE(LEFT(M406,FIND("-",M406)-1)),M406)*200&lt;=134023,"Не сохранили изменения, чтобы защитить от ошибки — новые цены меньше текущих более чем в 2 раза. Снижайте их постепенно",IF(AND(IFERROR(VALUE(I406),0)=0,ISNUMBER(J406),OR(J406&lt;348,ABS(IFERROR(VALUE(LEFT(M406,FIND("-",M406)-1)),M406))*100&lt;34800)),"Проверьте цену товара. Большинство товаров в выбранной категории стоят дороже 348","")))))),"")</f>
      </c>
    </row>
    <row r="407">
      <c r="A407" s="2" t="inlineStr">
        <is>
          <t/>
        </is>
      </c>
      <c r="B407" s="2" t="inlineStr">
        <is>
          <t>Швабры</t>
        </is>
      </c>
      <c r="C407" s="2">
        <v>618348465</v>
      </c>
      <c r="D407" s="2" t="inlineStr">
        <is>
          <t>513944</t>
        </is>
      </c>
      <c r="E407" s="2" t="inlineStr">
        <is>
          <t>2047308101549</t>
        </is>
      </c>
      <c r="F407" s="2">
        <v>0</v>
      </c>
      <c r="G407" s="2">
        <v>0</v>
      </c>
      <c r="H407" s="2" t="inlineStr">
        <is>
          <t/>
        </is>
      </c>
      <c r="I407" s="2" t="inlineStr">
        <is>
          <t>9696</t>
        </is>
      </c>
      <c r="J407" s="4"/>
      <c r="K407" s="2">
        <v>65</v>
      </c>
      <c r="L407" s="6"/>
      <c r="M407" s="2" t="str">
        <f>IF(J407="",ROUND(I407*(1-IF(ISBLANK(L407),K407,L407)/100),2),ROUND(J407*(1-IF(ISBLANK(L407),K407,L407)/100),2))</f>
      </c>
      <c r="N407" s="7" t="str">
        <f>IF(NOT(AND(J407="",L407="")),IF(OR(AND(L407&lt;&gt;"",NOT(ISNUMBER(L407))),IFERROR(MOD(L407,1),1)&gt;0,AND(ISNUMBER(L407),OR(L407&lt;0,L407&gt;95))),"Введите целое число от 0 до 95",IF(OR(AND(J407&lt;&gt;"",NOT(ISNUMBER(J407))),IFERROR(MOD(J407,1),1)&gt;0,AND(ISNUMBER(J407),OR(J407&lt;50,J407&gt;20000000))),"Введите целое число от 50 до 20000000",IF(NOT(ABS(IFERROR(VALUE(LEFT(M407,FIND("-",M407)-1)),M407)*100-(2500+2000000000)/2)&lt;=ABS(2500-2000000000)/2),"Цена со скидкой должна быть от 25 до 20000000",IF(AND(IFERROR(VALUE(LEFT(M407,FIND("-",M407)-1)),M407)*150&lt;=339360,IFERROR(VALUE(LEFT(M407,FIND("-",M407)-1)),M407)*200&gt;339360),"Вы уменьшили цену в несколько раз, товар попадет в карантин цен",IF(IFERROR(VALUE(LEFT(M407,FIND("-",M407)-1)),M407)*200&lt;=339360,"Не сохранили изменения, чтобы защитить от ошибки — новые цены меньше текущих более чем в 2 раза. Снижайте их постепенно",IF(AND(IFERROR(VALUE(I407),0)=0,ISNUMBER(J407),OR(J407&lt;448,ABS(IFERROR(VALUE(LEFT(M407,FIND("-",M407)-1)),M407))*100&lt;44800)),"Проверьте цену товара. Большинство товаров в выбранной категории стоят дороже 448","")))))),"")</f>
      </c>
    </row>
    <row r="408">
      <c r="A408" s="2" t="inlineStr">
        <is>
          <t/>
        </is>
      </c>
      <c r="B408" s="2" t="inlineStr">
        <is>
          <t>Дождевики</t>
        </is>
      </c>
      <c r="C408" s="2">
        <v>600651715</v>
      </c>
      <c r="D408" s="2" t="inlineStr">
        <is>
          <t>513017</t>
        </is>
      </c>
      <c r="E408" s="2" t="inlineStr">
        <is>
          <t>2047129380543</t>
        </is>
      </c>
      <c r="F408" s="2">
        <v>0</v>
      </c>
      <c r="G408" s="2">
        <v>9</v>
      </c>
      <c r="H408" s="2" t="inlineStr">
        <is>
          <t/>
        </is>
      </c>
      <c r="I408" s="2" t="inlineStr">
        <is>
          <t>3452</t>
        </is>
      </c>
      <c r="J408" s="4"/>
      <c r="K408" s="2">
        <v>78</v>
      </c>
      <c r="L408" s="6"/>
      <c r="M408" s="2" t="str">
        <f>IF(J408="",ROUND(I408*(1-IF(ISBLANK(L408),K408,L408)/100),2),ROUND(J408*(1-IF(ISBLANK(L408),K408,L408)/100),2))</f>
      </c>
      <c r="N408" s="7" t="str">
        <f>IF(NOT(AND(J408="",L408="")),IF(OR(AND(L408&lt;&gt;"",NOT(ISNUMBER(L408))),IFERROR(MOD(L408,1),1)&gt;0,AND(ISNUMBER(L408),OR(L408&lt;0,L408&gt;95))),"Введите целое число от 0 до 95",IF(OR(AND(J408&lt;&gt;"",NOT(ISNUMBER(J408))),IFERROR(MOD(J408,1),1)&gt;0,AND(ISNUMBER(J408),OR(J408&lt;50,J408&gt;20000000))),"Введите целое число от 50 до 20000000",IF(NOT(ABS(IFERROR(VALUE(LEFT(M408,FIND("-",M408)-1)),M408)*100-(2500+2000000000)/2)&lt;=ABS(2500-2000000000)/2),"Цена со скидкой должна быть от 25 до 20000000",IF(AND(IFERROR(VALUE(LEFT(M408,FIND("-",M408)-1)),M408)*150&lt;=75944,IFERROR(VALUE(LEFT(M408,FIND("-",M408)-1)),M408)*200&gt;75944),"Вы уменьшили цену в несколько раз, товар попадет в карантин цен",IF(IFERROR(VALUE(LEFT(M408,FIND("-",M408)-1)),M408)*200&lt;=75944,"Не сохранили изменения, чтобы защитить от ошибки — новые цены меньше текущих более чем в 2 раза. Снижайте их постепенно",IF(AND(IFERROR(VALUE(I408),0)=0,ISNUMBER(J408),OR(J408&lt;348,ABS(IFERROR(VALUE(LEFT(M408,FIND("-",M408)-1)),M408))*100&lt;34800)),"Проверьте цену товара. Большинство товаров в выбранной категории стоят дороже 348","")))))),"")</f>
      </c>
    </row>
    <row r="409">
      <c r="A409" s="2" t="inlineStr">
        <is>
          <t>Luxaro</t>
        </is>
      </c>
      <c r="B409" s="2" t="inlineStr">
        <is>
          <t>Блендеры</t>
        </is>
      </c>
      <c r="C409" s="2">
        <v>603732320</v>
      </c>
      <c r="D409" s="2" t="inlineStr">
        <is>
          <t>191925</t>
        </is>
      </c>
      <c r="E409" s="2" t="inlineStr">
        <is>
          <t>2047147941290</t>
        </is>
      </c>
      <c r="F409" s="2">
        <v>4</v>
      </c>
      <c r="G409" s="2">
        <v>5</v>
      </c>
      <c r="H409" s="2">
        <v>999</v>
      </c>
      <c r="I409" s="2" t="inlineStr">
        <is>
          <t>17072</t>
        </is>
      </c>
      <c r="J409" s="4"/>
      <c r="K409" s="2">
        <v>81</v>
      </c>
      <c r="L409" s="6"/>
      <c r="M409" s="2" t="str">
        <f>IF(J409="",ROUND(I409*(1-IF(ISBLANK(L409),K409,L409)/100),2),ROUND(J409*(1-IF(ISBLANK(L409),K409,L409)/100),2))</f>
      </c>
      <c r="N409" s="7" t="str">
        <f>IF(NOT(AND(J409="",L409="")),IF(OR(AND(L409&lt;&gt;"",NOT(ISNUMBER(L409))),IFERROR(MOD(L409,1),1)&gt;0,AND(ISNUMBER(L409),OR(L409&lt;0,L409&gt;95))),"Введите целое число от 0 до 95",IF(OR(AND(J409&lt;&gt;"",NOT(ISNUMBER(J409))),IFERROR(MOD(J409,1),1)&gt;0,AND(ISNUMBER(J409),OR(J409&lt;50,J409&gt;20000000))),"Введите целое число от 50 до 20000000",IF(NOT(ABS(IFERROR(VALUE(LEFT(M409,FIND("-",M409)-1)),M409)*100-(2500+2000000000)/2)&lt;=ABS(2500-2000000000)/2),"Цена со скидкой должна быть от 25 до 20000000",IF(AND(IFERROR(VALUE(LEFT(M409,FIND("-",M409)-1)),M409)*150&lt;=324367,IFERROR(VALUE(LEFT(M409,FIND("-",M409)-1)),M409)*200&gt;324367),"Вы уменьшили цену в несколько раз, товар попадет в карантин цен",IF(IFERROR(VALUE(LEFT(M409,FIND("-",M409)-1)),M409)*200&lt;=324367,"Не сохранили изменения, чтобы защитить от ошибки — новые цены меньше текущих более чем в 2 раза. Снижайте их постепенно",IF(AND(IFERROR(VALUE(I409),0)=0,ISNUMBER(J409),OR(J409&lt;361,ABS(IFERROR(VALUE(LEFT(M409,FIND("-",M409)-1)),M409))*100&lt;36100)),"Проверьте цену товара. Большинство товаров в выбранной категории стоят дороже 361","")))))),"")</f>
      </c>
    </row>
    <row r="410">
      <c r="A410" s="2" t="inlineStr">
        <is>
          <t>Luxaro</t>
        </is>
      </c>
      <c r="B410" s="2" t="inlineStr">
        <is>
          <t>Блендеры</t>
        </is>
      </c>
      <c r="C410" s="2">
        <v>603732318</v>
      </c>
      <c r="D410" s="2" t="inlineStr">
        <is>
          <t>191828</t>
        </is>
      </c>
      <c r="E410" s="2" t="inlineStr">
        <is>
          <t>2047147941252</t>
        </is>
      </c>
      <c r="F410" s="2">
        <v>0</v>
      </c>
      <c r="G410" s="2">
        <v>2</v>
      </c>
      <c r="H410" s="2" t="inlineStr">
        <is>
          <t/>
        </is>
      </c>
      <c r="I410" s="2" t="inlineStr">
        <is>
          <t>15045</t>
        </is>
      </c>
      <c r="J410" s="4"/>
      <c r="K410" s="2">
        <v>80</v>
      </c>
      <c r="L410" s="6"/>
      <c r="M410" s="2" t="str">
        <f>IF(J410="",ROUND(I410*(1-IF(ISBLANK(L410),K410,L410)/100),2),ROUND(J410*(1-IF(ISBLANK(L410),K410,L410)/100),2))</f>
      </c>
      <c r="N410" s="7" t="str">
        <f>IF(NOT(AND(J410="",L410="")),IF(OR(AND(L410&lt;&gt;"",NOT(ISNUMBER(L410))),IFERROR(MOD(L410,1),1)&gt;0,AND(ISNUMBER(L410),OR(L410&lt;0,L410&gt;95))),"Введите целое число от 0 до 95",IF(OR(AND(J410&lt;&gt;"",NOT(ISNUMBER(J410))),IFERROR(MOD(J410,1),1)&gt;0,AND(ISNUMBER(J410),OR(J410&lt;50,J410&gt;20000000))),"Введите целое число от 50 до 20000000",IF(NOT(ABS(IFERROR(VALUE(LEFT(M410,FIND("-",M410)-1)),M410)*100-(2500+2000000000)/2)&lt;=ABS(2500-2000000000)/2),"Цена со скидкой должна быть от 25 до 20000000",IF(AND(IFERROR(VALUE(LEFT(M410,FIND("-",M410)-1)),M410)*150&lt;=300899,IFERROR(VALUE(LEFT(M410,FIND("-",M410)-1)),M410)*200&gt;300899),"Вы уменьшили цену в несколько раз, товар попадет в карантин цен",IF(IFERROR(VALUE(LEFT(M410,FIND("-",M410)-1)),M410)*200&lt;=300899,"Не сохранили изменения, чтобы защитить от ошибки — новые цены меньше текущих более чем в 2 раза. Снижайте их постепенно",IF(AND(IFERROR(VALUE(I410),0)=0,ISNUMBER(J410),OR(J410&lt;361,ABS(IFERROR(VALUE(LEFT(M410,FIND("-",M410)-1)),M410))*100&lt;36100)),"Проверьте цену товара. Большинство товаров в выбранной категории стоят дороже 361","")))))),"")</f>
      </c>
    </row>
    <row r="411">
      <c r="A411" s="2" t="inlineStr">
        <is>
          <t/>
        </is>
      </c>
      <c r="B411" s="2" t="inlineStr">
        <is>
          <t>Кухонные весы</t>
        </is>
      </c>
      <c r="C411" s="2">
        <v>603732278</v>
      </c>
      <c r="D411" s="2" t="inlineStr">
        <is>
          <t>192681</t>
        </is>
      </c>
      <c r="E411" s="2" t="inlineStr">
        <is>
          <t>2047147940507</t>
        </is>
      </c>
      <c r="F411" s="2">
        <v>4</v>
      </c>
      <c r="G411" s="2">
        <v>8</v>
      </c>
      <c r="H411" s="2">
        <v>140</v>
      </c>
      <c r="I411" s="2" t="inlineStr">
        <is>
          <t>5472</t>
        </is>
      </c>
      <c r="J411" s="4"/>
      <c r="K411" s="2">
        <v>78</v>
      </c>
      <c r="L411" s="6"/>
      <c r="M411" s="2" t="str">
        <f>IF(J411="",ROUND(I411*(1-IF(ISBLANK(L411),K411,L411)/100),2),ROUND(J411*(1-IF(ISBLANK(L411),K411,L411)/100),2))</f>
      </c>
      <c r="N411" s="7" t="str">
        <f>IF(NOT(AND(J411="",L411="")),IF(OR(AND(L411&lt;&gt;"",NOT(ISNUMBER(L411))),IFERROR(MOD(L411,1),1)&gt;0,AND(ISNUMBER(L411),OR(L411&lt;0,L411&gt;95))),"Введите целое число от 0 до 95",IF(OR(AND(J411&lt;&gt;"",NOT(ISNUMBER(J411))),IFERROR(MOD(J411,1),1)&gt;0,AND(ISNUMBER(J411),OR(J411&lt;50,J411&gt;20000000))),"Введите целое число от 50 до 20000000",IF(NOT(ABS(IFERROR(VALUE(LEFT(M411,FIND("-",M411)-1)),M411)*100-(2500+2000000000)/2)&lt;=ABS(2500-2000000000)/2),"Цена со скидкой должна быть от 25 до 20000000",IF(AND(IFERROR(VALUE(LEFT(M411,FIND("-",M411)-1)),M411)*150&lt;=120383,IFERROR(VALUE(LEFT(M411,FIND("-",M411)-1)),M411)*200&gt;120383),"Вы уменьшили цену в несколько раз, товар попадет в карантин цен",IF(IFERROR(VALUE(LEFT(M411,FIND("-",M411)-1)),M411)*200&lt;=120383,"Не сохранили изменения, чтобы защитить от ошибки — новые цены меньше текущих более чем в 2 раза. Снижайте их постепенно",IF(AND(IFERROR(VALUE(I411),0)=0,ISNUMBER(J411),OR(J411&lt;214,ABS(IFERROR(VALUE(LEFT(M411,FIND("-",M411)-1)),M411))*100&lt;21400)),"Проверьте цену товара. Большинство товаров в выбранной категории стоят дороже 214","")))))),"")</f>
      </c>
    </row>
    <row r="412">
      <c r="A412" s="2" t="inlineStr">
        <is>
          <t/>
        </is>
      </c>
      <c r="B412" s="2" t="inlineStr">
        <is>
          <t>Ланч-боксы</t>
        </is>
      </c>
      <c r="C412" s="2">
        <v>600645331</v>
      </c>
      <c r="D412" s="2" t="inlineStr">
        <is>
          <t>283470</t>
        </is>
      </c>
      <c r="E412" s="2" t="inlineStr">
        <is>
          <t>2047129195291</t>
        </is>
      </c>
      <c r="F412" s="2">
        <v>0</v>
      </c>
      <c r="G412" s="2">
        <v>0</v>
      </c>
      <c r="H412" s="2" t="inlineStr">
        <is>
          <t/>
        </is>
      </c>
      <c r="I412" s="2" t="inlineStr">
        <is>
          <t>29408</t>
        </is>
      </c>
      <c r="J412" s="4"/>
      <c r="K412" s="2">
        <v>65</v>
      </c>
      <c r="L412" s="6"/>
      <c r="M412" s="2" t="str">
        <f>IF(J412="",ROUND(I412*(1-IF(ISBLANK(L412),K412,L412)/100),2),ROUND(J412*(1-IF(ISBLANK(L412),K412,L412)/100),2))</f>
      </c>
      <c r="N412" s="7" t="str">
        <f>IF(NOT(AND(J412="",L412="")),IF(OR(AND(L412&lt;&gt;"",NOT(ISNUMBER(L412))),IFERROR(MOD(L412,1),1)&gt;0,AND(ISNUMBER(L412),OR(L412&lt;0,L412&gt;95))),"Введите целое число от 0 до 95",IF(OR(AND(J412&lt;&gt;"",NOT(ISNUMBER(J412))),IFERROR(MOD(J412,1),1)&gt;0,AND(ISNUMBER(J412),OR(J412&lt;50,J412&gt;20000000))),"Введите целое число от 50 до 20000000",IF(NOT(ABS(IFERROR(VALUE(LEFT(M412,FIND("-",M412)-1)),M412)*100-(2500+2000000000)/2)&lt;=ABS(2500-2000000000)/2),"Цена со скидкой должна быть от 25 до 20000000",IF(AND(IFERROR(VALUE(LEFT(M412,FIND("-",M412)-1)),M412)*150&lt;=1029279,IFERROR(VALUE(LEFT(M412,FIND("-",M412)-1)),M412)*200&gt;1029279),"Вы уменьшили цену в несколько раз, товар попадет в карантин цен",IF(IFERROR(VALUE(LEFT(M412,FIND("-",M412)-1)),M412)*200&lt;=1029279,"Не сохранили изменения, чтобы защитить от ошибки — новые цены меньше текущих более чем в 2 раза. Снижайте их постепенно",IF(AND(IFERROR(VALUE(I412),0)=0,ISNUMBER(J412),OR(J412&lt;364,ABS(IFERROR(VALUE(LEFT(M412,FIND("-",M412)-1)),M412))*100&lt;36400)),"Проверьте цену товара. Большинство товаров в выбранной категории стоят дороже 364","")))))),"")</f>
      </c>
    </row>
    <row r="413">
      <c r="A413" s="2" t="inlineStr">
        <is>
          <t/>
        </is>
      </c>
      <c r="B413" s="2" t="inlineStr">
        <is>
          <t>Ланч-боксы</t>
        </is>
      </c>
      <c r="C413" s="2">
        <v>600645324</v>
      </c>
      <c r="D413" s="2" t="inlineStr">
        <is>
          <t>281857</t>
        </is>
      </c>
      <c r="E413" s="2" t="inlineStr">
        <is>
          <t>2047129194331</t>
        </is>
      </c>
      <c r="F413" s="2">
        <v>0</v>
      </c>
      <c r="G413" s="2">
        <v>6</v>
      </c>
      <c r="H413" s="2" t="inlineStr">
        <is>
          <t/>
        </is>
      </c>
      <c r="I413" s="2" t="inlineStr">
        <is>
          <t>12670</t>
        </is>
      </c>
      <c r="J413" s="4"/>
      <c r="K413" s="2">
        <v>78</v>
      </c>
      <c r="L413" s="6"/>
      <c r="M413" s="2" t="str">
        <f>IF(J413="",ROUND(I413*(1-IF(ISBLANK(L413),K413,L413)/100),2),ROUND(J413*(1-IF(ISBLANK(L413),K413,L413)/100),2))</f>
      </c>
      <c r="N413" s="7" t="str">
        <f>IF(NOT(AND(J413="",L413="")),IF(OR(AND(L413&lt;&gt;"",NOT(ISNUMBER(L413))),IFERROR(MOD(L413,1),1)&gt;0,AND(ISNUMBER(L413),OR(L413&lt;0,L413&gt;95))),"Введите целое число от 0 до 95",IF(OR(AND(J413&lt;&gt;"",NOT(ISNUMBER(J413))),IFERROR(MOD(J413,1),1)&gt;0,AND(ISNUMBER(J413),OR(J413&lt;50,J413&gt;20000000))),"Введите целое число от 50 до 20000000",IF(NOT(ABS(IFERROR(VALUE(LEFT(M413,FIND("-",M413)-1)),M413)*100-(2500+2000000000)/2)&lt;=ABS(2500-2000000000)/2),"Цена со скидкой должна быть от 25 до 20000000",IF(AND(IFERROR(VALUE(LEFT(M413,FIND("-",M413)-1)),M413)*150&lt;=278739,IFERROR(VALUE(LEFT(M413,FIND("-",M413)-1)),M413)*200&gt;278739),"Вы уменьшили цену в несколько раз, товар попадет в карантин цен",IF(IFERROR(VALUE(LEFT(M413,FIND("-",M413)-1)),M413)*200&lt;=278739,"Не сохранили изменения, чтобы защитить от ошибки — новые цены меньше текущих более чем в 2 раза. Снижайте их постепенно",IF(AND(IFERROR(VALUE(I413),0)=0,ISNUMBER(J413),OR(J413&lt;364,ABS(IFERROR(VALUE(LEFT(M413,FIND("-",M413)-1)),M413))*100&lt;36400)),"Проверьте цену товара. Большинство товаров в выбранной категории стоят дороже 364","")))))),"")</f>
      </c>
    </row>
    <row r="414">
      <c r="A414" s="2" t="inlineStr">
        <is>
          <t/>
        </is>
      </c>
      <c r="B414" s="2" t="inlineStr">
        <is>
          <t>Кружки</t>
        </is>
      </c>
      <c r="C414" s="2">
        <v>766395611</v>
      </c>
      <c r="D414" s="2" t="inlineStr">
        <is>
          <t>076473</t>
        </is>
      </c>
      <c r="E414" s="2" t="inlineStr">
        <is>
          <t>2048433351410</t>
        </is>
      </c>
      <c r="F414" s="2" t="inlineStr">
        <is>
          <t/>
        </is>
      </c>
      <c r="G414" s="2" t="inlineStr">
        <is>
          <t/>
        </is>
      </c>
      <c r="H414" s="2" t="inlineStr">
        <is>
          <t/>
        </is>
      </c>
      <c r="I414" s="2" t="inlineStr">
        <is>
          <t>0</t>
        </is>
      </c>
      <c r="J414" s="4"/>
      <c r="K414" s="2">
        <v>0</v>
      </c>
      <c r="L414" s="6"/>
      <c r="M414" s="2" t="str">
        <f>IF(J414="",ROUND(I414*(1-IF(ISBLANK(L414),K414,L414)/100),2),ROUND(J414*(1-IF(ISBLANK(L414),K414,L414)/100),2))</f>
      </c>
      <c r="N414" s="7" t="str">
        <f>IF(NOT(AND(J414="",L414="")),IF(OR(AND(L414&lt;&gt;"",NOT(ISNUMBER(L414))),IFERROR(MOD(L414,1),1)&gt;0,AND(ISNUMBER(L414),OR(L414&lt;0,L414&gt;95))),"Введите целое число от 0 до 95",IF(OR(AND(J414&lt;&gt;"",NOT(ISNUMBER(J414))),IFERROR(MOD(J414,1),1)&gt;0,AND(ISNUMBER(J414),OR(J414&lt;50,J414&gt;20000000))),"Введите целое число от 50 до 20000000",IF(NOT(ABS(IFERROR(VALUE(LEFT(M414,FIND("-",M414)-1)),M414)*100-(2500+2000000000)/2)&lt;=ABS(2500-2000000000)/2),"Цена со скидкой должна быть от 25 до 20000000",IF(AND(IFERROR(VALUE(LEFT(M414,FIND("-",M414)-1)),M414)*150&lt;=0,IFERROR(VALUE(LEFT(M414,FIND("-",M414)-1)),M414)*200&gt;0),"Вы уменьшили цену в несколько раз, товар попадет в карантин цен",IF(IFERROR(VALUE(LEFT(M414,FIND("-",M414)-1)),M414)*200&lt;=0,"Не сохранили изменения, чтобы защитить от ошибки — новые цены меньше текущих более чем в 2 раза. Снижайте их постепенно",IF(AND(IFERROR(VALUE(I414),0)=0,ISNUMBER(J414),OR(J414&lt;444,ABS(IFERROR(VALUE(LEFT(M414,FIND("-",M414)-1)),M414))*100&lt;44400)),"Проверьте цену товара. Большинство товаров в выбранной категории стоят дороже 444","")))))),"")</f>
      </c>
    </row>
    <row r="415">
      <c r="A415" s="2" t="inlineStr">
        <is>
          <t/>
        </is>
      </c>
      <c r="B415" s="2" t="inlineStr">
        <is>
          <t>Швабры</t>
        </is>
      </c>
      <c r="C415" s="2">
        <v>618348444</v>
      </c>
      <c r="D415" s="2" t="inlineStr">
        <is>
          <t>512656</t>
        </is>
      </c>
      <c r="E415" s="2" t="inlineStr">
        <is>
          <t>2047308101006</t>
        </is>
      </c>
      <c r="F415" s="2">
        <v>0</v>
      </c>
      <c r="G415" s="2">
        <v>0</v>
      </c>
      <c r="H415" s="2" t="inlineStr">
        <is>
          <t/>
        </is>
      </c>
      <c r="I415" s="2" t="inlineStr">
        <is>
          <t>13130</t>
        </is>
      </c>
      <c r="J415" s="4"/>
      <c r="K415" s="2">
        <v>69</v>
      </c>
      <c r="L415" s="6"/>
      <c r="M415" s="2" t="str">
        <f>IF(J415="",ROUND(I415*(1-IF(ISBLANK(L415),K415,L415)/100),2),ROUND(J415*(1-IF(ISBLANK(L415),K415,L415)/100),2))</f>
      </c>
      <c r="N415" s="7" t="str">
        <f>IF(NOT(AND(J415="",L415="")),IF(OR(AND(L415&lt;&gt;"",NOT(ISNUMBER(L415))),IFERROR(MOD(L415,1),1)&gt;0,AND(ISNUMBER(L415),OR(L415&lt;0,L415&gt;95))),"Введите целое число от 0 до 95",IF(OR(AND(J415&lt;&gt;"",NOT(ISNUMBER(J415))),IFERROR(MOD(J415,1),1)&gt;0,AND(ISNUMBER(J415),OR(J415&lt;50,J415&gt;20000000))),"Введите целое число от 50 до 20000000",IF(NOT(ABS(IFERROR(VALUE(LEFT(M415,FIND("-",M415)-1)),M415)*100-(2500+2000000000)/2)&lt;=ABS(2500-2000000000)/2),"Цена со скидкой должна быть от 25 до 20000000",IF(AND(IFERROR(VALUE(LEFT(M415,FIND("-",M415)-1)),M415)*150&lt;=407030,IFERROR(VALUE(LEFT(M415,FIND("-",M415)-1)),M415)*200&gt;407030),"Вы уменьшили цену в несколько раз, товар попадет в карантин цен",IF(IFERROR(VALUE(LEFT(M415,FIND("-",M415)-1)),M415)*200&lt;=407030,"Не сохранили изменения, чтобы защитить от ошибки — новые цены меньше текущих более чем в 2 раза. Снижайте их постепенно",IF(AND(IFERROR(VALUE(I415),0)=0,ISNUMBER(J415),OR(J415&lt;448,ABS(IFERROR(VALUE(LEFT(M415,FIND("-",M415)-1)),M415))*100&lt;44800)),"Проверьте цену товара. Большинство товаров в выбранной категории стоят дороже 448","")))))),"")</f>
      </c>
    </row>
    <row r="416">
      <c r="A416" s="2" t="inlineStr">
        <is>
          <t/>
        </is>
      </c>
      <c r="B416" s="2" t="inlineStr">
        <is>
          <t>Ножи кухонные</t>
        </is>
      </c>
      <c r="C416" s="2">
        <v>600639363</v>
      </c>
      <c r="D416" s="2" t="inlineStr">
        <is>
          <t>282888</t>
        </is>
      </c>
      <c r="E416" s="2" t="inlineStr">
        <is>
          <t>2047129194584</t>
        </is>
      </c>
      <c r="F416" s="2">
        <v>0</v>
      </c>
      <c r="G416" s="2">
        <v>0</v>
      </c>
      <c r="H416" s="2" t="inlineStr">
        <is>
          <t/>
        </is>
      </c>
      <c r="I416" s="2" t="inlineStr">
        <is>
          <t>34325</t>
        </is>
      </c>
      <c r="J416" s="4"/>
      <c r="K416" s="2">
        <v>65</v>
      </c>
      <c r="L416" s="6"/>
      <c r="M416" s="2" t="str">
        <f>IF(J416="",ROUND(I416*(1-IF(ISBLANK(L416),K416,L416)/100),2),ROUND(J416*(1-IF(ISBLANK(L416),K416,L416)/100),2))</f>
      </c>
      <c r="N416" s="7" t="str">
        <f>IF(NOT(AND(J416="",L416="")),IF(OR(AND(L416&lt;&gt;"",NOT(ISNUMBER(L416))),IFERROR(MOD(L416,1),1)&gt;0,AND(ISNUMBER(L416),OR(L416&lt;0,L416&gt;95))),"Введите целое число от 0 до 95",IF(OR(AND(J416&lt;&gt;"",NOT(ISNUMBER(J416))),IFERROR(MOD(J416,1),1)&gt;0,AND(ISNUMBER(J416),OR(J416&lt;50,J416&gt;20000000))),"Введите целое число от 50 до 20000000",IF(NOT(ABS(IFERROR(VALUE(LEFT(M416,FIND("-",M416)-1)),M416)*100-(2500+2000000000)/2)&lt;=ABS(2500-2000000000)/2),"Цена со скидкой должна быть от 25 до 20000000",IF(AND(IFERROR(VALUE(LEFT(M416,FIND("-",M416)-1)),M416)*150&lt;=1201375,IFERROR(VALUE(LEFT(M416,FIND("-",M416)-1)),M416)*200&gt;1201375),"Вы уменьшили цену в несколько раз, товар попадет в карантин цен",IF(IFERROR(VALUE(LEFT(M416,FIND("-",M416)-1)),M416)*200&lt;=1201375,"Не сохранили изменения, чтобы защитить от ошибки — новые цены меньше текущих более чем в 2 раза. Снижайте их постепенно",IF(AND(IFERROR(VALUE(I416),0)=0,ISNUMBER(J416),OR(J416&lt;318,ABS(IFERROR(VALUE(LEFT(M416,FIND("-",M416)-1)),M416))*100&lt;31800)),"Проверьте цену товара. Большинство товаров в выбранной категории стоят дороже 318","")))))),"")</f>
      </c>
    </row>
    <row r="417">
      <c r="A417" s="2" t="inlineStr">
        <is>
          <t/>
        </is>
      </c>
      <c r="B417" s="2" t="inlineStr">
        <is>
          <t>Кружки</t>
        </is>
      </c>
      <c r="C417" s="2">
        <v>766408966</v>
      </c>
      <c r="D417" s="2" t="inlineStr">
        <is>
          <t>075697</t>
        </is>
      </c>
      <c r="E417" s="2" t="inlineStr">
        <is>
          <t>2048433547844</t>
        </is>
      </c>
      <c r="F417" s="2" t="inlineStr">
        <is>
          <t/>
        </is>
      </c>
      <c r="G417" s="2" t="inlineStr">
        <is>
          <t/>
        </is>
      </c>
      <c r="H417" s="2" t="inlineStr">
        <is>
          <t/>
        </is>
      </c>
      <c r="I417" s="2" t="inlineStr">
        <is>
          <t>0</t>
        </is>
      </c>
      <c r="J417" s="4"/>
      <c r="K417" s="2">
        <v>0</v>
      </c>
      <c r="L417" s="6"/>
      <c r="M417" s="2" t="str">
        <f>IF(J417="",ROUND(I417*(1-IF(ISBLANK(L417),K417,L417)/100),2),ROUND(J417*(1-IF(ISBLANK(L417),K417,L417)/100),2))</f>
      </c>
      <c r="N417" s="7" t="str">
        <f>IF(NOT(AND(J417="",L417="")),IF(OR(AND(L417&lt;&gt;"",NOT(ISNUMBER(L417))),IFERROR(MOD(L417,1),1)&gt;0,AND(ISNUMBER(L417),OR(L417&lt;0,L417&gt;95))),"Введите целое число от 0 до 95",IF(OR(AND(J417&lt;&gt;"",NOT(ISNUMBER(J417))),IFERROR(MOD(J417,1),1)&gt;0,AND(ISNUMBER(J417),OR(J417&lt;50,J417&gt;20000000))),"Введите целое число от 50 до 20000000",IF(NOT(ABS(IFERROR(VALUE(LEFT(M417,FIND("-",M417)-1)),M417)*100-(2500+2000000000)/2)&lt;=ABS(2500-2000000000)/2),"Цена со скидкой должна быть от 25 до 20000000",IF(AND(IFERROR(VALUE(LEFT(M417,FIND("-",M417)-1)),M417)*150&lt;=0,IFERROR(VALUE(LEFT(M417,FIND("-",M417)-1)),M417)*200&gt;0),"Вы уменьшили цену в несколько раз, товар попадет в карантин цен",IF(IFERROR(VALUE(LEFT(M417,FIND("-",M417)-1)),M417)*200&lt;=0,"Не сохранили изменения, чтобы защитить от ошибки — новые цены меньше текущих более чем в 2 раза. Снижайте их постепенно",IF(AND(IFERROR(VALUE(I417),0)=0,ISNUMBER(J417),OR(J417&lt;444,ABS(IFERROR(VALUE(LEFT(M417,FIND("-",M417)-1)),M417))*100&lt;44400)),"Проверьте цену товара. Большинство товаров в выбранной категории стоят дороже 444","")))))),"")</f>
      </c>
    </row>
    <row r="418">
      <c r="A418" s="2" t="inlineStr">
        <is>
          <t/>
        </is>
      </c>
      <c r="B418" s="2" t="inlineStr">
        <is>
          <t>Вентиляторы</t>
        </is>
      </c>
      <c r="C418" s="2">
        <v>431800191</v>
      </c>
      <c r="D418" s="2" t="inlineStr">
        <is>
          <t>192575</t>
        </is>
      </c>
      <c r="E418" s="2" t="inlineStr">
        <is>
          <t>2044249312034</t>
        </is>
      </c>
      <c r="F418" s="2">
        <v>2</v>
      </c>
      <c r="G418" s="2">
        <v>54</v>
      </c>
      <c r="H418" s="2">
        <v>999</v>
      </c>
      <c r="I418" s="2" t="inlineStr">
        <is>
          <t>5161</t>
        </is>
      </c>
      <c r="J418" s="4"/>
      <c r="K418" s="2">
        <v>83</v>
      </c>
      <c r="L418" s="6"/>
      <c r="M418" s="2" t="str">
        <f>IF(J418="",ROUND(I418*(1-IF(ISBLANK(L418),K418,L418)/100),2),ROUND(J418*(1-IF(ISBLANK(L418),K418,L418)/100),2))</f>
      </c>
      <c r="N418" s="7" t="str">
        <f>IF(NOT(AND(J418="",L418="")),IF(OR(AND(L418&lt;&gt;"",NOT(ISNUMBER(L418))),IFERROR(MOD(L418,1),1)&gt;0,AND(ISNUMBER(L418),OR(L418&lt;0,L418&gt;95))),"Введите целое число от 0 до 95",IF(OR(AND(J418&lt;&gt;"",NOT(ISNUMBER(J418))),IFERROR(MOD(J418,1),1)&gt;0,AND(ISNUMBER(J418),OR(J418&lt;50,J418&gt;20000000))),"Введите целое число от 50 до 20000000",IF(NOT(ABS(IFERROR(VALUE(LEFT(M418,FIND("-",M418)-1)),M418)*100-(2500+2000000000)/2)&lt;=ABS(2500-2000000000)/2),"Цена со скидкой должна быть от 25 до 20000000",IF(AND(IFERROR(VALUE(LEFT(M418,FIND("-",M418)-1)),M418)*150&lt;=87737,IFERROR(VALUE(LEFT(M418,FIND("-",M418)-1)),M418)*200&gt;87737),"Вы уменьшили цену в несколько раз, товар попадет в карантин цен",IF(IFERROR(VALUE(LEFT(M418,FIND("-",M418)-1)),M418)*200&lt;=87737,"Не сохранили изменения, чтобы защитить от ошибки — новые цены меньше текущих более чем в 2 раза. Снижайте их постепенно",IF(AND(IFERROR(VALUE(I418),0)=0,ISNUMBER(J418),OR(J418&lt;261,ABS(IFERROR(VALUE(LEFT(M418,FIND("-",M418)-1)),M418))*100&lt;26100)),"Проверьте цену товара. Большинство товаров в выбранной категории стоят дороже 261","")))))),"")</f>
      </c>
    </row>
    <row r="419">
      <c r="A419" s="2" t="inlineStr">
        <is>
          <t/>
        </is>
      </c>
      <c r="B419" s="2" t="inlineStr">
        <is>
          <t>Весы</t>
        </is>
      </c>
      <c r="C419" s="2">
        <v>600650222</v>
      </c>
      <c r="D419" s="2" t="inlineStr">
        <is>
          <t>192569</t>
        </is>
      </c>
      <c r="E419" s="2" t="inlineStr">
        <is>
          <t>2047106057819</t>
        </is>
      </c>
      <c r="F419" s="2">
        <v>0</v>
      </c>
      <c r="G419" s="2">
        <v>0</v>
      </c>
      <c r="H419" s="2" t="inlineStr">
        <is>
          <t/>
        </is>
      </c>
      <c r="I419" s="2" t="inlineStr">
        <is>
          <t>15052</t>
        </is>
      </c>
      <c r="J419" s="4"/>
      <c r="K419" s="2">
        <v>69</v>
      </c>
      <c r="L419" s="6"/>
      <c r="M419" s="2" t="str">
        <f>IF(J419="",ROUND(I419*(1-IF(ISBLANK(L419),K419,L419)/100),2),ROUND(J419*(1-IF(ISBLANK(L419),K419,L419)/100),2))</f>
      </c>
      <c r="N419" s="7" t="str">
        <f>IF(NOT(AND(J419="",L419="")),IF(OR(AND(L419&lt;&gt;"",NOT(ISNUMBER(L419))),IFERROR(MOD(L419,1),1)&gt;0,AND(ISNUMBER(L419),OR(L419&lt;0,L419&gt;95))),"Введите целое число от 0 до 95",IF(OR(AND(J419&lt;&gt;"",NOT(ISNUMBER(J419))),IFERROR(MOD(J419,1),1)&gt;0,AND(ISNUMBER(J419),OR(J419&lt;50,J419&gt;20000000))),"Введите целое число от 50 до 20000000",IF(NOT(ABS(IFERROR(VALUE(LEFT(M419,FIND("-",M419)-1)),M419)*100-(2500+2000000000)/2)&lt;=ABS(2500-2000000000)/2),"Цена со скидкой должна быть от 25 до 20000000",IF(AND(IFERROR(VALUE(LEFT(M419,FIND("-",M419)-1)),M419)*150&lt;=466612,IFERROR(VALUE(LEFT(M419,FIND("-",M419)-1)),M419)*200&gt;466612),"Вы уменьшили цену в несколько раз, товар попадет в карантин цен",IF(IFERROR(VALUE(LEFT(M419,FIND("-",M419)-1)),M419)*200&lt;=466612,"Не сохранили изменения, чтобы защитить от ошибки — новые цены меньше текущих более чем в 2 раза. Снижайте их постепенно",IF(AND(IFERROR(VALUE(I419),0)=0,ISNUMBER(J419),OR(J419&lt;354,ABS(IFERROR(VALUE(LEFT(M419,FIND("-",M419)-1)),M419))*100&lt;35400)),"Проверьте цену товара. Большинство товаров в выбранной категории стоят дороже 354","")))))),"")</f>
      </c>
    </row>
    <row r="420">
      <c r="A420" s="2" t="inlineStr">
        <is>
          <t/>
        </is>
      </c>
      <c r="B420" s="2" t="inlineStr">
        <is>
          <t>Щипцы для укладки</t>
        </is>
      </c>
      <c r="C420" s="2">
        <v>600650231</v>
      </c>
      <c r="D420" s="2" t="inlineStr">
        <is>
          <t>192247</t>
        </is>
      </c>
      <c r="E420" s="2" t="inlineStr">
        <is>
          <t>2047106057871</t>
        </is>
      </c>
      <c r="F420" s="2">
        <v>0</v>
      </c>
      <c r="G420" s="2">
        <v>0</v>
      </c>
      <c r="H420" s="2">
        <v>35</v>
      </c>
      <c r="I420" s="2" t="inlineStr">
        <is>
          <t>9296</t>
        </is>
      </c>
      <c r="J420" s="4"/>
      <c r="K420" s="2">
        <v>79</v>
      </c>
      <c r="L420" s="6"/>
      <c r="M420" s="2" t="str">
        <f>IF(J420="",ROUND(I420*(1-IF(ISBLANK(L420),K420,L420)/100),2),ROUND(J420*(1-IF(ISBLANK(L420),K420,L420)/100),2))</f>
      </c>
      <c r="N420" s="7" t="str">
        <f>IF(NOT(AND(J420="",L420="")),IF(OR(AND(L420&lt;&gt;"",NOT(ISNUMBER(L420))),IFERROR(MOD(L420,1),1)&gt;0,AND(ISNUMBER(L420),OR(L420&lt;0,L420&gt;95))),"Введите целое число от 0 до 95",IF(OR(AND(J420&lt;&gt;"",NOT(ISNUMBER(J420))),IFERROR(MOD(J420,1),1)&gt;0,AND(ISNUMBER(J420),OR(J420&lt;50,J420&gt;20000000))),"Введите целое число от 50 до 20000000",IF(NOT(ABS(IFERROR(VALUE(LEFT(M420,FIND("-",M420)-1)),M420)*100-(2500+2000000000)/2)&lt;=ABS(2500-2000000000)/2),"Цена со скидкой должна быть от 25 до 20000000",IF(AND(IFERROR(VALUE(LEFT(M420,FIND("-",M420)-1)),M420)*150&lt;=195215,IFERROR(VALUE(LEFT(M420,FIND("-",M420)-1)),M420)*200&gt;195215),"Вы уменьшили цену в несколько раз, товар попадет в карантин цен",IF(IFERROR(VALUE(LEFT(M420,FIND("-",M420)-1)),M420)*200&lt;=195215,"Не сохранили изменения, чтобы защитить от ошибки — новые цены меньше текущих более чем в 2 раза. Снижайте их постепенно",IF(AND(IFERROR(VALUE(I420),0)=0,ISNUMBER(J420),OR(J420&lt;602,ABS(IFERROR(VALUE(LEFT(M420,FIND("-",M420)-1)),M420))*100&lt;60200)),"Проверьте цену товара. Большинство товаров в выбранной категории стоят дороже 602","")))))),"")</f>
      </c>
    </row>
    <row r="421">
      <c r="A421" s="2" t="inlineStr">
        <is>
          <t/>
        </is>
      </c>
      <c r="B421" s="2" t="inlineStr">
        <is>
          <t>Швабры</t>
        </is>
      </c>
      <c r="C421" s="2">
        <v>618348456</v>
      </c>
      <c r="D421" s="2" t="inlineStr">
        <is>
          <t>514146</t>
        </is>
      </c>
      <c r="E421" s="2" t="inlineStr">
        <is>
          <t>2047308101433</t>
        </is>
      </c>
      <c r="F421" s="2">
        <v>0</v>
      </c>
      <c r="G421" s="2">
        <v>0</v>
      </c>
      <c r="H421" s="2" t="inlineStr">
        <is>
          <t/>
        </is>
      </c>
      <c r="I421" s="2" t="inlineStr">
        <is>
          <t>17331</t>
        </is>
      </c>
      <c r="J421" s="4"/>
      <c r="K421" s="2">
        <v>65</v>
      </c>
      <c r="L421" s="6"/>
      <c r="M421" s="2" t="str">
        <f>IF(J421="",ROUND(I421*(1-IF(ISBLANK(L421),K421,L421)/100),2),ROUND(J421*(1-IF(ISBLANK(L421),K421,L421)/100),2))</f>
      </c>
      <c r="N421" s="7" t="str">
        <f>IF(NOT(AND(J421="",L421="")),IF(OR(AND(L421&lt;&gt;"",NOT(ISNUMBER(L421))),IFERROR(MOD(L421,1),1)&gt;0,AND(ISNUMBER(L421),OR(L421&lt;0,L421&gt;95))),"Введите целое число от 0 до 95",IF(OR(AND(J421&lt;&gt;"",NOT(ISNUMBER(J421))),IFERROR(MOD(J421,1),1)&gt;0,AND(ISNUMBER(J421),OR(J421&lt;50,J421&gt;20000000))),"Введите целое число от 50 до 20000000",IF(NOT(ABS(IFERROR(VALUE(LEFT(M421,FIND("-",M421)-1)),M421)*100-(2500+2000000000)/2)&lt;=ABS(2500-2000000000)/2),"Цена со скидкой должна быть от 25 до 20000000",IF(AND(IFERROR(VALUE(LEFT(M421,FIND("-",M421)-1)),M421)*150&lt;=606585,IFERROR(VALUE(LEFT(M421,FIND("-",M421)-1)),M421)*200&gt;606585),"Вы уменьшили цену в несколько раз, товар попадет в карантин цен",IF(IFERROR(VALUE(LEFT(M421,FIND("-",M421)-1)),M421)*200&lt;=606585,"Не сохранили изменения, чтобы защитить от ошибки — новые цены меньше текущих более чем в 2 раза. Снижайте их постепенно",IF(AND(IFERROR(VALUE(I421),0)=0,ISNUMBER(J421),OR(J421&lt;448,ABS(IFERROR(VALUE(LEFT(M421,FIND("-",M421)-1)),M421))*100&lt;44800)),"Проверьте цену товара. Большинство товаров в выбранной категории стоят дороже 448","")))))),"")</f>
      </c>
    </row>
    <row r="422">
      <c r="A422" s="2" t="inlineStr">
        <is>
          <t/>
        </is>
      </c>
      <c r="B422" s="2" t="inlineStr">
        <is>
          <t>Швабры</t>
        </is>
      </c>
      <c r="C422" s="2">
        <v>618348446</v>
      </c>
      <c r="D422" s="2" t="inlineStr">
        <is>
          <t>514206</t>
        </is>
      </c>
      <c r="E422" s="2" t="inlineStr">
        <is>
          <t>2047308101174</t>
        </is>
      </c>
      <c r="F422" s="2">
        <v>0</v>
      </c>
      <c r="G422" s="2">
        <v>1</v>
      </c>
      <c r="H422" s="2" t="inlineStr">
        <is>
          <t/>
        </is>
      </c>
      <c r="I422" s="2" t="inlineStr">
        <is>
          <t>34448</t>
        </is>
      </c>
      <c r="J422" s="4"/>
      <c r="K422" s="2">
        <v>80</v>
      </c>
      <c r="L422" s="6"/>
      <c r="M422" s="2" t="str">
        <f>IF(J422="",ROUND(I422*(1-IF(ISBLANK(L422),K422,L422)/100),2),ROUND(J422*(1-IF(ISBLANK(L422),K422,L422)/100),2))</f>
      </c>
      <c r="N422" s="7" t="str">
        <f>IF(NOT(AND(J422="",L422="")),IF(OR(AND(L422&lt;&gt;"",NOT(ISNUMBER(L422))),IFERROR(MOD(L422,1),1)&gt;0,AND(ISNUMBER(L422),OR(L422&lt;0,L422&gt;95))),"Введите целое число от 0 до 95",IF(OR(AND(J422&lt;&gt;"",NOT(ISNUMBER(J422))),IFERROR(MOD(J422,1),1)&gt;0,AND(ISNUMBER(J422),OR(J422&lt;50,J422&gt;20000000))),"Введите целое число от 50 до 20000000",IF(NOT(ABS(IFERROR(VALUE(LEFT(M422,FIND("-",M422)-1)),M422)*100-(2500+2000000000)/2)&lt;=ABS(2500-2000000000)/2),"Цена со скидкой должна быть от 25 до 20000000",IF(AND(IFERROR(VALUE(LEFT(M422,FIND("-",M422)-1)),M422)*150&lt;=688959,IFERROR(VALUE(LEFT(M422,FIND("-",M422)-1)),M422)*200&gt;688959),"Вы уменьшили цену в несколько раз, товар попадет в карантин цен",IF(IFERROR(VALUE(LEFT(M422,FIND("-",M422)-1)),M422)*200&lt;=688959,"Не сохранили изменения, чтобы защитить от ошибки — новые цены меньше текущих более чем в 2 раза. Снижайте их постепенно",IF(AND(IFERROR(VALUE(I422),0)=0,ISNUMBER(J422),OR(J422&lt;448,ABS(IFERROR(VALUE(LEFT(M422,FIND("-",M422)-1)),M422))*100&lt;44800)),"Проверьте цену товара. Большинство товаров в выбранной категории стоят дороже 448","")))))),"")</f>
      </c>
    </row>
    <row r="423">
      <c r="A423" s="2" t="inlineStr">
        <is>
          <t/>
        </is>
      </c>
      <c r="B423" s="2" t="inlineStr">
        <is>
          <t>Гирлянды интерьерные</t>
        </is>
      </c>
      <c r="C423" s="2">
        <v>616141947</v>
      </c>
      <c r="D423" s="2" t="inlineStr">
        <is>
          <t>992776</t>
        </is>
      </c>
      <c r="E423" s="2" t="inlineStr">
        <is>
          <t>2047285724618</t>
        </is>
      </c>
      <c r="F423" s="2">
        <v>0</v>
      </c>
      <c r="G423" s="2">
        <v>0</v>
      </c>
      <c r="H423" s="2" t="inlineStr">
        <is>
          <t/>
        </is>
      </c>
      <c r="I423" s="2" t="inlineStr">
        <is>
          <t>3175</t>
        </is>
      </c>
      <c r="J423" s="4"/>
      <c r="K423" s="2">
        <v>65</v>
      </c>
      <c r="L423" s="6"/>
      <c r="M423" s="2" t="str">
        <f>IF(J423="",ROUND(I423*(1-IF(ISBLANK(L423),K423,L423)/100),2),ROUND(J423*(1-IF(ISBLANK(L423),K423,L423)/100),2))</f>
      </c>
      <c r="N423" s="7" t="str">
        <f>IF(NOT(AND(J423="",L423="")),IF(OR(AND(L423&lt;&gt;"",NOT(ISNUMBER(L423))),IFERROR(MOD(L423,1),1)&gt;0,AND(ISNUMBER(L423),OR(L423&lt;0,L423&gt;95))),"Введите целое число от 0 до 95",IF(OR(AND(J423&lt;&gt;"",NOT(ISNUMBER(J423))),IFERROR(MOD(J423,1),1)&gt;0,AND(ISNUMBER(J423),OR(J423&lt;50,J423&gt;20000000))),"Введите целое число от 50 до 20000000",IF(NOT(ABS(IFERROR(VALUE(LEFT(M423,FIND("-",M423)-1)),M423)*100-(2500+2000000000)/2)&lt;=ABS(2500-2000000000)/2),"Цена со скидкой должна быть от 25 до 20000000",IF(AND(IFERROR(VALUE(LEFT(M423,FIND("-",M423)-1)),M423)*150&lt;=111125,IFERROR(VALUE(LEFT(M423,FIND("-",M423)-1)),M423)*200&gt;111125),"Вы уменьшили цену в несколько раз, товар попадет в карантин цен",IF(IFERROR(VALUE(LEFT(M423,FIND("-",M423)-1)),M423)*200&lt;=111125,"Не сохранили изменения, чтобы защитить от ошибки — новые цены меньше текущих более чем в 2 раза. Снижайте их постепенно",IF(AND(IFERROR(VALUE(I423),0)=0,ISNUMBER(J423),OR(J423&lt;261,ABS(IFERROR(VALUE(LEFT(M423,FIND("-",M423)-1)),M423))*100&lt;26100)),"Проверьте цену товара. Большинство товаров в выбранной категории стоят дороже 261","")))))),"")</f>
      </c>
    </row>
    <row r="424">
      <c r="A424" s="2" t="inlineStr">
        <is>
          <t>Pasabahce</t>
        </is>
      </c>
      <c r="B424" s="2" t="inlineStr">
        <is>
          <t>Вазы</t>
        </is>
      </c>
      <c r="C424" s="2">
        <v>251248718</v>
      </c>
      <c r="D424" s="2" t="inlineStr">
        <is>
          <t>120765</t>
        </is>
      </c>
      <c r="E424" s="2" t="inlineStr">
        <is>
          <t>2040892640944</t>
        </is>
      </c>
      <c r="F424" s="2">
        <v>12</v>
      </c>
      <c r="G424" s="2">
        <v>0</v>
      </c>
      <c r="H424" s="2">
        <v>187</v>
      </c>
      <c r="I424" s="2" t="inlineStr">
        <is>
          <t>3200</t>
        </is>
      </c>
      <c r="J424" s="4"/>
      <c r="K424" s="2">
        <v>80</v>
      </c>
      <c r="L424" s="6"/>
      <c r="M424" s="2" t="str">
        <f>IF(J424="",ROUND(I424*(1-IF(ISBLANK(L424),K424,L424)/100),2),ROUND(J424*(1-IF(ISBLANK(L424),K424,L424)/100),2))</f>
      </c>
      <c r="N424" s="7" t="str">
        <f>IF(NOT(AND(J424="",L424="")),IF(OR(AND(L424&lt;&gt;"",NOT(ISNUMBER(L424))),IFERROR(MOD(L424,1),1)&gt;0,AND(ISNUMBER(L424),OR(L424&lt;0,L424&gt;95))),"Введите целое число от 0 до 95",IF(OR(AND(J424&lt;&gt;"",NOT(ISNUMBER(J424))),IFERROR(MOD(J424,1),1)&gt;0,AND(ISNUMBER(J424),OR(J424&lt;50,J424&gt;20000000))),"Введите целое число от 50 до 20000000",IF(NOT(ABS(IFERROR(VALUE(LEFT(M424,FIND("-",M424)-1)),M424)*100-(2500+2000000000)/2)&lt;=ABS(2500-2000000000)/2),"Цена со скидкой должна быть от 25 до 20000000",IF(AND(IFERROR(VALUE(LEFT(M424,FIND("-",M424)-1)),M424)*150&lt;=63999,IFERROR(VALUE(LEFT(M424,FIND("-",M424)-1)),M424)*200&gt;63999),"Вы уменьшили цену в несколько раз, товар попадет в карантин цен",IF(IFERROR(VALUE(LEFT(M424,FIND("-",M424)-1)),M424)*200&lt;=63999,"Не сохранили изменения, чтобы защитить от ошибки — новые цены меньше текущих более чем в 2 раза. Снижайте их постепенно",IF(AND(IFERROR(VALUE(I424),0)=0,ISNUMBER(J424),OR(J424&lt;296,ABS(IFERROR(VALUE(LEFT(M424,FIND("-",M424)-1)),M424))*100&lt;29600)),"Проверьте цену товара. Большинство товаров в выбранной категории стоят дороже 296","")))))),"")</f>
      </c>
    </row>
    <row r="425">
      <c r="A425" s="2" t="inlineStr">
        <is>
          <t/>
        </is>
      </c>
      <c r="B425" s="2" t="inlineStr">
        <is>
          <t>Весы</t>
        </is>
      </c>
      <c r="C425" s="2">
        <v>600650220</v>
      </c>
      <c r="D425" s="2" t="inlineStr">
        <is>
          <t>192493</t>
        </is>
      </c>
      <c r="E425" s="2" t="inlineStr">
        <is>
          <t>2047106057796</t>
        </is>
      </c>
      <c r="F425" s="2">
        <v>0</v>
      </c>
      <c r="G425" s="2">
        <v>20</v>
      </c>
      <c r="H425" s="2" t="inlineStr">
        <is>
          <t/>
        </is>
      </c>
      <c r="I425" s="2" t="inlineStr">
        <is>
          <t>6308</t>
        </is>
      </c>
      <c r="J425" s="4"/>
      <c r="K425" s="2">
        <v>80</v>
      </c>
      <c r="L425" s="6"/>
      <c r="M425" s="2" t="str">
        <f>IF(J425="",ROUND(I425*(1-IF(ISBLANK(L425),K425,L425)/100),2),ROUND(J425*(1-IF(ISBLANK(L425),K425,L425)/100),2))</f>
      </c>
      <c r="N425" s="7" t="str">
        <f>IF(NOT(AND(J425="",L425="")),IF(OR(AND(L425&lt;&gt;"",NOT(ISNUMBER(L425))),IFERROR(MOD(L425,1),1)&gt;0,AND(ISNUMBER(L425),OR(L425&lt;0,L425&gt;95))),"Введите целое число от 0 до 95",IF(OR(AND(J425&lt;&gt;"",NOT(ISNUMBER(J425))),IFERROR(MOD(J425,1),1)&gt;0,AND(ISNUMBER(J425),OR(J425&lt;50,J425&gt;20000000))),"Введите целое число от 50 до 20000000",IF(NOT(ABS(IFERROR(VALUE(LEFT(M425,FIND("-",M425)-1)),M425)*100-(2500+2000000000)/2)&lt;=ABS(2500-2000000000)/2),"Цена со скидкой должна быть от 25 до 20000000",IF(AND(IFERROR(VALUE(LEFT(M425,FIND("-",M425)-1)),M425)*150&lt;=126159,IFERROR(VALUE(LEFT(M425,FIND("-",M425)-1)),M425)*200&gt;126159),"Вы уменьшили цену в несколько раз, товар попадет в карантин цен",IF(IFERROR(VALUE(LEFT(M425,FIND("-",M425)-1)),M425)*200&lt;=126159,"Не сохранили изменения, чтобы защитить от ошибки — новые цены меньше текущих более чем в 2 раза. Снижайте их постепенно",IF(AND(IFERROR(VALUE(I425),0)=0,ISNUMBER(J425),OR(J425&lt;354,ABS(IFERROR(VALUE(LEFT(M425,FIND("-",M425)-1)),M425))*100&lt;35400)),"Проверьте цену товара. Большинство товаров в выбранной категории стоят дороже 354","")))))),"")</f>
      </c>
    </row>
    <row r="426">
      <c r="A426" s="2" t="inlineStr">
        <is>
          <t/>
        </is>
      </c>
      <c r="B426" s="2" t="inlineStr">
        <is>
          <t>Графины</t>
        </is>
      </c>
      <c r="C426" s="2">
        <v>727362672</v>
      </c>
      <c r="D426" s="2" t="inlineStr">
        <is>
          <t>100656</t>
        </is>
      </c>
      <c r="E426" s="2" t="inlineStr">
        <is>
          <t>4670260906280</t>
        </is>
      </c>
      <c r="F426" s="2">
        <v>1</v>
      </c>
      <c r="G426" s="2">
        <v>0</v>
      </c>
      <c r="H426" s="2">
        <v>999</v>
      </c>
      <c r="I426" s="2" t="inlineStr">
        <is>
          <t>15664</t>
        </is>
      </c>
      <c r="J426" s="4"/>
      <c r="K426" s="2">
        <v>80</v>
      </c>
      <c r="L426" s="6"/>
      <c r="M426" s="2" t="str">
        <f>IF(J426="",ROUND(I426*(1-IF(ISBLANK(L426),K426,L426)/100),2),ROUND(J426*(1-IF(ISBLANK(L426),K426,L426)/100),2))</f>
      </c>
      <c r="N426" s="7" t="str">
        <f>IF(NOT(AND(J426="",L426="")),IF(OR(AND(L426&lt;&gt;"",NOT(ISNUMBER(L426))),IFERROR(MOD(L426,1),1)&gt;0,AND(ISNUMBER(L426),OR(L426&lt;0,L426&gt;95))),"Введите целое число от 0 до 95",IF(OR(AND(J426&lt;&gt;"",NOT(ISNUMBER(J426))),IFERROR(MOD(J426,1),1)&gt;0,AND(ISNUMBER(J426),OR(J426&lt;50,J426&gt;20000000))),"Введите целое число от 50 до 20000000",IF(NOT(ABS(IFERROR(VALUE(LEFT(M426,FIND("-",M426)-1)),M426)*100-(2500+2000000000)/2)&lt;=ABS(2500-2000000000)/2),"Цена со скидкой должна быть от 25 до 20000000",IF(AND(IFERROR(VALUE(LEFT(M426,FIND("-",M426)-1)),M426)*150&lt;=313279,IFERROR(VALUE(LEFT(M426,FIND("-",M426)-1)),M426)*200&gt;313279),"Вы уменьшили цену в несколько раз, товар попадет в карантин цен",IF(IFERROR(VALUE(LEFT(M426,FIND("-",M426)-1)),M426)*200&lt;=313279,"Не сохранили изменения, чтобы защитить от ошибки — новые цены меньше текущих более чем в 2 раза. Снижайте их постепенно",IF(AND(IFERROR(VALUE(I426),0)=0,ISNUMBER(J426),OR(J426&lt;458,ABS(IFERROR(VALUE(LEFT(M426,FIND("-",M426)-1)),M426))*100&lt;45800)),"Проверьте цену товара. Большинство товаров в выбранной категории стоят дороже 458","")))))),"")</f>
      </c>
    </row>
    <row r="427">
      <c r="A427" s="2" t="inlineStr">
        <is>
          <t/>
        </is>
      </c>
      <c r="B427" s="2" t="inlineStr">
        <is>
          <t>Графины</t>
        </is>
      </c>
      <c r="C427" s="2">
        <v>727362675</v>
      </c>
      <c r="D427" s="2" t="inlineStr">
        <is>
          <t>130509</t>
        </is>
      </c>
      <c r="E427" s="2" t="inlineStr">
        <is>
          <t>2048062588874</t>
        </is>
      </c>
      <c r="F427" s="2">
        <v>0</v>
      </c>
      <c r="G427" s="2">
        <v>0</v>
      </c>
      <c r="H427" s="2" t="inlineStr">
        <is>
          <t/>
        </is>
      </c>
      <c r="I427" s="2" t="inlineStr">
        <is>
          <t>9816</t>
        </is>
      </c>
      <c r="J427" s="4"/>
      <c r="K427" s="2">
        <v>65</v>
      </c>
      <c r="L427" s="6"/>
      <c r="M427" s="2" t="str">
        <f>IF(J427="",ROUND(I427*(1-IF(ISBLANK(L427),K427,L427)/100),2),ROUND(J427*(1-IF(ISBLANK(L427),K427,L427)/100),2))</f>
      </c>
      <c r="N427" s="7" t="str">
        <f>IF(NOT(AND(J427="",L427="")),IF(OR(AND(L427&lt;&gt;"",NOT(ISNUMBER(L427))),IFERROR(MOD(L427,1),1)&gt;0,AND(ISNUMBER(L427),OR(L427&lt;0,L427&gt;95))),"Введите целое число от 0 до 95",IF(OR(AND(J427&lt;&gt;"",NOT(ISNUMBER(J427))),IFERROR(MOD(J427,1),1)&gt;0,AND(ISNUMBER(J427),OR(J427&lt;50,J427&gt;20000000))),"Введите целое число от 50 до 20000000",IF(NOT(ABS(IFERROR(VALUE(LEFT(M427,FIND("-",M427)-1)),M427)*100-(2500+2000000000)/2)&lt;=ABS(2500-2000000000)/2),"Цена со скидкой должна быть от 25 до 20000000",IF(AND(IFERROR(VALUE(LEFT(M427,FIND("-",M427)-1)),M427)*150&lt;=343560,IFERROR(VALUE(LEFT(M427,FIND("-",M427)-1)),M427)*200&gt;343560),"Вы уменьшили цену в несколько раз, товар попадет в карантин цен",IF(IFERROR(VALUE(LEFT(M427,FIND("-",M427)-1)),M427)*200&lt;=343560,"Не сохранили изменения, чтобы защитить от ошибки — новые цены меньше текущих более чем в 2 раза. Снижайте их постепенно",IF(AND(IFERROR(VALUE(I427),0)=0,ISNUMBER(J427),OR(J427&lt;458,ABS(IFERROR(VALUE(LEFT(M427,FIND("-",M427)-1)),M427))*100&lt;45800)),"Проверьте цену товара. Большинство товаров в выбранной категории стоят дороже 458","")))))),"")</f>
      </c>
    </row>
    <row r="428">
      <c r="A428" s="2" t="inlineStr">
        <is>
          <t/>
        </is>
      </c>
      <c r="B428" s="2" t="inlineStr">
        <is>
          <t>Швабры</t>
        </is>
      </c>
      <c r="C428" s="2">
        <v>618348460</v>
      </c>
      <c r="D428" s="2" t="inlineStr">
        <is>
          <t>513801</t>
        </is>
      </c>
      <c r="E428" s="2" t="inlineStr">
        <is>
          <t>2047308101471</t>
        </is>
      </c>
      <c r="F428" s="2">
        <v>0</v>
      </c>
      <c r="G428" s="2">
        <v>25</v>
      </c>
      <c r="H428" s="2" t="inlineStr">
        <is>
          <t/>
        </is>
      </c>
      <c r="I428" s="2" t="inlineStr">
        <is>
          <t>20520</t>
        </is>
      </c>
      <c r="J428" s="4"/>
      <c r="K428" s="2">
        <v>80</v>
      </c>
      <c r="L428" s="6"/>
      <c r="M428" s="2" t="str">
        <f>IF(J428="",ROUND(I428*(1-IF(ISBLANK(L428),K428,L428)/100),2),ROUND(J428*(1-IF(ISBLANK(L428),K428,L428)/100),2))</f>
      </c>
      <c r="N428" s="7" t="str">
        <f>IF(NOT(AND(J428="",L428="")),IF(OR(AND(L428&lt;&gt;"",NOT(ISNUMBER(L428))),IFERROR(MOD(L428,1),1)&gt;0,AND(ISNUMBER(L428),OR(L428&lt;0,L428&gt;95))),"Введите целое число от 0 до 95",IF(OR(AND(J428&lt;&gt;"",NOT(ISNUMBER(J428))),IFERROR(MOD(J428,1),1)&gt;0,AND(ISNUMBER(J428),OR(J428&lt;50,J428&gt;20000000))),"Введите целое число от 50 до 20000000",IF(NOT(ABS(IFERROR(VALUE(LEFT(M428,FIND("-",M428)-1)),M428)*100-(2500+2000000000)/2)&lt;=ABS(2500-2000000000)/2),"Цена со скидкой должна быть от 25 до 20000000",IF(AND(IFERROR(VALUE(LEFT(M428,FIND("-",M428)-1)),M428)*150&lt;=410399,IFERROR(VALUE(LEFT(M428,FIND("-",M428)-1)),M428)*200&gt;410399),"Вы уменьшили цену в несколько раз, товар попадет в карантин цен",IF(IFERROR(VALUE(LEFT(M428,FIND("-",M428)-1)),M428)*200&lt;=410399,"Не сохранили изменения, чтобы защитить от ошибки — новые цены меньше текущих более чем в 2 раза. Снижайте их постепенно",IF(AND(IFERROR(VALUE(I428),0)=0,ISNUMBER(J428),OR(J428&lt;448,ABS(IFERROR(VALUE(LEFT(M428,FIND("-",M428)-1)),M428))*100&lt;44800)),"Проверьте цену товара. Большинство товаров в выбранной категории стоят дороже 448","")))))),"")</f>
      </c>
    </row>
    <row r="429">
      <c r="A429" s="2" t="inlineStr">
        <is>
          <t/>
        </is>
      </c>
      <c r="B429" s="2" t="inlineStr">
        <is>
          <t>Швабры</t>
        </is>
      </c>
      <c r="C429" s="2">
        <v>618348468</v>
      </c>
      <c r="D429" s="2" t="inlineStr">
        <is>
          <t>512719</t>
        </is>
      </c>
      <c r="E429" s="2" t="inlineStr">
        <is>
          <t>2047308101570</t>
        </is>
      </c>
      <c r="F429" s="2">
        <v>0</v>
      </c>
      <c r="G429" s="2">
        <v>0</v>
      </c>
      <c r="H429" s="2" t="inlineStr">
        <is>
          <t/>
        </is>
      </c>
      <c r="I429" s="2" t="inlineStr">
        <is>
          <t>18058</t>
        </is>
      </c>
      <c r="J429" s="4"/>
      <c r="K429" s="2">
        <v>65</v>
      </c>
      <c r="L429" s="6"/>
      <c r="M429" s="2" t="str">
        <f>IF(J429="",ROUND(I429*(1-IF(ISBLANK(L429),K429,L429)/100),2),ROUND(J429*(1-IF(ISBLANK(L429),K429,L429)/100),2))</f>
      </c>
      <c r="N429" s="7" t="str">
        <f>IF(NOT(AND(J429="",L429="")),IF(OR(AND(L429&lt;&gt;"",NOT(ISNUMBER(L429))),IFERROR(MOD(L429,1),1)&gt;0,AND(ISNUMBER(L429),OR(L429&lt;0,L429&gt;95))),"Введите целое число от 0 до 95",IF(OR(AND(J429&lt;&gt;"",NOT(ISNUMBER(J429))),IFERROR(MOD(J429,1),1)&gt;0,AND(ISNUMBER(J429),OR(J429&lt;50,J429&gt;20000000))),"Введите целое число от 50 до 20000000",IF(NOT(ABS(IFERROR(VALUE(LEFT(M429,FIND("-",M429)-1)),M429)*100-(2500+2000000000)/2)&lt;=ABS(2500-2000000000)/2),"Цена со скидкой должна быть от 25 до 20000000",IF(AND(IFERROR(VALUE(LEFT(M429,FIND("-",M429)-1)),M429)*150&lt;=632029,IFERROR(VALUE(LEFT(M429,FIND("-",M429)-1)),M429)*200&gt;632029),"Вы уменьшили цену в несколько раз, товар попадет в карантин цен",IF(IFERROR(VALUE(LEFT(M429,FIND("-",M429)-1)),M429)*200&lt;=632029,"Не сохранили изменения, чтобы защитить от ошибки — новые цены меньше текущих более чем в 2 раза. Снижайте их постепенно",IF(AND(IFERROR(VALUE(I429),0)=0,ISNUMBER(J429),OR(J429&lt;448,ABS(IFERROR(VALUE(LEFT(M429,FIND("-",M429)-1)),M429))*100&lt;44800)),"Проверьте цену товара. Большинство товаров в выбранной категории стоят дороже 448","")))))),"")</f>
      </c>
    </row>
    <row r="430">
      <c r="A430" s="2" t="inlineStr">
        <is>
          <t/>
        </is>
      </c>
      <c r="B430" s="2" t="inlineStr">
        <is>
          <t>Гирлянды интерьерные</t>
        </is>
      </c>
      <c r="C430" s="2">
        <v>616141935</v>
      </c>
      <c r="D430" s="2" t="inlineStr">
        <is>
          <t>992490</t>
        </is>
      </c>
      <c r="E430" s="2" t="inlineStr">
        <is>
          <t>2047285724458</t>
        </is>
      </c>
      <c r="F430" s="2">
        <v>0</v>
      </c>
      <c r="G430" s="2">
        <v>5</v>
      </c>
      <c r="H430" s="2" t="inlineStr">
        <is>
          <t/>
        </is>
      </c>
      <c r="I430" s="2" t="inlineStr">
        <is>
          <t>3432</t>
        </is>
      </c>
      <c r="J430" s="4"/>
      <c r="K430" s="2">
        <v>80</v>
      </c>
      <c r="L430" s="6"/>
      <c r="M430" s="2" t="str">
        <f>IF(J430="",ROUND(I430*(1-IF(ISBLANK(L430),K430,L430)/100),2),ROUND(J430*(1-IF(ISBLANK(L430),K430,L430)/100),2))</f>
      </c>
      <c r="N430" s="7" t="str">
        <f>IF(NOT(AND(J430="",L430="")),IF(OR(AND(L430&lt;&gt;"",NOT(ISNUMBER(L430))),IFERROR(MOD(L430,1),1)&gt;0,AND(ISNUMBER(L430),OR(L430&lt;0,L430&gt;95))),"Введите целое число от 0 до 95",IF(OR(AND(J430&lt;&gt;"",NOT(ISNUMBER(J430))),IFERROR(MOD(J430,1),1)&gt;0,AND(ISNUMBER(J430),OR(J430&lt;50,J430&gt;20000000))),"Введите целое число от 50 до 20000000",IF(NOT(ABS(IFERROR(VALUE(LEFT(M430,FIND("-",M430)-1)),M430)*100-(2500+2000000000)/2)&lt;=ABS(2500-2000000000)/2),"Цена со скидкой должна быть от 25 до 20000000",IF(AND(IFERROR(VALUE(LEFT(M430,FIND("-",M430)-1)),M430)*150&lt;=68639,IFERROR(VALUE(LEFT(M430,FIND("-",M430)-1)),M430)*200&gt;68639),"Вы уменьшили цену в несколько раз, товар попадет в карантин цен",IF(IFERROR(VALUE(LEFT(M430,FIND("-",M430)-1)),M430)*200&lt;=68639,"Не сохранили изменения, чтобы защитить от ошибки — новые цены меньше текущих более чем в 2 раза. Снижайте их постепенно",IF(AND(IFERROR(VALUE(I430),0)=0,ISNUMBER(J430),OR(J430&lt;261,ABS(IFERROR(VALUE(LEFT(M430,FIND("-",M430)-1)),M430))*100&lt;26100)),"Проверьте цену товара. Большинство товаров в выбранной категории стоят дороже 261","")))))),"")</f>
      </c>
    </row>
    <row r="431">
      <c r="A431" s="2" t="inlineStr">
        <is>
          <t/>
        </is>
      </c>
      <c r="B431" s="2" t="inlineStr">
        <is>
          <t>Дождевики</t>
        </is>
      </c>
      <c r="C431" s="2">
        <v>600651717</v>
      </c>
      <c r="D431" s="2" t="inlineStr">
        <is>
          <t>523091</t>
        </is>
      </c>
      <c r="E431" s="2" t="inlineStr">
        <is>
          <t>2047129380994</t>
        </is>
      </c>
      <c r="F431" s="2">
        <v>0</v>
      </c>
      <c r="G431" s="2">
        <v>31</v>
      </c>
      <c r="H431" s="2" t="inlineStr">
        <is>
          <t/>
        </is>
      </c>
      <c r="I431" s="2" t="inlineStr">
        <is>
          <t>3092</t>
        </is>
      </c>
      <c r="J431" s="4"/>
      <c r="K431" s="2">
        <v>78</v>
      </c>
      <c r="L431" s="6"/>
      <c r="M431" s="2" t="str">
        <f>IF(J431="",ROUND(I431*(1-IF(ISBLANK(L431),K431,L431)/100),2),ROUND(J431*(1-IF(ISBLANK(L431),K431,L431)/100),2))</f>
      </c>
      <c r="N431" s="7" t="str">
        <f>IF(NOT(AND(J431="",L431="")),IF(OR(AND(L431&lt;&gt;"",NOT(ISNUMBER(L431))),IFERROR(MOD(L431,1),1)&gt;0,AND(ISNUMBER(L431),OR(L431&lt;0,L431&gt;95))),"Введите целое число от 0 до 95",IF(OR(AND(J431&lt;&gt;"",NOT(ISNUMBER(J431))),IFERROR(MOD(J431,1),1)&gt;0,AND(ISNUMBER(J431),OR(J431&lt;50,J431&gt;20000000))),"Введите целое число от 50 до 20000000",IF(NOT(ABS(IFERROR(VALUE(LEFT(M431,FIND("-",M431)-1)),M431)*100-(2500+2000000000)/2)&lt;=ABS(2500-2000000000)/2),"Цена со скидкой должна быть от 25 до 20000000",IF(AND(IFERROR(VALUE(LEFT(M431,FIND("-",M431)-1)),M431)*150&lt;=68023,IFERROR(VALUE(LEFT(M431,FIND("-",M431)-1)),M431)*200&gt;68023),"Вы уменьшили цену в несколько раз, товар попадет в карантин цен",IF(IFERROR(VALUE(LEFT(M431,FIND("-",M431)-1)),M431)*200&lt;=68023,"Не сохранили изменения, чтобы защитить от ошибки — новые цены меньше текущих более чем в 2 раза. Снижайте их постепенно",IF(AND(IFERROR(VALUE(I431),0)=0,ISNUMBER(J431),OR(J431&lt;348,ABS(IFERROR(VALUE(LEFT(M431,FIND("-",M431)-1)),M431))*100&lt;34800)),"Проверьте цену товара. Большинство товаров в выбранной категории стоят дороже 348","")))))),"")</f>
      </c>
    </row>
    <row r="432">
      <c r="A432" s="2" t="inlineStr">
        <is>
          <t/>
        </is>
      </c>
      <c r="B432" s="2" t="inlineStr">
        <is>
          <t>Гирлянды интерьерные</t>
        </is>
      </c>
      <c r="C432" s="2">
        <v>616141925</v>
      </c>
      <c r="D432" s="2" t="inlineStr">
        <is>
          <t>992510</t>
        </is>
      </c>
      <c r="E432" s="2" t="inlineStr">
        <is>
          <t>2047285724328</t>
        </is>
      </c>
      <c r="F432" s="2">
        <v>0</v>
      </c>
      <c r="G432" s="2">
        <v>16</v>
      </c>
      <c r="H432" s="2" t="inlineStr">
        <is>
          <t/>
        </is>
      </c>
      <c r="I432" s="2" t="inlineStr">
        <is>
          <t>3600</t>
        </is>
      </c>
      <c r="J432" s="4"/>
      <c r="K432" s="2">
        <v>80</v>
      </c>
      <c r="L432" s="6"/>
      <c r="M432" s="2" t="str">
        <f>IF(J432="",ROUND(I432*(1-IF(ISBLANK(L432),K432,L432)/100),2),ROUND(J432*(1-IF(ISBLANK(L432),K432,L432)/100),2))</f>
      </c>
      <c r="N432" s="7" t="str">
        <f>IF(NOT(AND(J432="",L432="")),IF(OR(AND(L432&lt;&gt;"",NOT(ISNUMBER(L432))),IFERROR(MOD(L432,1),1)&gt;0,AND(ISNUMBER(L432),OR(L432&lt;0,L432&gt;95))),"Введите целое число от 0 до 95",IF(OR(AND(J432&lt;&gt;"",NOT(ISNUMBER(J432))),IFERROR(MOD(J432,1),1)&gt;0,AND(ISNUMBER(J432),OR(J432&lt;50,J432&gt;20000000))),"Введите целое число от 50 до 20000000",IF(NOT(ABS(IFERROR(VALUE(LEFT(M432,FIND("-",M432)-1)),M432)*100-(2500+2000000000)/2)&lt;=ABS(2500-2000000000)/2),"Цена со скидкой должна быть от 25 до 20000000",IF(AND(IFERROR(VALUE(LEFT(M432,FIND("-",M432)-1)),M432)*150&lt;=71999,IFERROR(VALUE(LEFT(M432,FIND("-",M432)-1)),M432)*200&gt;71999),"Вы уменьшили цену в несколько раз, товар попадет в карантин цен",IF(IFERROR(VALUE(LEFT(M432,FIND("-",M432)-1)),M432)*200&lt;=71999,"Не сохранили изменения, чтобы защитить от ошибки — новые цены меньше текущих более чем в 2 раза. Снижайте их постепенно",IF(AND(IFERROR(VALUE(I432),0)=0,ISNUMBER(J432),OR(J432&lt;261,ABS(IFERROR(VALUE(LEFT(M432,FIND("-",M432)-1)),M432))*100&lt;26100)),"Проверьте цену товара. Большинство товаров в выбранной категории стоят дороже 261","")))))),"")</f>
      </c>
    </row>
    <row r="433">
      <c r="A433" s="2" t="inlineStr">
        <is>
          <t/>
        </is>
      </c>
      <c r="B433" s="2" t="inlineStr">
        <is>
          <t>Гирлянды интерьерные</t>
        </is>
      </c>
      <c r="C433" s="2">
        <v>616141926</v>
      </c>
      <c r="D433" s="2" t="inlineStr">
        <is>
          <t>992674</t>
        </is>
      </c>
      <c r="E433" s="2" t="inlineStr">
        <is>
          <t>2047285724335</t>
        </is>
      </c>
      <c r="F433" s="2">
        <v>0</v>
      </c>
      <c r="G433" s="2">
        <v>10</v>
      </c>
      <c r="H433" s="2" t="inlineStr">
        <is>
          <t/>
        </is>
      </c>
      <c r="I433" s="2" t="inlineStr">
        <is>
          <t>5360</t>
        </is>
      </c>
      <c r="J433" s="4"/>
      <c r="K433" s="2">
        <v>80</v>
      </c>
      <c r="L433" s="6"/>
      <c r="M433" s="2" t="str">
        <f>IF(J433="",ROUND(I433*(1-IF(ISBLANK(L433),K433,L433)/100),2),ROUND(J433*(1-IF(ISBLANK(L433),K433,L433)/100),2))</f>
      </c>
      <c r="N433" s="7" t="str">
        <f>IF(NOT(AND(J433="",L433="")),IF(OR(AND(L433&lt;&gt;"",NOT(ISNUMBER(L433))),IFERROR(MOD(L433,1),1)&gt;0,AND(ISNUMBER(L433),OR(L433&lt;0,L433&gt;95))),"Введите целое число от 0 до 95",IF(OR(AND(J433&lt;&gt;"",NOT(ISNUMBER(J433))),IFERROR(MOD(J433,1),1)&gt;0,AND(ISNUMBER(J433),OR(J433&lt;50,J433&gt;20000000))),"Введите целое число от 50 до 20000000",IF(NOT(ABS(IFERROR(VALUE(LEFT(M433,FIND("-",M433)-1)),M433)*100-(2500+2000000000)/2)&lt;=ABS(2500-2000000000)/2),"Цена со скидкой должна быть от 25 до 20000000",IF(AND(IFERROR(VALUE(LEFT(M433,FIND("-",M433)-1)),M433)*150&lt;=107199,IFERROR(VALUE(LEFT(M433,FIND("-",M433)-1)),M433)*200&gt;107199),"Вы уменьшили цену в несколько раз, товар попадет в карантин цен",IF(IFERROR(VALUE(LEFT(M433,FIND("-",M433)-1)),M433)*200&lt;=107199,"Не сохранили изменения, чтобы защитить от ошибки — новые цены меньше текущих более чем в 2 раза. Снижайте их постепенно",IF(AND(IFERROR(VALUE(I433),0)=0,ISNUMBER(J433),OR(J433&lt;261,ABS(IFERROR(VALUE(LEFT(M433,FIND("-",M433)-1)),M433))*100&lt;26100)),"Проверьте цену товара. Большинство товаров в выбранной категории стоят дороже 261","")))))),"")</f>
      </c>
    </row>
    <row r="434">
      <c r="A434" s="2" t="inlineStr">
        <is>
          <t/>
        </is>
      </c>
      <c r="B434" s="2" t="inlineStr">
        <is>
          <t>Елки искусственные</t>
        </is>
      </c>
      <c r="C434" s="2">
        <v>616129769</v>
      </c>
      <c r="D434" s="2" t="inlineStr">
        <is>
          <t>992557</t>
        </is>
      </c>
      <c r="E434" s="2" t="inlineStr">
        <is>
          <t>2047285466532</t>
        </is>
      </c>
      <c r="F434" s="2">
        <v>0</v>
      </c>
      <c r="G434" s="2">
        <v>2</v>
      </c>
      <c r="H434" s="2" t="inlineStr">
        <is>
          <t/>
        </is>
      </c>
      <c r="I434" s="2" t="inlineStr">
        <is>
          <t>25405</t>
        </is>
      </c>
      <c r="J434" s="4"/>
      <c r="K434" s="2">
        <v>78</v>
      </c>
      <c r="L434" s="6"/>
      <c r="M434" s="2" t="str">
        <f>IF(J434="",ROUND(I434*(1-IF(ISBLANK(L434),K434,L434)/100),2),ROUND(J434*(1-IF(ISBLANK(L434),K434,L434)/100),2))</f>
      </c>
      <c r="N434" s="7" t="str">
        <f>IF(NOT(AND(J434="",L434="")),IF(OR(AND(L434&lt;&gt;"",NOT(ISNUMBER(L434))),IFERROR(MOD(L434,1),1)&gt;0,AND(ISNUMBER(L434),OR(L434&lt;0,L434&gt;95))),"Введите целое число от 0 до 95",IF(OR(AND(J434&lt;&gt;"",NOT(ISNUMBER(J434))),IFERROR(MOD(J434,1),1)&gt;0,AND(ISNUMBER(J434),OR(J434&lt;50,J434&gt;20000000))),"Введите целое число от 50 до 20000000",IF(NOT(ABS(IFERROR(VALUE(LEFT(M434,FIND("-",M434)-1)),M434)*100-(2500+2000000000)/2)&lt;=ABS(2500-2000000000)/2),"Цена со скидкой должна быть от 25 до 20000000",IF(AND(IFERROR(VALUE(LEFT(M434,FIND("-",M434)-1)),M434)*150&lt;=558910,IFERROR(VALUE(LEFT(M434,FIND("-",M434)-1)),M434)*200&gt;558910),"Вы уменьшили цену в несколько раз, товар попадет в карантин цен",IF(IFERROR(VALUE(LEFT(M434,FIND("-",M434)-1)),M434)*200&lt;=558910,"Не сохранили изменения, чтобы защитить от ошибки — новые цены меньше текущих более чем в 2 раза. Снижайте их постепенно",IF(AND(IFERROR(VALUE(I434),0)=0,ISNUMBER(J434),OR(J434&lt;269,ABS(IFERROR(VALUE(LEFT(M434,FIND("-",M434)-1)),M434))*100&lt;26900)),"Проверьте цену товара. Большинство товаров в выбранной категории стоят дороже 269","")))))),"")</f>
      </c>
    </row>
    <row r="435">
      <c r="A435" s="2" t="inlineStr">
        <is>
          <t/>
        </is>
      </c>
      <c r="B435" s="2" t="inlineStr">
        <is>
          <t>Измельчители механические</t>
        </is>
      </c>
      <c r="C435" s="2">
        <v>600647808</v>
      </c>
      <c r="D435" s="2" t="inlineStr">
        <is>
          <t>49107</t>
        </is>
      </c>
      <c r="E435" s="2" t="inlineStr">
        <is>
          <t>2047129195253</t>
        </is>
      </c>
      <c r="F435" s="2">
        <v>0</v>
      </c>
      <c r="G435" s="2">
        <v>1</v>
      </c>
      <c r="H435" s="2" t="inlineStr">
        <is>
          <t/>
        </is>
      </c>
      <c r="I435" s="2" t="inlineStr">
        <is>
          <t>18524</t>
        </is>
      </c>
      <c r="J435" s="4"/>
      <c r="K435" s="2">
        <v>80</v>
      </c>
      <c r="L435" s="6"/>
      <c r="M435" s="2" t="str">
        <f>IF(J435="",ROUND(I435*(1-IF(ISBLANK(L435),K435,L435)/100),2),ROUND(J435*(1-IF(ISBLANK(L435),K435,L435)/100),2))</f>
      </c>
      <c r="N435" s="7" t="str">
        <f>IF(NOT(AND(J435="",L435="")),IF(OR(AND(L435&lt;&gt;"",NOT(ISNUMBER(L435))),IFERROR(MOD(L435,1),1)&gt;0,AND(ISNUMBER(L435),OR(L435&lt;0,L435&gt;95))),"Введите целое число от 0 до 95",IF(OR(AND(J435&lt;&gt;"",NOT(ISNUMBER(J435))),IFERROR(MOD(J435,1),1)&gt;0,AND(ISNUMBER(J435),OR(J435&lt;50,J435&gt;20000000))),"Введите целое число от 50 до 20000000",IF(NOT(ABS(IFERROR(VALUE(LEFT(M435,FIND("-",M435)-1)),M435)*100-(2500+2000000000)/2)&lt;=ABS(2500-2000000000)/2),"Цена со скидкой должна быть от 25 до 20000000",IF(AND(IFERROR(VALUE(LEFT(M435,FIND("-",M435)-1)),M435)*150&lt;=370479,IFERROR(VALUE(LEFT(M435,FIND("-",M435)-1)),M435)*200&gt;370479),"Вы уменьшили цену в несколько раз, товар попадет в карантин цен",IF(IFERROR(VALUE(LEFT(M435,FIND("-",M435)-1)),M435)*200&lt;=370479,"Не сохранили изменения, чтобы защитить от ошибки — новые цены меньше текущих более чем в 2 раза. Снижайте их постепенно",IF(AND(IFERROR(VALUE(I435),0)=0,ISNUMBER(J435),OR(J435&lt;421,ABS(IFERROR(VALUE(LEFT(M435,FIND("-",M435)-1)),M435))*100&lt;42100)),"Проверьте цену товара. Большинство товаров в выбранной категории стоят дороже 421","")))))),"")</f>
      </c>
    </row>
    <row r="436">
      <c r="A436" s="2" t="inlineStr">
        <is>
          <t/>
        </is>
      </c>
      <c r="B436" s="2" t="inlineStr">
        <is>
          <t>Елки искусственные</t>
        </is>
      </c>
      <c r="C436" s="2">
        <v>616129772</v>
      </c>
      <c r="D436" s="2" t="inlineStr">
        <is>
          <t>992247</t>
        </is>
      </c>
      <c r="E436" s="2" t="inlineStr">
        <is>
          <t>2047285466563</t>
        </is>
      </c>
      <c r="F436" s="2">
        <v>0</v>
      </c>
      <c r="G436" s="2">
        <v>10</v>
      </c>
      <c r="H436" s="2" t="inlineStr">
        <is>
          <t/>
        </is>
      </c>
      <c r="I436" s="2" t="inlineStr">
        <is>
          <t>166046</t>
        </is>
      </c>
      <c r="J436" s="4"/>
      <c r="K436" s="2">
        <v>78</v>
      </c>
      <c r="L436" s="6"/>
      <c r="M436" s="2" t="str">
        <f>IF(J436="",ROUND(I436*(1-IF(ISBLANK(L436),K436,L436)/100),2),ROUND(J436*(1-IF(ISBLANK(L436),K436,L436)/100),2))</f>
      </c>
      <c r="N436" s="7" t="str">
        <f>IF(NOT(AND(J436="",L436="")),IF(OR(AND(L436&lt;&gt;"",NOT(ISNUMBER(L436))),IFERROR(MOD(L436,1),1)&gt;0,AND(ISNUMBER(L436),OR(L436&lt;0,L436&gt;95))),"Введите целое число от 0 до 95",IF(OR(AND(J436&lt;&gt;"",NOT(ISNUMBER(J436))),IFERROR(MOD(J436,1),1)&gt;0,AND(ISNUMBER(J436),OR(J436&lt;50,J436&gt;20000000))),"Введите целое число от 50 до 20000000",IF(NOT(ABS(IFERROR(VALUE(LEFT(M436,FIND("-",M436)-1)),M436)*100-(2500+2000000000)/2)&lt;=ABS(2500-2000000000)/2),"Цена со скидкой должна быть от 25 до 20000000",IF(AND(IFERROR(VALUE(LEFT(M436,FIND("-",M436)-1)),M436)*150&lt;=3653011,IFERROR(VALUE(LEFT(M436,FIND("-",M436)-1)),M436)*200&gt;3653011),"Вы уменьшили цену в несколько раз, товар попадет в карантин цен",IF(IFERROR(VALUE(LEFT(M436,FIND("-",M436)-1)),M436)*200&lt;=3653011,"Не сохранили изменения, чтобы защитить от ошибки — новые цены меньше текущих более чем в 2 раза. Снижайте их постепенно",IF(AND(IFERROR(VALUE(I436),0)=0,ISNUMBER(J436),OR(J436&lt;269,ABS(IFERROR(VALUE(LEFT(M436,FIND("-",M436)-1)),M436))*100&lt;26900)),"Проверьте цену товара. Большинство товаров в выбранной категории стоят дороже 269","")))))),"")</f>
      </c>
    </row>
    <row r="437">
      <c r="A437" s="2" t="inlineStr">
        <is>
          <t/>
        </is>
      </c>
      <c r="B437" s="2" t="inlineStr">
        <is>
          <t>Миксеры</t>
        </is>
      </c>
      <c r="C437" s="2">
        <v>603734276</v>
      </c>
      <c r="D437" s="2" t="inlineStr">
        <is>
          <t>192643</t>
        </is>
      </c>
      <c r="E437" s="2" t="inlineStr">
        <is>
          <t>2047147962417</t>
        </is>
      </c>
      <c r="F437" s="2">
        <v>0</v>
      </c>
      <c r="G437" s="2">
        <v>0</v>
      </c>
      <c r="H437" s="2" t="inlineStr">
        <is>
          <t/>
        </is>
      </c>
      <c r="I437" s="2" t="inlineStr">
        <is>
          <t>52860</t>
        </is>
      </c>
      <c r="J437" s="4"/>
      <c r="K437" s="2">
        <v>65</v>
      </c>
      <c r="L437" s="6"/>
      <c r="M437" s="2" t="str">
        <f>IF(J437="",ROUND(I437*(1-IF(ISBLANK(L437),K437,L437)/100),2),ROUND(J437*(1-IF(ISBLANK(L437),K437,L437)/100),2))</f>
      </c>
      <c r="N437" s="7" t="str">
        <f>IF(NOT(AND(J437="",L437="")),IF(OR(AND(L437&lt;&gt;"",NOT(ISNUMBER(L437))),IFERROR(MOD(L437,1),1)&gt;0,AND(ISNUMBER(L437),OR(L437&lt;0,L437&gt;95))),"Введите целое число от 0 до 95",IF(OR(AND(J437&lt;&gt;"",NOT(ISNUMBER(J437))),IFERROR(MOD(J437,1),1)&gt;0,AND(ISNUMBER(J437),OR(J437&lt;50,J437&gt;20000000))),"Введите целое число от 50 до 20000000",IF(NOT(ABS(IFERROR(VALUE(LEFT(M437,FIND("-",M437)-1)),M437)*100-(2500+2000000000)/2)&lt;=ABS(2500-2000000000)/2),"Цена со скидкой должна быть от 25 до 20000000",IF(AND(IFERROR(VALUE(LEFT(M437,FIND("-",M437)-1)),M437)*150&lt;=1850100,IFERROR(VALUE(LEFT(M437,FIND("-",M437)-1)),M437)*200&gt;1850100),"Вы уменьшили цену в несколько раз, товар попадет в карантин цен",IF(IFERROR(VALUE(LEFT(M437,FIND("-",M437)-1)),M437)*200&lt;=1850100,"Не сохранили изменения, чтобы защитить от ошибки — новые цены меньше текущих более чем в 2 раза. Снижайте их постепенно",IF(AND(IFERROR(VALUE(I437),0)=0,ISNUMBER(J437),OR(J437&lt;289,ABS(IFERROR(VALUE(LEFT(M437,FIND("-",M437)-1)),M437))*100&lt;28900)),"Проверьте цену товара. Большинство товаров в выбранной категории стоят дороже 289","")))))),"")</f>
      </c>
    </row>
    <row r="438">
      <c r="A438" s="2" t="inlineStr">
        <is>
          <t/>
        </is>
      </c>
      <c r="B438" s="2" t="inlineStr">
        <is>
          <t>Ножи кухонные</t>
        </is>
      </c>
      <c r="C438" s="2">
        <v>600639360</v>
      </c>
      <c r="D438" s="2" t="inlineStr">
        <is>
          <t>283356</t>
        </is>
      </c>
      <c r="E438" s="2" t="inlineStr">
        <is>
          <t>2047129194553</t>
        </is>
      </c>
      <c r="F438" s="2">
        <v>0</v>
      </c>
      <c r="G438" s="2">
        <v>0</v>
      </c>
      <c r="H438" s="2" t="inlineStr">
        <is>
          <t/>
        </is>
      </c>
      <c r="I438" s="2" t="inlineStr">
        <is>
          <t>14244</t>
        </is>
      </c>
      <c r="J438" s="4"/>
      <c r="K438" s="2">
        <v>78</v>
      </c>
      <c r="L438" s="6"/>
      <c r="M438" s="2" t="str">
        <f>IF(J438="",ROUND(I438*(1-IF(ISBLANK(L438),K438,L438)/100),2),ROUND(J438*(1-IF(ISBLANK(L438),K438,L438)/100),2))</f>
      </c>
      <c r="N438" s="7" t="str">
        <f>IF(NOT(AND(J438="",L438="")),IF(OR(AND(L438&lt;&gt;"",NOT(ISNUMBER(L438))),IFERROR(MOD(L438,1),1)&gt;0,AND(ISNUMBER(L438),OR(L438&lt;0,L438&gt;95))),"Введите целое число от 0 до 95",IF(OR(AND(J438&lt;&gt;"",NOT(ISNUMBER(J438))),IFERROR(MOD(J438,1),1)&gt;0,AND(ISNUMBER(J438),OR(J438&lt;50,J438&gt;20000000))),"Введите целое число от 50 до 20000000",IF(NOT(ABS(IFERROR(VALUE(LEFT(M438,FIND("-",M438)-1)),M438)*100-(2500+2000000000)/2)&lt;=ABS(2500-2000000000)/2),"Цена со скидкой должна быть от 25 до 20000000",IF(AND(IFERROR(VALUE(LEFT(M438,FIND("-",M438)-1)),M438)*150&lt;=313368,IFERROR(VALUE(LEFT(M438,FIND("-",M438)-1)),M438)*200&gt;313368),"Вы уменьшили цену в несколько раз, товар попадет в карантин цен",IF(IFERROR(VALUE(LEFT(M438,FIND("-",M438)-1)),M438)*200&lt;=313368,"Не сохранили изменения, чтобы защитить от ошибки — новые цены меньше текущих более чем в 2 раза. Снижайте их постепенно",IF(AND(IFERROR(VALUE(I438),0)=0,ISNUMBER(J438),OR(J438&lt;318,ABS(IFERROR(VALUE(LEFT(M438,FIND("-",M438)-1)),M438))*100&lt;31800)),"Проверьте цену товара. Большинство товаров в выбранной категории стоят дороже 318","")))))),"")</f>
      </c>
    </row>
    <row r="439">
      <c r="A439" s="2" t="inlineStr">
        <is>
          <t/>
        </is>
      </c>
      <c r="B439" s="2" t="inlineStr">
        <is>
          <t>Гирлянды интерьерные</t>
        </is>
      </c>
      <c r="C439" s="2">
        <v>616141966</v>
      </c>
      <c r="D439" s="2" t="inlineStr">
        <is>
          <t>991380</t>
        </is>
      </c>
      <c r="E439" s="2" t="inlineStr">
        <is>
          <t>2047285724854</t>
        </is>
      </c>
      <c r="F439" s="2">
        <v>0</v>
      </c>
      <c r="G439" s="2">
        <v>324</v>
      </c>
      <c r="H439" s="2" t="inlineStr">
        <is>
          <t/>
        </is>
      </c>
      <c r="I439" s="2" t="inlineStr">
        <is>
          <t>4040</t>
        </is>
      </c>
      <c r="J439" s="4"/>
      <c r="K439" s="2">
        <v>79</v>
      </c>
      <c r="L439" s="6"/>
      <c r="M439" s="2" t="str">
        <f>IF(J439="",ROUND(I439*(1-IF(ISBLANK(L439),K439,L439)/100),2),ROUND(J439*(1-IF(ISBLANK(L439),K439,L439)/100),2))</f>
      </c>
      <c r="N439" s="7" t="str">
        <f>IF(NOT(AND(J439="",L439="")),IF(OR(AND(L439&lt;&gt;"",NOT(ISNUMBER(L439))),IFERROR(MOD(L439,1),1)&gt;0,AND(ISNUMBER(L439),OR(L439&lt;0,L439&gt;95))),"Введите целое число от 0 до 95",IF(OR(AND(J439&lt;&gt;"",NOT(ISNUMBER(J439))),IFERROR(MOD(J439,1),1)&gt;0,AND(ISNUMBER(J439),OR(J439&lt;50,J439&gt;20000000))),"Введите целое число от 50 до 20000000",IF(NOT(ABS(IFERROR(VALUE(LEFT(M439,FIND("-",M439)-1)),M439)*100-(2500+2000000000)/2)&lt;=ABS(2500-2000000000)/2),"Цена со скидкой должна быть от 25 до 20000000",IF(AND(IFERROR(VALUE(LEFT(M439,FIND("-",M439)-1)),M439)*150&lt;=84839,IFERROR(VALUE(LEFT(M439,FIND("-",M439)-1)),M439)*200&gt;84839),"Вы уменьшили цену в несколько раз, товар попадет в карантин цен",IF(IFERROR(VALUE(LEFT(M439,FIND("-",M439)-1)),M439)*200&lt;=84839,"Не сохранили изменения, чтобы защитить от ошибки — новые цены меньше текущих более чем в 2 раза. Снижайте их постепенно",IF(AND(IFERROR(VALUE(I439),0)=0,ISNUMBER(J439),OR(J439&lt;261,ABS(IFERROR(VALUE(LEFT(M439,FIND("-",M439)-1)),M439))*100&lt;26100)),"Проверьте цену товара. Большинство товаров в выбранной категории стоят дороже 261","")))))),"")</f>
      </c>
    </row>
    <row r="440">
      <c r="A440" s="2" t="inlineStr">
        <is>
          <t/>
        </is>
      </c>
      <c r="B440" s="2" t="inlineStr">
        <is>
          <t>Держатели в авто</t>
        </is>
      </c>
      <c r="C440" s="2">
        <v>335328254</v>
      </c>
      <c r="D440" s="2" t="inlineStr">
        <is>
          <t>456753</t>
        </is>
      </c>
      <c r="E440" s="2" t="inlineStr">
        <is>
          <t>4670294453101</t>
        </is>
      </c>
      <c r="F440" s="2">
        <v>13</v>
      </c>
      <c r="G440" s="2">
        <v>0</v>
      </c>
      <c r="H440" s="2">
        <v>999</v>
      </c>
      <c r="I440" s="2" t="inlineStr">
        <is>
          <t>2356</t>
        </is>
      </c>
      <c r="J440" s="4"/>
      <c r="K440" s="2">
        <v>79</v>
      </c>
      <c r="L440" s="6"/>
      <c r="M440" s="2" t="str">
        <f>IF(J440="",ROUND(I440*(1-IF(ISBLANK(L440),K440,L440)/100),2),ROUND(J440*(1-IF(ISBLANK(L440),K440,L440)/100),2))</f>
      </c>
      <c r="N440" s="7" t="str">
        <f>IF(NOT(AND(J440="",L440="")),IF(OR(AND(L440&lt;&gt;"",NOT(ISNUMBER(L440))),IFERROR(MOD(L440,1),1)&gt;0,AND(ISNUMBER(L440),OR(L440&lt;0,L440&gt;95))),"Введите целое число от 0 до 95",IF(OR(AND(J440&lt;&gt;"",NOT(ISNUMBER(J440))),IFERROR(MOD(J440,1),1)&gt;0,AND(ISNUMBER(J440),OR(J440&lt;50,J440&gt;20000000))),"Введите целое число от 50 до 20000000",IF(NOT(ABS(IFERROR(VALUE(LEFT(M440,FIND("-",M440)-1)),M440)*100-(2500+2000000000)/2)&lt;=ABS(2500-2000000000)/2),"Цена со скидкой должна быть от 25 до 20000000",IF(AND(IFERROR(VALUE(LEFT(M440,FIND("-",M440)-1)),M440)*150&lt;=49475,IFERROR(VALUE(LEFT(M440,FIND("-",M440)-1)),M440)*200&gt;49475),"Вы уменьшили цену в несколько раз, товар попадет в карантин цен",IF(IFERROR(VALUE(LEFT(M440,FIND("-",M440)-1)),M440)*200&lt;=49475,"Не сохранили изменения, чтобы защитить от ошибки — новые цены меньше текущих более чем в 2 раза. Снижайте их постепенно",IF(AND(IFERROR(VALUE(I440),0)=0,ISNUMBER(J440),OR(J440&lt;265,ABS(IFERROR(VALUE(LEFT(M440,FIND("-",M440)-1)),M440))*100&lt;26500)),"Проверьте цену товара. Большинство товаров в выбранной категории стоят дороже 265","")))))),"")</f>
      </c>
    </row>
    <row r="441">
      <c r="A441" s="2" t="inlineStr">
        <is>
          <t/>
        </is>
      </c>
      <c r="B441" s="2" t="inlineStr">
        <is>
          <t>Кастрюли</t>
        </is>
      </c>
      <c r="C441" s="2">
        <v>729144203</v>
      </c>
      <c r="D441" s="2" t="inlineStr">
        <is>
          <t>282982</t>
        </is>
      </c>
      <c r="E441" s="2" t="inlineStr">
        <is>
          <t>2048079094788</t>
        </is>
      </c>
      <c r="F441" s="2">
        <v>1</v>
      </c>
      <c r="G441" s="2">
        <v>0</v>
      </c>
      <c r="H441" s="2">
        <v>999</v>
      </c>
      <c r="I441" s="2" t="inlineStr">
        <is>
          <t>45630</t>
        </is>
      </c>
      <c r="J441" s="4"/>
      <c r="K441" s="2">
        <v>81</v>
      </c>
      <c r="L441" s="6"/>
      <c r="M441" s="2" t="str">
        <f>IF(J441="",ROUND(I441*(1-IF(ISBLANK(L441),K441,L441)/100),2),ROUND(J441*(1-IF(ISBLANK(L441),K441,L441)/100),2))</f>
      </c>
      <c r="N441" s="7" t="str">
        <f>IF(NOT(AND(J441="",L441="")),IF(OR(AND(L441&lt;&gt;"",NOT(ISNUMBER(L441))),IFERROR(MOD(L441,1),1)&gt;0,AND(ISNUMBER(L441),OR(L441&lt;0,L441&gt;95))),"Введите целое число от 0 до 95",IF(OR(AND(J441&lt;&gt;"",NOT(ISNUMBER(J441))),IFERROR(MOD(J441,1),1)&gt;0,AND(ISNUMBER(J441),OR(J441&lt;50,J441&gt;20000000))),"Введите целое число от 50 до 20000000",IF(NOT(ABS(IFERROR(VALUE(LEFT(M441,FIND("-",M441)-1)),M441)*100-(2500+2000000000)/2)&lt;=ABS(2500-2000000000)/2),"Цена со скидкой должна быть от 25 до 20000000",IF(AND(IFERROR(VALUE(LEFT(M441,FIND("-",M441)-1)),M441)*150&lt;=866969,IFERROR(VALUE(LEFT(M441,FIND("-",M441)-1)),M441)*200&gt;866969),"Вы уменьшили цену в несколько раз, товар попадет в карантин цен",IF(IFERROR(VALUE(LEFT(M441,FIND("-",M441)-1)),M441)*200&lt;=866969,"Не сохранили изменения, чтобы защитить от ошибки — новые цены меньше текущих более чем в 2 раза. Снижайте их постепенно",IF(AND(IFERROR(VALUE(I441),0)=0,ISNUMBER(J441),OR(J441&lt;523,ABS(IFERROR(VALUE(LEFT(M441,FIND("-",M441)-1)),M441))*100&lt;52300)),"Проверьте цену товара. Большинство товаров в выбранной категории стоят дороже 523","")))))),"")</f>
      </c>
    </row>
    <row r="442">
      <c r="A442" s="2" t="inlineStr">
        <is>
          <t/>
        </is>
      </c>
      <c r="B442" s="2" t="inlineStr">
        <is>
          <t>Плиты настольные</t>
        </is>
      </c>
      <c r="C442" s="2">
        <v>603737941</v>
      </c>
      <c r="D442" s="2" t="inlineStr">
        <is>
          <t>192437</t>
        </is>
      </c>
      <c r="E442" s="2" t="inlineStr">
        <is>
          <t>2047148006073</t>
        </is>
      </c>
      <c r="F442" s="2">
        <v>0</v>
      </c>
      <c r="G442" s="2">
        <v>1</v>
      </c>
      <c r="H442" s="2" t="inlineStr">
        <is>
          <t/>
        </is>
      </c>
      <c r="I442" s="2" t="inlineStr">
        <is>
          <t>18096</t>
        </is>
      </c>
      <c r="J442" s="4"/>
      <c r="K442" s="2">
        <v>80</v>
      </c>
      <c r="L442" s="6"/>
      <c r="M442" s="2" t="str">
        <f>IF(J442="",ROUND(I442*(1-IF(ISBLANK(L442),K442,L442)/100),2),ROUND(J442*(1-IF(ISBLANK(L442),K442,L442)/100),2))</f>
      </c>
      <c r="N442" s="7" t="str">
        <f>IF(NOT(AND(J442="",L442="")),IF(OR(AND(L442&lt;&gt;"",NOT(ISNUMBER(L442))),IFERROR(MOD(L442,1),1)&gt;0,AND(ISNUMBER(L442),OR(L442&lt;0,L442&gt;95))),"Введите целое число от 0 до 95",IF(OR(AND(J442&lt;&gt;"",NOT(ISNUMBER(J442))),IFERROR(MOD(J442,1),1)&gt;0,AND(ISNUMBER(J442),OR(J442&lt;50,J442&gt;20000000))),"Введите целое число от 50 до 20000000",IF(NOT(ABS(IFERROR(VALUE(LEFT(M442,FIND("-",M442)-1)),M442)*100-(2500+2000000000)/2)&lt;=ABS(2500-2000000000)/2),"Цена со скидкой должна быть от 25 до 20000000",IF(AND(IFERROR(VALUE(LEFT(M442,FIND("-",M442)-1)),M442)*150&lt;=361919,IFERROR(VALUE(LEFT(M442,FIND("-",M442)-1)),M442)*200&gt;361919),"Вы уменьшили цену в несколько раз, товар попадет в карантин цен",IF(IFERROR(VALUE(LEFT(M442,FIND("-",M442)-1)),M442)*200&lt;=361919,"Не сохранили изменения, чтобы защитить от ошибки — новые цены меньше текущих более чем в 2 раза. Снижайте их постепенно",IF(AND(IFERROR(VALUE(I442),0)=0,ISNUMBER(J442),OR(J442&lt;316,ABS(IFERROR(VALUE(LEFT(M442,FIND("-",M442)-1)),M442))*100&lt;31600)),"Проверьте цену товара. Большинство товаров в выбранной категории стоят дороже 316","")))))),"")</f>
      </c>
    </row>
    <row r="443">
      <c r="A443" s="2" t="inlineStr">
        <is>
          <t/>
        </is>
      </c>
      <c r="B443" s="2" t="inlineStr">
        <is>
          <t>Кастрюли</t>
        </is>
      </c>
      <c r="C443" s="2">
        <v>729145123</v>
      </c>
      <c r="D443" s="2" t="inlineStr">
        <is>
          <t>283479</t>
        </is>
      </c>
      <c r="E443" s="2" t="inlineStr">
        <is>
          <t>2048079111317</t>
        </is>
      </c>
      <c r="F443" s="2">
        <v>0</v>
      </c>
      <c r="G443" s="2">
        <v>0</v>
      </c>
      <c r="H443" s="2" t="inlineStr">
        <is>
          <t/>
        </is>
      </c>
      <c r="I443" s="2" t="inlineStr">
        <is>
          <t>78777</t>
        </is>
      </c>
      <c r="J443" s="4"/>
      <c r="K443" s="2">
        <v>65</v>
      </c>
      <c r="L443" s="6"/>
      <c r="M443" s="2" t="str">
        <f>IF(J443="",ROUND(I443*(1-IF(ISBLANK(L443),K443,L443)/100),2),ROUND(J443*(1-IF(ISBLANK(L443),K443,L443)/100),2))</f>
      </c>
      <c r="N443" s="7" t="str">
        <f>IF(NOT(AND(J443="",L443="")),IF(OR(AND(L443&lt;&gt;"",NOT(ISNUMBER(L443))),IFERROR(MOD(L443,1),1)&gt;0,AND(ISNUMBER(L443),OR(L443&lt;0,L443&gt;95))),"Введите целое число от 0 до 95",IF(OR(AND(J443&lt;&gt;"",NOT(ISNUMBER(J443))),IFERROR(MOD(J443,1),1)&gt;0,AND(ISNUMBER(J443),OR(J443&lt;50,J443&gt;20000000))),"Введите целое число от 50 до 20000000",IF(NOT(ABS(IFERROR(VALUE(LEFT(M443,FIND("-",M443)-1)),M443)*100-(2500+2000000000)/2)&lt;=ABS(2500-2000000000)/2),"Цена со скидкой должна быть от 25 до 20000000",IF(AND(IFERROR(VALUE(LEFT(M443,FIND("-",M443)-1)),M443)*150&lt;=2757194,IFERROR(VALUE(LEFT(M443,FIND("-",M443)-1)),M443)*200&gt;2757194),"Вы уменьшили цену в несколько раз, товар попадет в карантин цен",IF(IFERROR(VALUE(LEFT(M443,FIND("-",M443)-1)),M443)*200&lt;=2757194,"Не сохранили изменения, чтобы защитить от ошибки — новые цены меньше текущих более чем в 2 раза. Снижайте их постепенно",IF(AND(IFERROR(VALUE(I443),0)=0,ISNUMBER(J443),OR(J443&lt;523,ABS(IFERROR(VALUE(LEFT(M443,FIND("-",M443)-1)),M443))*100&lt;52300)),"Проверьте цену товара. Большинство товаров в выбранной категории стоят дороже 523","")))))),"")</f>
      </c>
    </row>
    <row r="444">
      <c r="A444" s="2" t="inlineStr">
        <is>
          <t/>
        </is>
      </c>
      <c r="B444" s="2" t="inlineStr">
        <is>
          <t>Овощерезки ручные</t>
        </is>
      </c>
      <c r="C444" s="2">
        <v>600630474</v>
      </c>
      <c r="D444" s="2" t="inlineStr">
        <is>
          <t>522734</t>
        </is>
      </c>
      <c r="E444" s="2" t="inlineStr">
        <is>
          <t>2047129101933</t>
        </is>
      </c>
      <c r="F444" s="2">
        <v>0</v>
      </c>
      <c r="G444" s="2">
        <v>4</v>
      </c>
      <c r="H444" s="2" t="inlineStr">
        <is>
          <t/>
        </is>
      </c>
      <c r="I444" s="2" t="inlineStr">
        <is>
          <t>13656</t>
        </is>
      </c>
      <c r="J444" s="4"/>
      <c r="K444" s="2">
        <v>78</v>
      </c>
      <c r="L444" s="6"/>
      <c r="M444" s="2" t="str">
        <f>IF(J444="",ROUND(I444*(1-IF(ISBLANK(L444),K444,L444)/100),2),ROUND(J444*(1-IF(ISBLANK(L444),K444,L444)/100),2))</f>
      </c>
      <c r="N444" s="7" t="str">
        <f>IF(NOT(AND(J444="",L444="")),IF(OR(AND(L444&lt;&gt;"",NOT(ISNUMBER(L444))),IFERROR(MOD(L444,1),1)&gt;0,AND(ISNUMBER(L444),OR(L444&lt;0,L444&gt;95))),"Введите целое число от 0 до 95",IF(OR(AND(J444&lt;&gt;"",NOT(ISNUMBER(J444))),IFERROR(MOD(J444,1),1)&gt;0,AND(ISNUMBER(J444),OR(J444&lt;50,J444&gt;20000000))),"Введите целое число от 50 до 20000000",IF(NOT(ABS(IFERROR(VALUE(LEFT(M444,FIND("-",M444)-1)),M444)*100-(2500+2000000000)/2)&lt;=ABS(2500-2000000000)/2),"Цена со скидкой должна быть от 25 до 20000000",IF(AND(IFERROR(VALUE(LEFT(M444,FIND("-",M444)-1)),M444)*150&lt;=300432,IFERROR(VALUE(LEFT(M444,FIND("-",M444)-1)),M444)*200&gt;300432),"Вы уменьшили цену в несколько раз, товар попадет в карантин цен",IF(IFERROR(VALUE(LEFT(M444,FIND("-",M444)-1)),M444)*200&lt;=300432,"Не сохранили изменения, чтобы защитить от ошибки — новые цены меньше текущих более чем в 2 раза. Снижайте их постепенно",IF(AND(IFERROR(VALUE(I444),0)=0,ISNUMBER(J444),OR(J444&lt;279,ABS(IFERROR(VALUE(LEFT(M444,FIND("-",M444)-1)),M444))*100&lt;27900)),"Проверьте цену товара. Большинство товаров в выбранной категории стоят дороже 279","")))))),"")</f>
      </c>
    </row>
    <row r="445">
      <c r="A445" s="2" t="inlineStr">
        <is>
          <t/>
        </is>
      </c>
      <c r="B445" s="2" t="inlineStr">
        <is>
          <t>Шторы для ванной</t>
        </is>
      </c>
      <c r="C445" s="2">
        <v>619535087</v>
      </c>
      <c r="D445" s="2" t="inlineStr">
        <is>
          <t>420610</t>
        </is>
      </c>
      <c r="E445" s="2" t="inlineStr">
        <is>
          <t>2047325558883</t>
        </is>
      </c>
      <c r="F445" s="2">
        <v>0</v>
      </c>
      <c r="G445" s="2">
        <v>1</v>
      </c>
      <c r="H445" s="2" t="inlineStr">
        <is>
          <t/>
        </is>
      </c>
      <c r="I445" s="2" t="inlineStr">
        <is>
          <t>6276</t>
        </is>
      </c>
      <c r="J445" s="4"/>
      <c r="K445" s="2">
        <v>80</v>
      </c>
      <c r="L445" s="6"/>
      <c r="M445" s="2" t="str">
        <f>IF(J445="",ROUND(I445*(1-IF(ISBLANK(L445),K445,L445)/100),2),ROUND(J445*(1-IF(ISBLANK(L445),K445,L445)/100),2))</f>
      </c>
      <c r="N445" s="7" t="str">
        <f>IF(NOT(AND(J445="",L445="")),IF(OR(AND(L445&lt;&gt;"",NOT(ISNUMBER(L445))),IFERROR(MOD(L445,1),1)&gt;0,AND(ISNUMBER(L445),OR(L445&lt;0,L445&gt;95))),"Введите целое число от 0 до 95",IF(OR(AND(J445&lt;&gt;"",NOT(ISNUMBER(J445))),IFERROR(MOD(J445,1),1)&gt;0,AND(ISNUMBER(J445),OR(J445&lt;50,J445&gt;20000000))),"Введите целое число от 50 до 20000000",IF(NOT(ABS(IFERROR(VALUE(LEFT(M445,FIND("-",M445)-1)),M445)*100-(2500+2000000000)/2)&lt;=ABS(2500-2000000000)/2),"Цена со скидкой должна быть от 25 до 20000000",IF(AND(IFERROR(VALUE(LEFT(M445,FIND("-",M445)-1)),M445)*150&lt;=125519,IFERROR(VALUE(LEFT(M445,FIND("-",M445)-1)),M445)*200&gt;125519),"Вы уменьшили цену в несколько раз, товар попадет в карантин цен",IF(IFERROR(VALUE(LEFT(M445,FIND("-",M445)-1)),M445)*200&lt;=125519,"Не сохранили изменения, чтобы защитить от ошибки — новые цены меньше текущих более чем в 2 раза. Снижайте их постепенно",IF(AND(IFERROR(VALUE(I445),0)=0,ISNUMBER(J445),OR(J445&lt;491,ABS(IFERROR(VALUE(LEFT(M445,FIND("-",M445)-1)),M445))*100&lt;49100)),"Проверьте цену товара. Большинство товаров в выбранной категории стоят дороже 491","")))))),"")</f>
      </c>
    </row>
    <row r="446">
      <c r="A446" s="2" t="inlineStr">
        <is>
          <t/>
        </is>
      </c>
      <c r="B446" s="2" t="inlineStr">
        <is>
          <t>Шторы для ванной</t>
        </is>
      </c>
      <c r="C446" s="2">
        <v>619535088</v>
      </c>
      <c r="D446" s="2" t="inlineStr">
        <is>
          <t>420612</t>
        </is>
      </c>
      <c r="E446" s="2" t="inlineStr">
        <is>
          <t>2047325558906</t>
        </is>
      </c>
      <c r="F446" s="2">
        <v>0</v>
      </c>
      <c r="G446" s="2">
        <v>0</v>
      </c>
      <c r="H446" s="2" t="inlineStr">
        <is>
          <t/>
        </is>
      </c>
      <c r="I446" s="2" t="inlineStr">
        <is>
          <t>6276</t>
        </is>
      </c>
      <c r="J446" s="4"/>
      <c r="K446" s="2">
        <v>69</v>
      </c>
      <c r="L446" s="6"/>
      <c r="M446" s="2" t="str">
        <f>IF(J446="",ROUND(I446*(1-IF(ISBLANK(L446),K446,L446)/100),2),ROUND(J446*(1-IF(ISBLANK(L446),K446,L446)/100),2))</f>
      </c>
      <c r="N446" s="7" t="str">
        <f>IF(NOT(AND(J446="",L446="")),IF(OR(AND(L446&lt;&gt;"",NOT(ISNUMBER(L446))),IFERROR(MOD(L446,1),1)&gt;0,AND(ISNUMBER(L446),OR(L446&lt;0,L446&gt;95))),"Введите целое число от 0 до 95",IF(OR(AND(J446&lt;&gt;"",NOT(ISNUMBER(J446))),IFERROR(MOD(J446,1),1)&gt;0,AND(ISNUMBER(J446),OR(J446&lt;50,J446&gt;20000000))),"Введите целое число от 50 до 20000000",IF(NOT(ABS(IFERROR(VALUE(LEFT(M446,FIND("-",M446)-1)),M446)*100-(2500+2000000000)/2)&lt;=ABS(2500-2000000000)/2),"Цена со скидкой должна быть от 25 до 20000000",IF(AND(IFERROR(VALUE(LEFT(M446,FIND("-",M446)-1)),M446)*150&lt;=194556,IFERROR(VALUE(LEFT(M446,FIND("-",M446)-1)),M446)*200&gt;194556),"Вы уменьшили цену в несколько раз, товар попадет в карантин цен",IF(IFERROR(VALUE(LEFT(M446,FIND("-",M446)-1)),M446)*200&lt;=194556,"Не сохранили изменения, чтобы защитить от ошибки — новые цены меньше текущих более чем в 2 раза. Снижайте их постепенно",IF(AND(IFERROR(VALUE(I446),0)=0,ISNUMBER(J446),OR(J446&lt;491,ABS(IFERROR(VALUE(LEFT(M446,FIND("-",M446)-1)),M446))*100&lt;49100)),"Проверьте цену товара. Большинство товаров в выбранной категории стоят дороже 491","")))))),"")</f>
      </c>
    </row>
    <row r="447">
      <c r="A447" s="2" t="inlineStr">
        <is>
          <t/>
        </is>
      </c>
      <c r="B447" s="2" t="inlineStr">
        <is>
          <t>Шторы для ванной</t>
        </is>
      </c>
      <c r="C447" s="2">
        <v>619535089</v>
      </c>
      <c r="D447" s="2" t="inlineStr">
        <is>
          <t>420611</t>
        </is>
      </c>
      <c r="E447" s="2" t="inlineStr">
        <is>
          <t>2047325558913</t>
        </is>
      </c>
      <c r="F447" s="2">
        <v>1</v>
      </c>
      <c r="G447" s="2">
        <v>0</v>
      </c>
      <c r="H447" s="2">
        <v>999</v>
      </c>
      <c r="I447" s="2" t="inlineStr">
        <is>
          <t>6276</t>
        </is>
      </c>
      <c r="J447" s="4"/>
      <c r="K447" s="2">
        <v>81</v>
      </c>
      <c r="L447" s="6"/>
      <c r="M447" s="2" t="str">
        <f>IF(J447="",ROUND(I447*(1-IF(ISBLANK(L447),K447,L447)/100),2),ROUND(J447*(1-IF(ISBLANK(L447),K447,L447)/100),2))</f>
      </c>
      <c r="N447" s="7" t="str">
        <f>IF(NOT(AND(J447="",L447="")),IF(OR(AND(L447&lt;&gt;"",NOT(ISNUMBER(L447))),IFERROR(MOD(L447,1),1)&gt;0,AND(ISNUMBER(L447),OR(L447&lt;0,L447&gt;95))),"Введите целое число от 0 до 95",IF(OR(AND(J447&lt;&gt;"",NOT(ISNUMBER(J447))),IFERROR(MOD(J447,1),1)&gt;0,AND(ISNUMBER(J447),OR(J447&lt;50,J447&gt;20000000))),"Введите целое число от 50 до 20000000",IF(NOT(ABS(IFERROR(VALUE(LEFT(M447,FIND("-",M447)-1)),M447)*100-(2500+2000000000)/2)&lt;=ABS(2500-2000000000)/2),"Цена со скидкой должна быть от 25 до 20000000",IF(AND(IFERROR(VALUE(LEFT(M447,FIND("-",M447)-1)),M447)*150&lt;=119243,IFERROR(VALUE(LEFT(M447,FIND("-",M447)-1)),M447)*200&gt;119243),"Вы уменьшили цену в несколько раз, товар попадет в карантин цен",IF(IFERROR(VALUE(LEFT(M447,FIND("-",M447)-1)),M447)*200&lt;=119243,"Не сохранили изменения, чтобы защитить от ошибки — новые цены меньше текущих более чем в 2 раза. Снижайте их постепенно",IF(AND(IFERROR(VALUE(I447),0)=0,ISNUMBER(J447),OR(J447&lt;491,ABS(IFERROR(VALUE(LEFT(M447,FIND("-",M447)-1)),M447))*100&lt;49100)),"Проверьте цену товара. Большинство товаров в выбранной категории стоят дороже 491","")))))),"")</f>
      </c>
    </row>
    <row r="448">
      <c r="A448" s="2" t="inlineStr">
        <is>
          <t>Luxaro</t>
        </is>
      </c>
      <c r="B448" s="2" t="inlineStr">
        <is>
          <t>Тарелки</t>
        </is>
      </c>
      <c r="C448" s="2">
        <v>866577340</v>
      </c>
      <c r="D448" s="2" t="inlineStr">
        <is>
          <t>14005</t>
        </is>
      </c>
      <c r="E448" s="2" t="inlineStr">
        <is>
          <t>2049459720419</t>
        </is>
      </c>
      <c r="F448" s="2">
        <v>0</v>
      </c>
      <c r="G448" s="2">
        <v>1</v>
      </c>
      <c r="H448" s="2">
        <v>10</v>
      </c>
      <c r="I448" s="2" t="inlineStr">
        <is>
          <t>5632</t>
        </is>
      </c>
      <c r="J448" s="4"/>
      <c r="K448" s="2">
        <v>72</v>
      </c>
      <c r="L448" s="6"/>
      <c r="M448" s="2" t="str">
        <f>IF(J448="",ROUND(I448*(1-IF(ISBLANK(L448),K448,L448)/100),2),ROUND(J448*(1-IF(ISBLANK(L448),K448,L448)/100),2))</f>
      </c>
      <c r="N448" s="7" t="str">
        <f>IF(NOT(AND(J448="",L448="")),IF(OR(AND(L448&lt;&gt;"",NOT(ISNUMBER(L448))),IFERROR(MOD(L448,1),1)&gt;0,AND(ISNUMBER(L448),OR(L448&lt;0,L448&gt;95))),"Введите целое число от 0 до 95",IF(OR(AND(J448&lt;&gt;"",NOT(ISNUMBER(J448))),IFERROR(MOD(J448,1),1)&gt;0,AND(ISNUMBER(J448),OR(J448&lt;50,J448&gt;20000000))),"Введите целое число от 50 до 20000000",IF(NOT(ABS(IFERROR(VALUE(LEFT(M448,FIND("-",M448)-1)),M448)*100-(2500+2000000000)/2)&lt;=ABS(2500-2000000000)/2),"Цена со скидкой должна быть от 25 до 20000000",IF(AND(IFERROR(VALUE(LEFT(M448,FIND("-",M448)-1)),M448)*150&lt;=157696,IFERROR(VALUE(LEFT(M448,FIND("-",M448)-1)),M448)*200&gt;157696),"Вы уменьшили цену в несколько раз, товар попадет в карантин цен",IF(IFERROR(VALUE(LEFT(M448,FIND("-",M448)-1)),M448)*200&lt;=157696,"Не сохранили изменения, чтобы защитить от ошибки — новые цены меньше текущих более чем в 2 раза. Снижайте их постепенно",IF(AND(IFERROR(VALUE(I448),0)=0,ISNUMBER(J448),OR(J448&lt;413,ABS(IFERROR(VALUE(LEFT(M448,FIND("-",M448)-1)),M448))*100&lt;41300)),"Проверьте цену товара. Большинство товаров в выбранной категории стоят дороже 413","")))))),"")</f>
      </c>
    </row>
    <row r="449">
      <c r="A449" s="2" t="inlineStr">
        <is>
          <t/>
        </is>
      </c>
      <c r="B449" s="2" t="inlineStr">
        <is>
          <t>Ножи кухонные</t>
        </is>
      </c>
      <c r="C449" s="2">
        <v>600639368</v>
      </c>
      <c r="D449" s="2" t="inlineStr">
        <is>
          <t>821567</t>
        </is>
      </c>
      <c r="E449" s="2" t="inlineStr">
        <is>
          <t>2047129194638</t>
        </is>
      </c>
      <c r="F449" s="2">
        <v>0</v>
      </c>
      <c r="G449" s="2">
        <v>0</v>
      </c>
      <c r="H449" s="2" t="inlineStr">
        <is>
          <t/>
        </is>
      </c>
      <c r="I449" s="2" t="inlineStr">
        <is>
          <t>28341</t>
        </is>
      </c>
      <c r="J449" s="4"/>
      <c r="K449" s="2">
        <v>76</v>
      </c>
      <c r="L449" s="6"/>
      <c r="M449" s="2" t="str">
        <f>IF(J449="",ROUND(I449*(1-IF(ISBLANK(L449),K449,L449)/100),2),ROUND(J449*(1-IF(ISBLANK(L449),K449,L449)/100),2))</f>
      </c>
      <c r="N449" s="7" t="str">
        <f>IF(NOT(AND(J449="",L449="")),IF(OR(AND(L449&lt;&gt;"",NOT(ISNUMBER(L449))),IFERROR(MOD(L449,1),1)&gt;0,AND(ISNUMBER(L449),OR(L449&lt;0,L449&gt;95))),"Введите целое число от 0 до 95",IF(OR(AND(J449&lt;&gt;"",NOT(ISNUMBER(J449))),IFERROR(MOD(J449,1),1)&gt;0,AND(ISNUMBER(J449),OR(J449&lt;50,J449&gt;20000000))),"Введите целое число от 50 до 20000000",IF(NOT(ABS(IFERROR(VALUE(LEFT(M449,FIND("-",M449)-1)),M449)*100-(2500+2000000000)/2)&lt;=ABS(2500-2000000000)/2),"Цена со скидкой должна быть от 25 до 20000000",IF(AND(IFERROR(VALUE(LEFT(M449,FIND("-",M449)-1)),M449)*150&lt;=680184,IFERROR(VALUE(LEFT(M449,FIND("-",M449)-1)),M449)*200&gt;680184),"Вы уменьшили цену в несколько раз, товар попадет в карантин цен",IF(IFERROR(VALUE(LEFT(M449,FIND("-",M449)-1)),M449)*200&lt;=680184,"Не сохранили изменения, чтобы защитить от ошибки — новые цены меньше текущих более чем в 2 раза. Снижайте их постепенно",IF(AND(IFERROR(VALUE(I449),0)=0,ISNUMBER(J449),OR(J449&lt;318,ABS(IFERROR(VALUE(LEFT(M449,FIND("-",M449)-1)),M449))*100&lt;31800)),"Проверьте цену товара. Большинство товаров в выбранной категории стоят дороже 318","")))))),"")</f>
      </c>
    </row>
    <row r="450">
      <c r="A450" s="2" t="inlineStr">
        <is>
          <t/>
        </is>
      </c>
      <c r="B450" s="2" t="inlineStr">
        <is>
          <t>Наборы кухонных принадлежностей</t>
        </is>
      </c>
      <c r="C450" s="2">
        <v>600639305</v>
      </c>
      <c r="D450" s="2" t="inlineStr">
        <is>
          <t>821569</t>
        </is>
      </c>
      <c r="E450" s="2" t="inlineStr">
        <is>
          <t>2047129194430</t>
        </is>
      </c>
      <c r="F450" s="2">
        <v>0</v>
      </c>
      <c r="G450" s="2">
        <v>0</v>
      </c>
      <c r="H450" s="2">
        <v>10</v>
      </c>
      <c r="I450" s="2" t="inlineStr">
        <is>
          <t>15244</t>
        </is>
      </c>
      <c r="J450" s="4"/>
      <c r="K450" s="2">
        <v>76</v>
      </c>
      <c r="L450" s="6"/>
      <c r="M450" s="2" t="str">
        <f>IF(J450="",ROUND(I450*(1-IF(ISBLANK(L450),K450,L450)/100),2),ROUND(J450*(1-IF(ISBLANK(L450),K450,L450)/100),2))</f>
      </c>
      <c r="N450" s="7" t="str">
        <f>IF(NOT(AND(J450="",L450="")),IF(OR(AND(L450&lt;&gt;"",NOT(ISNUMBER(L450))),IFERROR(MOD(L450,1),1)&gt;0,AND(ISNUMBER(L450),OR(L450&lt;0,L450&gt;95))),"Введите целое число от 0 до 95",IF(OR(AND(J450&lt;&gt;"",NOT(ISNUMBER(J450))),IFERROR(MOD(J450,1),1)&gt;0,AND(ISNUMBER(J450),OR(J450&lt;50,J450&gt;20000000))),"Введите целое число от 50 до 20000000",IF(NOT(ABS(IFERROR(VALUE(LEFT(M450,FIND("-",M450)-1)),M450)*100-(2500+2000000000)/2)&lt;=ABS(2500-2000000000)/2),"Цена со скидкой должна быть от 25 до 20000000",IF(AND(IFERROR(VALUE(LEFT(M450,FIND("-",M450)-1)),M450)*150&lt;=365856,IFERROR(VALUE(LEFT(M450,FIND("-",M450)-1)),M450)*200&gt;365856),"Вы уменьшили цену в несколько раз, товар попадет в карантин цен",IF(IFERROR(VALUE(LEFT(M450,FIND("-",M450)-1)),M450)*200&lt;=365856,"Не сохранили изменения, чтобы защитить от ошибки — новые цены меньше текущих более чем в 2 раза. Снижайте их постепенно",IF(AND(IFERROR(VALUE(I450),0)=0,ISNUMBER(J450),OR(J450&lt;396,ABS(IFERROR(VALUE(LEFT(M450,FIND("-",M450)-1)),M450))*100&lt;39600)),"Проверьте цену товара. Большинство товаров в выбранной категории стоят дороже 396","")))))),"")</f>
      </c>
    </row>
    <row r="451">
      <c r="A451" s="2" t="inlineStr">
        <is>
          <t/>
        </is>
      </c>
      <c r="B451" s="2" t="inlineStr">
        <is>
          <t>Гирлянды интерьерные</t>
        </is>
      </c>
      <c r="C451" s="2">
        <v>616141940</v>
      </c>
      <c r="D451" s="2" t="inlineStr">
        <is>
          <t>992525</t>
        </is>
      </c>
      <c r="E451" s="2" t="inlineStr">
        <is>
          <t>2047285724533</t>
        </is>
      </c>
      <c r="F451" s="2">
        <v>10</v>
      </c>
      <c r="G451" s="2">
        <v>0</v>
      </c>
      <c r="H451" s="2">
        <v>999</v>
      </c>
      <c r="I451" s="2" t="inlineStr">
        <is>
          <t>1588</t>
        </is>
      </c>
      <c r="J451" s="4"/>
      <c r="K451" s="2">
        <v>80</v>
      </c>
      <c r="L451" s="6"/>
      <c r="M451" s="2" t="str">
        <f>IF(J451="",ROUND(I451*(1-IF(ISBLANK(L451),K451,L451)/100),2),ROUND(J451*(1-IF(ISBLANK(L451),K451,L451)/100),2))</f>
      </c>
      <c r="N451" s="7" t="str">
        <f>IF(NOT(AND(J451="",L451="")),IF(OR(AND(L451&lt;&gt;"",NOT(ISNUMBER(L451))),IFERROR(MOD(L451,1),1)&gt;0,AND(ISNUMBER(L451),OR(L451&lt;0,L451&gt;95))),"Введите целое число от 0 до 95",IF(OR(AND(J451&lt;&gt;"",NOT(ISNUMBER(J451))),IFERROR(MOD(J451,1),1)&gt;0,AND(ISNUMBER(J451),OR(J451&lt;50,J451&gt;20000000))),"Введите целое число от 50 до 20000000",IF(NOT(ABS(IFERROR(VALUE(LEFT(M451,FIND("-",M451)-1)),M451)*100-(2500+2000000000)/2)&lt;=ABS(2500-2000000000)/2),"Цена со скидкой должна быть от 25 до 20000000",IF(AND(IFERROR(VALUE(LEFT(M451,FIND("-",M451)-1)),M451)*150&lt;=31759,IFERROR(VALUE(LEFT(M451,FIND("-",M451)-1)),M451)*200&gt;31759),"Вы уменьшили цену в несколько раз, товар попадет в карантин цен",IF(IFERROR(VALUE(LEFT(M451,FIND("-",M451)-1)),M451)*200&lt;=31759,"Не сохранили изменения, чтобы защитить от ошибки — новые цены меньше текущих более чем в 2 раза. Снижайте их постепенно",IF(AND(IFERROR(VALUE(I451),0)=0,ISNUMBER(J451),OR(J451&lt;261,ABS(IFERROR(VALUE(LEFT(M451,FIND("-",M451)-1)),M451))*100&lt;26100)),"Проверьте цену товара. Большинство товаров в выбранной категории стоят дороже 261","")))))),"")</f>
      </c>
    </row>
    <row r="452">
      <c r="A452" s="2" t="inlineStr">
        <is>
          <t/>
        </is>
      </c>
      <c r="B452" s="2" t="inlineStr">
        <is>
          <t>Фруктовницы</t>
        </is>
      </c>
      <c r="C452" s="2">
        <v>729467939</v>
      </c>
      <c r="D452" s="2" t="inlineStr">
        <is>
          <t>074091</t>
        </is>
      </c>
      <c r="E452" s="2" t="inlineStr">
        <is>
          <t>2048082442750</t>
        </is>
      </c>
      <c r="F452" s="2">
        <v>0</v>
      </c>
      <c r="G452" s="2">
        <v>5</v>
      </c>
      <c r="H452" s="2" t="inlineStr">
        <is>
          <t/>
        </is>
      </c>
      <c r="I452" s="2" t="inlineStr">
        <is>
          <t>0</t>
        </is>
      </c>
      <c r="J452" s="4"/>
      <c r="K452" s="2">
        <v>0</v>
      </c>
      <c r="L452" s="6"/>
      <c r="M452" s="2" t="str">
        <f>IF(J452="",ROUND(I452*(1-IF(ISBLANK(L452),K452,L452)/100),2),ROUND(J452*(1-IF(ISBLANK(L452),K452,L452)/100),2))</f>
      </c>
      <c r="N452" s="7" t="str">
        <f>IF(NOT(AND(J452="",L452="")),IF(OR(AND(L452&lt;&gt;"",NOT(ISNUMBER(L452))),IFERROR(MOD(L452,1),1)&gt;0,AND(ISNUMBER(L452),OR(L452&lt;0,L452&gt;95))),"Введите целое число от 0 до 95",IF(OR(AND(J452&lt;&gt;"",NOT(ISNUMBER(J452))),IFERROR(MOD(J452,1),1)&gt;0,AND(ISNUMBER(J452),OR(J452&lt;50,J452&gt;20000000))),"Введите целое число от 50 до 20000000",IF(NOT(ABS(IFERROR(VALUE(LEFT(M452,FIND("-",M452)-1)),M452)*100-(2500+2000000000)/2)&lt;=ABS(2500-2000000000)/2),"Цена со скидкой должна быть от 25 до 20000000",IF(AND(IFERROR(VALUE(LEFT(M452,FIND("-",M452)-1)),M452)*150&lt;=0,IFERROR(VALUE(LEFT(M452,FIND("-",M452)-1)),M452)*200&gt;0),"Вы уменьшили цену в несколько раз, товар попадет в карантин цен",IF(IFERROR(VALUE(LEFT(M452,FIND("-",M452)-1)),M452)*200&lt;=0,"Не сохранили изменения, чтобы защитить от ошибки — новые цены меньше текущих более чем в 2 раза. Снижайте их постепенно",IF(AND(IFERROR(VALUE(I452),0)=0,ISNUMBER(J452),OR(J452&lt;286,ABS(IFERROR(VALUE(LEFT(M452,FIND("-",M452)-1)),M452))*100&lt;28600)),"Проверьте цену товара. Большинство товаров в выбранной категории стоят дороже 286","")))))),"")</f>
      </c>
    </row>
    <row r="453">
      <c r="A453" s="2" t="inlineStr">
        <is>
          <t/>
        </is>
      </c>
      <c r="B453" s="2" t="inlineStr">
        <is>
          <t>Наборы кухонных принадлежностей</t>
        </is>
      </c>
      <c r="C453" s="2">
        <v>600639312</v>
      </c>
      <c r="D453" s="2" t="inlineStr">
        <is>
          <t>513419</t>
        </is>
      </c>
      <c r="E453" s="2" t="inlineStr">
        <is>
          <t>2047129194492</t>
        </is>
      </c>
      <c r="F453" s="2">
        <v>15</v>
      </c>
      <c r="G453" s="2">
        <v>0</v>
      </c>
      <c r="H453" s="2">
        <v>999</v>
      </c>
      <c r="I453" s="2" t="inlineStr">
        <is>
          <t>9756</t>
        </is>
      </c>
      <c r="J453" s="4"/>
      <c r="K453" s="2">
        <v>80</v>
      </c>
      <c r="L453" s="6"/>
      <c r="M453" s="2" t="str">
        <f>IF(J453="",ROUND(I453*(1-IF(ISBLANK(L453),K453,L453)/100),2),ROUND(J453*(1-IF(ISBLANK(L453),K453,L453)/100),2))</f>
      </c>
      <c r="N453" s="7" t="str">
        <f>IF(NOT(AND(J453="",L453="")),IF(OR(AND(L453&lt;&gt;"",NOT(ISNUMBER(L453))),IFERROR(MOD(L453,1),1)&gt;0,AND(ISNUMBER(L453),OR(L453&lt;0,L453&gt;95))),"Введите целое число от 0 до 95",IF(OR(AND(J453&lt;&gt;"",NOT(ISNUMBER(J453))),IFERROR(MOD(J453,1),1)&gt;0,AND(ISNUMBER(J453),OR(J453&lt;50,J453&gt;20000000))),"Введите целое число от 50 до 20000000",IF(NOT(ABS(IFERROR(VALUE(LEFT(M453,FIND("-",M453)-1)),M453)*100-(2500+2000000000)/2)&lt;=ABS(2500-2000000000)/2),"Цена со скидкой должна быть от 25 до 20000000",IF(AND(IFERROR(VALUE(LEFT(M453,FIND("-",M453)-1)),M453)*150&lt;=195119,IFERROR(VALUE(LEFT(M453,FIND("-",M453)-1)),M453)*200&gt;195119),"Вы уменьшили цену в несколько раз, товар попадет в карантин цен",IF(IFERROR(VALUE(LEFT(M453,FIND("-",M453)-1)),M453)*200&lt;=195119,"Не сохранили изменения, чтобы защитить от ошибки — новые цены меньше текущих более чем в 2 раза. Снижайте их постепенно",IF(AND(IFERROR(VALUE(I453),0)=0,ISNUMBER(J453),OR(J453&lt;396,ABS(IFERROR(VALUE(LEFT(M453,FIND("-",M453)-1)),M453))*100&lt;39600)),"Проверьте цену товара. Большинство товаров в выбранной категории стоят дороже 396","")))))),"")</f>
      </c>
    </row>
    <row r="454">
      <c r="A454" s="2" t="inlineStr">
        <is>
          <t/>
        </is>
      </c>
      <c r="B454" s="2" t="inlineStr">
        <is>
          <t>Наборы для специй</t>
        </is>
      </c>
      <c r="C454" s="2">
        <v>600645343</v>
      </c>
      <c r="D454" s="2" t="inlineStr">
        <is>
          <t>283439</t>
        </is>
      </c>
      <c r="E454" s="2" t="inlineStr">
        <is>
          <t>2047129195192</t>
        </is>
      </c>
      <c r="F454" s="2">
        <v>0</v>
      </c>
      <c r="G454" s="2">
        <v>0</v>
      </c>
      <c r="H454" s="2" t="inlineStr">
        <is>
          <t/>
        </is>
      </c>
      <c r="I454" s="2" t="inlineStr">
        <is>
          <t>9397</t>
        </is>
      </c>
      <c r="J454" s="4"/>
      <c r="K454" s="2">
        <v>65</v>
      </c>
      <c r="L454" s="6"/>
      <c r="M454" s="2" t="str">
        <f>IF(J454="",ROUND(I454*(1-IF(ISBLANK(L454),K454,L454)/100),2),ROUND(J454*(1-IF(ISBLANK(L454),K454,L454)/100),2))</f>
      </c>
      <c r="N454" s="7" t="str">
        <f>IF(NOT(AND(J454="",L454="")),IF(OR(AND(L454&lt;&gt;"",NOT(ISNUMBER(L454))),IFERROR(MOD(L454,1),1)&gt;0,AND(ISNUMBER(L454),OR(L454&lt;0,L454&gt;95))),"Введите целое число от 0 до 95",IF(OR(AND(J454&lt;&gt;"",NOT(ISNUMBER(J454))),IFERROR(MOD(J454,1),1)&gt;0,AND(ISNUMBER(J454),OR(J454&lt;50,J454&gt;20000000))),"Введите целое число от 50 до 20000000",IF(NOT(ABS(IFERROR(VALUE(LEFT(M454,FIND("-",M454)-1)),M454)*100-(2500+2000000000)/2)&lt;=ABS(2500-2000000000)/2),"Цена со скидкой должна быть от 25 до 20000000",IF(AND(IFERROR(VALUE(LEFT(M454,FIND("-",M454)-1)),M454)*150&lt;=328895,IFERROR(VALUE(LEFT(M454,FIND("-",M454)-1)),M454)*200&gt;328895),"Вы уменьшили цену в несколько раз, товар попадет в карантин цен",IF(IFERROR(VALUE(LEFT(M454,FIND("-",M454)-1)),M454)*200&lt;=328895,"Не сохранили изменения, чтобы защитить от ошибки — новые цены меньше текущих более чем в 2 раза. Снижайте их постепенно",IF(AND(IFERROR(VALUE(I454),0)=0,ISNUMBER(J454),OR(J454&lt;265,ABS(IFERROR(VALUE(LEFT(M454,FIND("-",M454)-1)),M454))*100&lt;26500)),"Проверьте цену товара. Большинство товаров в выбранной категории стоят дороже 265","")))))),"")</f>
      </c>
    </row>
    <row r="455">
      <c r="A455" s="2" t="inlineStr">
        <is>
          <t/>
        </is>
      </c>
      <c r="B455" s="2" t="inlineStr">
        <is>
          <t>Наборы для специй</t>
        </is>
      </c>
      <c r="C455" s="2">
        <v>600645346</v>
      </c>
      <c r="D455" s="2" t="inlineStr">
        <is>
          <t>283442</t>
        </is>
      </c>
      <c r="E455" s="2" t="inlineStr">
        <is>
          <t>2047129195222</t>
        </is>
      </c>
      <c r="F455" s="2">
        <v>2</v>
      </c>
      <c r="G455" s="2">
        <v>0</v>
      </c>
      <c r="H455" s="2">
        <v>999</v>
      </c>
      <c r="I455" s="2" t="inlineStr">
        <is>
          <t>9894</t>
        </is>
      </c>
      <c r="J455" s="4"/>
      <c r="K455" s="2">
        <v>84</v>
      </c>
      <c r="L455" s="6"/>
      <c r="M455" s="2" t="str">
        <f>IF(J455="",ROUND(I455*(1-IF(ISBLANK(L455),K455,L455)/100),2),ROUND(J455*(1-IF(ISBLANK(L455),K455,L455)/100),2))</f>
      </c>
      <c r="N455" s="7" t="str">
        <f>IF(NOT(AND(J455="",L455="")),IF(OR(AND(L455&lt;&gt;"",NOT(ISNUMBER(L455))),IFERROR(MOD(L455,1),1)&gt;0,AND(ISNUMBER(L455),OR(L455&lt;0,L455&gt;95))),"Введите целое число от 0 до 95",IF(OR(AND(J455&lt;&gt;"",NOT(ISNUMBER(J455))),IFERROR(MOD(J455,1),1)&gt;0,AND(ISNUMBER(J455),OR(J455&lt;50,J455&gt;20000000))),"Введите целое число от 50 до 20000000",IF(NOT(ABS(IFERROR(VALUE(LEFT(M455,FIND("-",M455)-1)),M455)*100-(2500+2000000000)/2)&lt;=ABS(2500-2000000000)/2),"Цена со скидкой должна быть от 25 до 20000000",IF(AND(IFERROR(VALUE(LEFT(M455,FIND("-",M455)-1)),M455)*150&lt;=158304,IFERROR(VALUE(LEFT(M455,FIND("-",M455)-1)),M455)*200&gt;158304),"Вы уменьшили цену в несколько раз, товар попадет в карантин цен",IF(IFERROR(VALUE(LEFT(M455,FIND("-",M455)-1)),M455)*200&lt;=158304,"Не сохранили изменения, чтобы защитить от ошибки — новые цены меньше текущих более чем в 2 раза. Снижайте их постепенно",IF(AND(IFERROR(VALUE(I455),0)=0,ISNUMBER(J455),OR(J455&lt;265,ABS(IFERROR(VALUE(LEFT(M455,FIND("-",M455)-1)),M455))*100&lt;26500)),"Проверьте цену товара. Большинство товаров в выбранной категории стоят дороже 265","")))))),"")</f>
      </c>
    </row>
    <row r="456">
      <c r="A456" s="2" t="inlineStr">
        <is>
          <t/>
        </is>
      </c>
      <c r="B456" s="2" t="inlineStr">
        <is>
          <t>Наборы кухонных принадлежностей</t>
        </is>
      </c>
      <c r="C456" s="2">
        <v>600639306</v>
      </c>
      <c r="D456" s="2" t="inlineStr">
        <is>
          <t>82166</t>
        </is>
      </c>
      <c r="E456" s="2" t="inlineStr">
        <is>
          <t>2047129194447</t>
        </is>
      </c>
      <c r="F456" s="2">
        <v>10</v>
      </c>
      <c r="G456" s="2">
        <v>0</v>
      </c>
      <c r="H456" s="2">
        <v>999</v>
      </c>
      <c r="I456" s="2" t="inlineStr">
        <is>
          <t>15908</t>
        </is>
      </c>
      <c r="J456" s="4"/>
      <c r="K456" s="2">
        <v>78</v>
      </c>
      <c r="L456" s="6"/>
      <c r="M456" s="2" t="str">
        <f>IF(J456="",ROUND(I456*(1-IF(ISBLANK(L456),K456,L456)/100),2),ROUND(J456*(1-IF(ISBLANK(L456),K456,L456)/100),2))</f>
      </c>
      <c r="N456" s="7" t="str">
        <f>IF(NOT(AND(J456="",L456="")),IF(OR(AND(L456&lt;&gt;"",NOT(ISNUMBER(L456))),IFERROR(MOD(L456,1),1)&gt;0,AND(ISNUMBER(L456),OR(L456&lt;0,L456&gt;95))),"Введите целое число от 0 до 95",IF(OR(AND(J456&lt;&gt;"",NOT(ISNUMBER(J456))),IFERROR(MOD(J456,1),1)&gt;0,AND(ISNUMBER(J456),OR(J456&lt;50,J456&gt;20000000))),"Введите целое число от 50 до 20000000",IF(NOT(ABS(IFERROR(VALUE(LEFT(M456,FIND("-",M456)-1)),M456)*100-(2500+2000000000)/2)&lt;=ABS(2500-2000000000)/2),"Цена со скидкой должна быть от 25 до 20000000",IF(AND(IFERROR(VALUE(LEFT(M456,FIND("-",M456)-1)),M456)*150&lt;=349976,IFERROR(VALUE(LEFT(M456,FIND("-",M456)-1)),M456)*200&gt;349976),"Вы уменьшили цену в несколько раз, товар попадет в карантин цен",IF(IFERROR(VALUE(LEFT(M456,FIND("-",M456)-1)),M456)*200&lt;=349976,"Не сохранили изменения, чтобы защитить от ошибки — новые цены меньше текущих более чем в 2 раза. Снижайте их постепенно",IF(AND(IFERROR(VALUE(I456),0)=0,ISNUMBER(J456),OR(J456&lt;396,ABS(IFERROR(VALUE(LEFT(M456,FIND("-",M456)-1)),M456))*100&lt;39600)),"Проверьте цену товара. Большинство товаров в выбранной категории стоят дороже 396","")))))),"")</f>
      </c>
    </row>
    <row r="457">
      <c r="A457" s="2" t="inlineStr">
        <is>
          <t/>
        </is>
      </c>
      <c r="B457" s="2" t="inlineStr">
        <is>
          <t>Наборы кухонных принадлежностей</t>
        </is>
      </c>
      <c r="C457" s="2">
        <v>600639308</v>
      </c>
      <c r="D457" s="2" t="inlineStr">
        <is>
          <t>820169</t>
        </is>
      </c>
      <c r="E457" s="2" t="inlineStr">
        <is>
          <t>2047129194461</t>
        </is>
      </c>
      <c r="F457" s="2">
        <v>3</v>
      </c>
      <c r="G457" s="2">
        <v>1</v>
      </c>
      <c r="H457" s="2">
        <v>999</v>
      </c>
      <c r="I457" s="2" t="inlineStr">
        <is>
          <t>17739</t>
        </is>
      </c>
      <c r="J457" s="4"/>
      <c r="K457" s="2">
        <v>79</v>
      </c>
      <c r="L457" s="6"/>
      <c r="M457" s="2" t="str">
        <f>IF(J457="",ROUND(I457*(1-IF(ISBLANK(L457),K457,L457)/100),2),ROUND(J457*(1-IF(ISBLANK(L457),K457,L457)/100),2))</f>
      </c>
      <c r="N457" s="7" t="str">
        <f>IF(NOT(AND(J457="",L457="")),IF(OR(AND(L457&lt;&gt;"",NOT(ISNUMBER(L457))),IFERROR(MOD(L457,1),1)&gt;0,AND(ISNUMBER(L457),OR(L457&lt;0,L457&gt;95))),"Введите целое число от 0 до 95",IF(OR(AND(J457&lt;&gt;"",NOT(ISNUMBER(J457))),IFERROR(MOD(J457,1),1)&gt;0,AND(ISNUMBER(J457),OR(J457&lt;50,J457&gt;20000000))),"Введите целое число от 50 до 20000000",IF(NOT(ABS(IFERROR(VALUE(LEFT(M457,FIND("-",M457)-1)),M457)*100-(2500+2000000000)/2)&lt;=ABS(2500-2000000000)/2),"Цена со скидкой должна быть от 25 до 20000000",IF(AND(IFERROR(VALUE(LEFT(M457,FIND("-",M457)-1)),M457)*150&lt;=372518,IFERROR(VALUE(LEFT(M457,FIND("-",M457)-1)),M457)*200&gt;372518),"Вы уменьшили цену в несколько раз, товар попадет в карантин цен",IF(IFERROR(VALUE(LEFT(M457,FIND("-",M457)-1)),M457)*200&lt;=372518,"Не сохранили изменения, чтобы защитить от ошибки — новые цены меньше текущих более чем в 2 раза. Снижайте их постепенно",IF(AND(IFERROR(VALUE(I457),0)=0,ISNUMBER(J457),OR(J457&lt;396,ABS(IFERROR(VALUE(LEFT(M457,FIND("-",M457)-1)),M457))*100&lt;39600)),"Проверьте цену товара. Большинство товаров в выбранной категории стоят дороже 396","")))))),"")</f>
      </c>
    </row>
    <row r="458">
      <c r="A458" s="2" t="inlineStr">
        <is>
          <t/>
        </is>
      </c>
      <c r="B458" s="2" t="inlineStr">
        <is>
          <t>Наборы кухонных принадлежностей</t>
        </is>
      </c>
      <c r="C458" s="2">
        <v>600639313</v>
      </c>
      <c r="D458" s="2" t="inlineStr">
        <is>
          <t>513420</t>
        </is>
      </c>
      <c r="E458" s="2" t="inlineStr">
        <is>
          <t>2047129194508</t>
        </is>
      </c>
      <c r="F458" s="2">
        <v>0</v>
      </c>
      <c r="G458" s="2">
        <v>0</v>
      </c>
      <c r="H458" s="2">
        <v>1</v>
      </c>
      <c r="I458" s="2" t="inlineStr">
        <is>
          <t>9694</t>
        </is>
      </c>
      <c r="J458" s="4"/>
      <c r="K458" s="2">
        <v>65</v>
      </c>
      <c r="L458" s="6"/>
      <c r="M458" s="2" t="str">
        <f>IF(J458="",ROUND(I458*(1-IF(ISBLANK(L458),K458,L458)/100),2),ROUND(J458*(1-IF(ISBLANK(L458),K458,L458)/100),2))</f>
      </c>
      <c r="N458" s="7" t="str">
        <f>IF(NOT(AND(J458="",L458="")),IF(OR(AND(L458&lt;&gt;"",NOT(ISNUMBER(L458))),IFERROR(MOD(L458,1),1)&gt;0,AND(ISNUMBER(L458),OR(L458&lt;0,L458&gt;95))),"Введите целое число от 0 до 95",IF(OR(AND(J458&lt;&gt;"",NOT(ISNUMBER(J458))),IFERROR(MOD(J458,1),1)&gt;0,AND(ISNUMBER(J458),OR(J458&lt;50,J458&gt;20000000))),"Введите целое число от 50 до 20000000",IF(NOT(ABS(IFERROR(VALUE(LEFT(M458,FIND("-",M458)-1)),M458)*100-(2500+2000000000)/2)&lt;=ABS(2500-2000000000)/2),"Цена со скидкой должна быть от 25 до 20000000",IF(AND(IFERROR(VALUE(LEFT(M458,FIND("-",M458)-1)),M458)*150&lt;=339289,IFERROR(VALUE(LEFT(M458,FIND("-",M458)-1)),M458)*200&gt;339289),"Вы уменьшили цену в несколько раз, товар попадет в карантин цен",IF(IFERROR(VALUE(LEFT(M458,FIND("-",M458)-1)),M458)*200&lt;=339289,"Не сохранили изменения, чтобы защитить от ошибки — новые цены меньше текущих более чем в 2 раза. Снижайте их постепенно",IF(AND(IFERROR(VALUE(I458),0)=0,ISNUMBER(J458),OR(J458&lt;396,ABS(IFERROR(VALUE(LEFT(M458,FIND("-",M458)-1)),M458))*100&lt;39600)),"Проверьте цену товара. Большинство товаров в выбранной категории стоят дороже 396","")))))),"")</f>
      </c>
    </row>
    <row r="459">
      <c r="A459" s="2" t="inlineStr">
        <is>
          <t/>
        </is>
      </c>
      <c r="B459" s="2" t="inlineStr">
        <is>
          <t>Кастрюли</t>
        </is>
      </c>
      <c r="C459" s="2">
        <v>729145136</v>
      </c>
      <c r="D459" s="2" t="inlineStr">
        <is>
          <t>821198</t>
        </is>
      </c>
      <c r="E459" s="2" t="inlineStr">
        <is>
          <t>2048079111485</t>
        </is>
      </c>
      <c r="F459" s="2">
        <v>0</v>
      </c>
      <c r="G459" s="2">
        <v>2</v>
      </c>
      <c r="H459" s="2" t="inlineStr">
        <is>
          <t/>
        </is>
      </c>
      <c r="I459" s="2" t="inlineStr">
        <is>
          <t>49566</t>
        </is>
      </c>
      <c r="J459" s="4"/>
      <c r="K459" s="2">
        <v>80</v>
      </c>
      <c r="L459" s="6"/>
      <c r="M459" s="2" t="str">
        <f>IF(J459="",ROUND(I459*(1-IF(ISBLANK(L459),K459,L459)/100),2),ROUND(J459*(1-IF(ISBLANK(L459),K459,L459)/100),2))</f>
      </c>
      <c r="N459" s="7" t="str">
        <f>IF(NOT(AND(J459="",L459="")),IF(OR(AND(L459&lt;&gt;"",NOT(ISNUMBER(L459))),IFERROR(MOD(L459,1),1)&gt;0,AND(ISNUMBER(L459),OR(L459&lt;0,L459&gt;95))),"Введите целое число от 0 до 95",IF(OR(AND(J459&lt;&gt;"",NOT(ISNUMBER(J459))),IFERROR(MOD(J459,1),1)&gt;0,AND(ISNUMBER(J459),OR(J459&lt;50,J459&gt;20000000))),"Введите целое число от 50 до 20000000",IF(NOT(ABS(IFERROR(VALUE(LEFT(M459,FIND("-",M459)-1)),M459)*100-(2500+2000000000)/2)&lt;=ABS(2500-2000000000)/2),"Цена со скидкой должна быть от 25 до 20000000",IF(AND(IFERROR(VALUE(LEFT(M459,FIND("-",M459)-1)),M459)*150&lt;=991319,IFERROR(VALUE(LEFT(M459,FIND("-",M459)-1)),M459)*200&gt;991319),"Вы уменьшили цену в несколько раз, товар попадет в карантин цен",IF(IFERROR(VALUE(LEFT(M459,FIND("-",M459)-1)),M459)*200&lt;=991319,"Не сохранили изменения, чтобы защитить от ошибки — новые цены меньше текущих более чем в 2 раза. Снижайте их постепенно",IF(AND(IFERROR(VALUE(I459),0)=0,ISNUMBER(J459),OR(J459&lt;523,ABS(IFERROR(VALUE(LEFT(M459,FIND("-",M459)-1)),M459))*100&lt;52300)),"Проверьте цену товара. Большинство товаров в выбранной категории стоят дороже 523","")))))),"")</f>
      </c>
    </row>
    <row r="460">
      <c r="A460" s="2" t="inlineStr">
        <is>
          <t/>
        </is>
      </c>
      <c r="B460" s="2" t="inlineStr">
        <is>
          <t>Кофемолки электрические</t>
        </is>
      </c>
      <c r="C460" s="2">
        <v>603734238</v>
      </c>
      <c r="D460" s="2" t="inlineStr">
        <is>
          <t>192605</t>
        </is>
      </c>
      <c r="E460" s="2" t="inlineStr">
        <is>
          <t>2047147962172</t>
        </is>
      </c>
      <c r="F460" s="2">
        <v>0</v>
      </c>
      <c r="G460" s="2">
        <v>8</v>
      </c>
      <c r="H460" s="2" t="inlineStr">
        <is>
          <t/>
        </is>
      </c>
      <c r="I460" s="2" t="inlineStr">
        <is>
          <t>8524</t>
        </is>
      </c>
      <c r="J460" s="4"/>
      <c r="K460" s="2">
        <v>78</v>
      </c>
      <c r="L460" s="6"/>
      <c r="M460" s="2" t="str">
        <f>IF(J460="",ROUND(I460*(1-IF(ISBLANK(L460),K460,L460)/100),2),ROUND(J460*(1-IF(ISBLANK(L460),K460,L460)/100),2))</f>
      </c>
      <c r="N460" s="7" t="str">
        <f>IF(NOT(AND(J460="",L460="")),IF(OR(AND(L460&lt;&gt;"",NOT(ISNUMBER(L460))),IFERROR(MOD(L460,1),1)&gt;0,AND(ISNUMBER(L460),OR(L460&lt;0,L460&gt;95))),"Введите целое число от 0 до 95",IF(OR(AND(J460&lt;&gt;"",NOT(ISNUMBER(J460))),IFERROR(MOD(J460,1),1)&gt;0,AND(ISNUMBER(J460),OR(J460&lt;50,J460&gt;20000000))),"Введите целое число от 50 до 20000000",IF(NOT(ABS(IFERROR(VALUE(LEFT(M460,FIND("-",M460)-1)),M460)*100-(2500+2000000000)/2)&lt;=ABS(2500-2000000000)/2),"Цена со скидкой должна быть от 25 до 20000000",IF(AND(IFERROR(VALUE(LEFT(M460,FIND("-",M460)-1)),M460)*150&lt;=187527,IFERROR(VALUE(LEFT(M460,FIND("-",M460)-1)),M460)*200&gt;187527),"Вы уменьшили цену в несколько раз, товар попадет в карантин цен",IF(IFERROR(VALUE(LEFT(M460,FIND("-",M460)-1)),M460)*200&lt;=187527,"Не сохранили изменения, чтобы защитить от ошибки — новые цены меньше текущих более чем в 2 раза. Снижайте их постепенно",IF(AND(IFERROR(VALUE(I460),0)=0,ISNUMBER(J460),OR(J460&lt;291,ABS(IFERROR(VALUE(LEFT(M460,FIND("-",M460)-1)),M460))*100&lt;29100)),"Проверьте цену товара. Большинство товаров в выбранной категории стоят дороже 291","")))))),"")</f>
      </c>
    </row>
    <row r="461">
      <c r="A461" s="2" t="inlineStr">
        <is>
          <t/>
        </is>
      </c>
      <c r="B461" s="2" t="inlineStr">
        <is>
          <t>Кастрюли</t>
        </is>
      </c>
      <c r="C461" s="2">
        <v>729145120</v>
      </c>
      <c r="D461" s="2" t="inlineStr">
        <is>
          <t>821526</t>
        </is>
      </c>
      <c r="E461" s="2" t="inlineStr">
        <is>
          <t>2048079111287</t>
        </is>
      </c>
      <c r="F461" s="2">
        <v>2</v>
      </c>
      <c r="G461" s="2">
        <v>0</v>
      </c>
      <c r="H461" s="2">
        <v>999</v>
      </c>
      <c r="I461" s="2" t="inlineStr">
        <is>
          <t>39074</t>
        </is>
      </c>
      <c r="J461" s="4"/>
      <c r="K461" s="2">
        <v>81</v>
      </c>
      <c r="L461" s="6"/>
      <c r="M461" s="2" t="str">
        <f>IF(J461="",ROUND(I461*(1-IF(ISBLANK(L461),K461,L461)/100),2),ROUND(J461*(1-IF(ISBLANK(L461),K461,L461)/100),2))</f>
      </c>
      <c r="N461" s="7" t="str">
        <f>IF(NOT(AND(J461="",L461="")),IF(OR(AND(L461&lt;&gt;"",NOT(ISNUMBER(L461))),IFERROR(MOD(L461,1),1)&gt;0,AND(ISNUMBER(L461),OR(L461&lt;0,L461&gt;95))),"Введите целое число от 0 до 95",IF(OR(AND(J461&lt;&gt;"",NOT(ISNUMBER(J461))),IFERROR(MOD(J461,1),1)&gt;0,AND(ISNUMBER(J461),OR(J461&lt;50,J461&gt;20000000))),"Введите целое число от 50 до 20000000",IF(NOT(ABS(IFERROR(VALUE(LEFT(M461,FIND("-",M461)-1)),M461)*100-(2500+2000000000)/2)&lt;=ABS(2500-2000000000)/2),"Цена со скидкой должна быть от 25 до 20000000",IF(AND(IFERROR(VALUE(LEFT(M461,FIND("-",M461)-1)),M461)*150&lt;=742405,IFERROR(VALUE(LEFT(M461,FIND("-",M461)-1)),M461)*200&gt;742405),"Вы уменьшили цену в несколько раз, товар попадет в карантин цен",IF(IFERROR(VALUE(LEFT(M461,FIND("-",M461)-1)),M461)*200&lt;=742405,"Не сохранили изменения, чтобы защитить от ошибки — новые цены меньше текущих более чем в 2 раза. Снижайте их постепенно",IF(AND(IFERROR(VALUE(I461),0)=0,ISNUMBER(J461),OR(J461&lt;523,ABS(IFERROR(VALUE(LEFT(M461,FIND("-",M461)-1)),M461))*100&lt;52300)),"Проверьте цену товара. Большинство товаров в выбранной категории стоят дороже 523","")))))),"")</f>
      </c>
    </row>
    <row r="462">
      <c r="A462" s="2" t="inlineStr">
        <is>
          <t/>
        </is>
      </c>
      <c r="B462" s="2" t="inlineStr">
        <is>
          <t>Кофеварки</t>
        </is>
      </c>
      <c r="C462" s="2">
        <v>603750037</v>
      </c>
      <c r="D462" s="2" t="inlineStr">
        <is>
          <t>191214</t>
        </is>
      </c>
      <c r="E462" s="2" t="inlineStr">
        <is>
          <t>2047148141880</t>
        </is>
      </c>
      <c r="F462" s="2">
        <v>0</v>
      </c>
      <c r="G462" s="2">
        <v>0</v>
      </c>
      <c r="H462" s="2" t="inlineStr">
        <is>
          <t/>
        </is>
      </c>
      <c r="I462" s="2" t="inlineStr">
        <is>
          <t>15668</t>
        </is>
      </c>
      <c r="J462" s="4"/>
      <c r="K462" s="2">
        <v>78</v>
      </c>
      <c r="L462" s="6"/>
      <c r="M462" s="2" t="str">
        <f>IF(J462="",ROUND(I462*(1-IF(ISBLANK(L462),K462,L462)/100),2),ROUND(J462*(1-IF(ISBLANK(L462),K462,L462)/100),2))</f>
      </c>
      <c r="N462" s="7" t="str">
        <f>IF(NOT(AND(J462="",L462="")),IF(OR(AND(L462&lt;&gt;"",NOT(ISNUMBER(L462))),IFERROR(MOD(L462,1),1)&gt;0,AND(ISNUMBER(L462),OR(L462&lt;0,L462&gt;95))),"Введите целое число от 0 до 95",IF(OR(AND(J462&lt;&gt;"",NOT(ISNUMBER(J462))),IFERROR(MOD(J462,1),1)&gt;0,AND(ISNUMBER(J462),OR(J462&lt;50,J462&gt;20000000))),"Введите целое число от 50 до 20000000",IF(NOT(ABS(IFERROR(VALUE(LEFT(M462,FIND("-",M462)-1)),M462)*100-(2500+2000000000)/2)&lt;=ABS(2500-2000000000)/2),"Цена со скидкой должна быть от 25 до 20000000",IF(AND(IFERROR(VALUE(LEFT(M462,FIND("-",M462)-1)),M462)*150&lt;=344695,IFERROR(VALUE(LEFT(M462,FIND("-",M462)-1)),M462)*200&gt;344695),"Вы уменьшили цену в несколько раз, товар попадет в карантин цен",IF(IFERROR(VALUE(LEFT(M462,FIND("-",M462)-1)),M462)*200&lt;=344695,"Не сохранили изменения, чтобы защитить от ошибки — новые цены меньше текущих более чем в 2 раза. Снижайте их постепенно",IF(AND(IFERROR(VALUE(I462),0)=0,ISNUMBER(J462),OR(J462&lt;473,ABS(IFERROR(VALUE(LEFT(M462,FIND("-",M462)-1)),M462))*100&lt;47300)),"Проверьте цену товара. Большинство товаров в выбранной категории стоят дороже 473","")))))),"")</f>
      </c>
    </row>
    <row r="463">
      <c r="A463" s="2" t="inlineStr">
        <is>
          <t/>
        </is>
      </c>
      <c r="B463" s="2" t="inlineStr">
        <is>
          <t>Кофеварки</t>
        </is>
      </c>
      <c r="C463" s="2">
        <v>603750038</v>
      </c>
      <c r="D463" s="2" t="inlineStr">
        <is>
          <t>192626</t>
        </is>
      </c>
      <c r="E463" s="2" t="inlineStr">
        <is>
          <t>2047148141903</t>
        </is>
      </c>
      <c r="F463" s="2">
        <v>0</v>
      </c>
      <c r="G463" s="2">
        <v>0</v>
      </c>
      <c r="H463" s="2">
        <v>999</v>
      </c>
      <c r="I463" s="2" t="inlineStr">
        <is>
          <t>6127</t>
        </is>
      </c>
      <c r="J463" s="4"/>
      <c r="K463" s="2">
        <v>65</v>
      </c>
      <c r="L463" s="6"/>
      <c r="M463" s="2" t="str">
        <f>IF(J463="",ROUND(I463*(1-IF(ISBLANK(L463),K463,L463)/100),2),ROUND(J463*(1-IF(ISBLANK(L463),K463,L463)/100),2))</f>
      </c>
      <c r="N463" s="7" t="str">
        <f>IF(NOT(AND(J463="",L463="")),IF(OR(AND(L463&lt;&gt;"",NOT(ISNUMBER(L463))),IFERROR(MOD(L463,1),1)&gt;0,AND(ISNUMBER(L463),OR(L463&lt;0,L463&gt;95))),"Введите целое число от 0 до 95",IF(OR(AND(J463&lt;&gt;"",NOT(ISNUMBER(J463))),IFERROR(MOD(J463,1),1)&gt;0,AND(ISNUMBER(J463),OR(J463&lt;50,J463&gt;20000000))),"Введите целое число от 50 до 20000000",IF(NOT(ABS(IFERROR(VALUE(LEFT(M463,FIND("-",M463)-1)),M463)*100-(2500+2000000000)/2)&lt;=ABS(2500-2000000000)/2),"Цена со скидкой должна быть от 25 до 20000000",IF(AND(IFERROR(VALUE(LEFT(M463,FIND("-",M463)-1)),M463)*150&lt;=214444,IFERROR(VALUE(LEFT(M463,FIND("-",M463)-1)),M463)*200&gt;214444),"Вы уменьшили цену в несколько раз, товар попадет в карантин цен",IF(IFERROR(VALUE(LEFT(M463,FIND("-",M463)-1)),M463)*200&lt;=214444,"Не сохранили изменения, чтобы защитить от ошибки — новые цены меньше текущих более чем в 2 раза. Снижайте их постепенно",IF(AND(IFERROR(VALUE(I463),0)=0,ISNUMBER(J463),OR(J463&lt;473,ABS(IFERROR(VALUE(LEFT(M463,FIND("-",M463)-1)),M463))*100&lt;47300)),"Проверьте цену товара. Большинство товаров в выбранной категории стоят дороже 473","")))))),"")</f>
      </c>
    </row>
    <row r="464">
      <c r="A464" s="2" t="inlineStr">
        <is>
          <t/>
        </is>
      </c>
      <c r="B464" s="2" t="inlineStr">
        <is>
          <t>Кофеварки</t>
        </is>
      </c>
      <c r="C464" s="2">
        <v>603750041</v>
      </c>
      <c r="D464" s="2" t="inlineStr">
        <is>
          <t>192374</t>
        </is>
      </c>
      <c r="E464" s="2" t="inlineStr">
        <is>
          <t>2047148141972</t>
        </is>
      </c>
      <c r="F464" s="2">
        <v>0</v>
      </c>
      <c r="G464" s="2">
        <v>0</v>
      </c>
      <c r="H464" s="2" t="inlineStr">
        <is>
          <t/>
        </is>
      </c>
      <c r="I464" s="2" t="inlineStr">
        <is>
          <t>12728</t>
        </is>
      </c>
      <c r="J464" s="4"/>
      <c r="K464" s="2">
        <v>78</v>
      </c>
      <c r="L464" s="6"/>
      <c r="M464" s="2" t="str">
        <f>IF(J464="",ROUND(I464*(1-IF(ISBLANK(L464),K464,L464)/100),2),ROUND(J464*(1-IF(ISBLANK(L464),K464,L464)/100),2))</f>
      </c>
      <c r="N464" s="7" t="str">
        <f>IF(NOT(AND(J464="",L464="")),IF(OR(AND(L464&lt;&gt;"",NOT(ISNUMBER(L464))),IFERROR(MOD(L464,1),1)&gt;0,AND(ISNUMBER(L464),OR(L464&lt;0,L464&gt;95))),"Введите целое число от 0 до 95",IF(OR(AND(J464&lt;&gt;"",NOT(ISNUMBER(J464))),IFERROR(MOD(J464,1),1)&gt;0,AND(ISNUMBER(J464),OR(J464&lt;50,J464&gt;20000000))),"Введите целое число от 50 до 20000000",IF(NOT(ABS(IFERROR(VALUE(LEFT(M464,FIND("-",M464)-1)),M464)*100-(2500+2000000000)/2)&lt;=ABS(2500-2000000000)/2),"Цена со скидкой должна быть от 25 до 20000000",IF(AND(IFERROR(VALUE(LEFT(M464,FIND("-",M464)-1)),M464)*150&lt;=280016,IFERROR(VALUE(LEFT(M464,FIND("-",M464)-1)),M464)*200&gt;280016),"Вы уменьшили цену в несколько раз, товар попадет в карантин цен",IF(IFERROR(VALUE(LEFT(M464,FIND("-",M464)-1)),M464)*200&lt;=280016,"Не сохранили изменения, чтобы защитить от ошибки — новые цены меньше текущих более чем в 2 раза. Снижайте их постепенно",IF(AND(IFERROR(VALUE(I464),0)=0,ISNUMBER(J464),OR(J464&lt;473,ABS(IFERROR(VALUE(LEFT(M464,FIND("-",M464)-1)),M464))*100&lt;47300)),"Проверьте цену товара. Большинство товаров в выбранной категории стоят дороже 473","")))))),"")</f>
      </c>
    </row>
    <row r="465">
      <c r="A465" s="2" t="inlineStr">
        <is>
          <t/>
        </is>
      </c>
      <c r="B465" s="2" t="inlineStr">
        <is>
          <t>Кофемолки электрические</t>
        </is>
      </c>
      <c r="C465" s="2">
        <v>603734243</v>
      </c>
      <c r="D465" s="2" t="inlineStr">
        <is>
          <t>192648</t>
        </is>
      </c>
      <c r="E465" s="2" t="inlineStr">
        <is>
          <t>2047147962257</t>
        </is>
      </c>
      <c r="F465" s="2">
        <v>0</v>
      </c>
      <c r="G465" s="2">
        <v>0</v>
      </c>
      <c r="H465" s="2" t="inlineStr">
        <is>
          <t/>
        </is>
      </c>
      <c r="I465" s="2" t="inlineStr">
        <is>
          <t>10831</t>
        </is>
      </c>
      <c r="J465" s="4"/>
      <c r="K465" s="2">
        <v>65</v>
      </c>
      <c r="L465" s="6"/>
      <c r="M465" s="2" t="str">
        <f>IF(J465="",ROUND(I465*(1-IF(ISBLANK(L465),K465,L465)/100),2),ROUND(J465*(1-IF(ISBLANK(L465),K465,L465)/100),2))</f>
      </c>
      <c r="N465" s="7" t="str">
        <f>IF(NOT(AND(J465="",L465="")),IF(OR(AND(L465&lt;&gt;"",NOT(ISNUMBER(L465))),IFERROR(MOD(L465,1),1)&gt;0,AND(ISNUMBER(L465),OR(L465&lt;0,L465&gt;95))),"Введите целое число от 0 до 95",IF(OR(AND(J465&lt;&gt;"",NOT(ISNUMBER(J465))),IFERROR(MOD(J465,1),1)&gt;0,AND(ISNUMBER(J465),OR(J465&lt;50,J465&gt;20000000))),"Введите целое число от 50 до 20000000",IF(NOT(ABS(IFERROR(VALUE(LEFT(M465,FIND("-",M465)-1)),M465)*100-(2500+2000000000)/2)&lt;=ABS(2500-2000000000)/2),"Цена со скидкой должна быть от 25 до 20000000",IF(AND(IFERROR(VALUE(LEFT(M465,FIND("-",M465)-1)),M465)*150&lt;=379085,IFERROR(VALUE(LEFT(M465,FIND("-",M465)-1)),M465)*200&gt;379085),"Вы уменьшили цену в несколько раз, товар попадет в карантин цен",IF(IFERROR(VALUE(LEFT(M465,FIND("-",M465)-1)),M465)*200&lt;=379085,"Не сохранили изменения, чтобы защитить от ошибки — новые цены меньше текущих более чем в 2 раза. Снижайте их постепенно",IF(AND(IFERROR(VALUE(I465),0)=0,ISNUMBER(J465),OR(J465&lt;291,ABS(IFERROR(VALUE(LEFT(M465,FIND("-",M465)-1)),M465))*100&lt;29100)),"Проверьте цену товара. Большинство товаров в выбранной категории стоят дороже 291","")))))),"")</f>
      </c>
    </row>
    <row r="466">
      <c r="A466" s="2" t="inlineStr">
        <is>
          <t/>
        </is>
      </c>
      <c r="B466" s="2" t="inlineStr">
        <is>
          <t>Кофемолки электрические</t>
        </is>
      </c>
      <c r="C466" s="2">
        <v>603734241</v>
      </c>
      <c r="D466" s="2" t="inlineStr">
        <is>
          <t>192641</t>
        </is>
      </c>
      <c r="E466" s="2" t="inlineStr">
        <is>
          <t>2047147962233</t>
        </is>
      </c>
      <c r="F466" s="2">
        <v>0</v>
      </c>
      <c r="G466" s="2">
        <v>8</v>
      </c>
      <c r="H466" s="2" t="inlineStr">
        <is>
          <t/>
        </is>
      </c>
      <c r="I466" s="2" t="inlineStr">
        <is>
          <t>9268</t>
        </is>
      </c>
      <c r="J466" s="4"/>
      <c r="K466" s="2">
        <v>78</v>
      </c>
      <c r="L466" s="6"/>
      <c r="M466" s="2" t="str">
        <f>IF(J466="",ROUND(I466*(1-IF(ISBLANK(L466),K466,L466)/100),2),ROUND(J466*(1-IF(ISBLANK(L466),K466,L466)/100),2))</f>
      </c>
      <c r="N466" s="7" t="str">
        <f>IF(NOT(AND(J466="",L466="")),IF(OR(AND(L466&lt;&gt;"",NOT(ISNUMBER(L466))),IFERROR(MOD(L466,1),1)&gt;0,AND(ISNUMBER(L466),OR(L466&lt;0,L466&gt;95))),"Введите целое число от 0 до 95",IF(OR(AND(J466&lt;&gt;"",NOT(ISNUMBER(J466))),IFERROR(MOD(J466,1),1)&gt;0,AND(ISNUMBER(J466),OR(J466&lt;50,J466&gt;20000000))),"Введите целое число от 50 до 20000000",IF(NOT(ABS(IFERROR(VALUE(LEFT(M466,FIND("-",M466)-1)),M466)*100-(2500+2000000000)/2)&lt;=ABS(2500-2000000000)/2),"Цена со скидкой должна быть от 25 до 20000000",IF(AND(IFERROR(VALUE(LEFT(M466,FIND("-",M466)-1)),M466)*150&lt;=203895,IFERROR(VALUE(LEFT(M466,FIND("-",M466)-1)),M466)*200&gt;203895),"Вы уменьшили цену в несколько раз, товар попадет в карантин цен",IF(IFERROR(VALUE(LEFT(M466,FIND("-",M466)-1)),M466)*200&lt;=203895,"Не сохранили изменения, чтобы защитить от ошибки — новые цены меньше текущих более чем в 2 раза. Снижайте их постепенно",IF(AND(IFERROR(VALUE(I466),0)=0,ISNUMBER(J466),OR(J466&lt;291,ABS(IFERROR(VALUE(LEFT(M466,FIND("-",M466)-1)),M466))*100&lt;29100)),"Проверьте цену товара. Большинство товаров в выбранной категории стоят дороже 291","")))))),"")</f>
      </c>
    </row>
    <row r="467">
      <c r="A467" s="2" t="inlineStr">
        <is>
          <t>Luxaro</t>
        </is>
      </c>
      <c r="B467" s="2" t="inlineStr">
        <is>
          <t>Чайники заварочные</t>
        </is>
      </c>
      <c r="C467" s="2">
        <v>276118409</v>
      </c>
      <c r="D467" s="2" t="inlineStr">
        <is>
          <t>282966</t>
        </is>
      </c>
      <c r="E467" s="2" t="inlineStr">
        <is>
          <t>4670294453071</t>
        </is>
      </c>
      <c r="F467" s="2">
        <v>5</v>
      </c>
      <c r="G467" s="2">
        <v>76</v>
      </c>
      <c r="H467" s="2">
        <v>147</v>
      </c>
      <c r="I467" s="2" t="inlineStr">
        <is>
          <t>7246</t>
        </is>
      </c>
      <c r="J467" s="4"/>
      <c r="K467" s="2">
        <v>75</v>
      </c>
      <c r="L467" s="6"/>
      <c r="M467" s="2" t="str">
        <f>IF(J467="",ROUND(I467*(1-IF(ISBLANK(L467),K467,L467)/100),2),ROUND(J467*(1-IF(ISBLANK(L467),K467,L467)/100),2))</f>
      </c>
      <c r="N467" s="7" t="str">
        <f>IF(NOT(AND(J467="",L467="")),IF(OR(AND(L467&lt;&gt;"",NOT(ISNUMBER(L467))),IFERROR(MOD(L467,1),1)&gt;0,AND(ISNUMBER(L467),OR(L467&lt;0,L467&gt;95))),"Введите целое число от 0 до 95",IF(OR(AND(J467&lt;&gt;"",NOT(ISNUMBER(J467))),IFERROR(MOD(J467,1),1)&gt;0,AND(ISNUMBER(J467),OR(J467&lt;50,J467&gt;20000000))),"Введите целое число от 50 до 20000000",IF(NOT(ABS(IFERROR(VALUE(LEFT(M467,FIND("-",M467)-1)),M467)*100-(2500+2000000000)/2)&lt;=ABS(2500-2000000000)/2),"Цена со скидкой должна быть от 25 до 20000000",IF(AND(IFERROR(VALUE(LEFT(M467,FIND("-",M467)-1)),M467)*150&lt;=181150,IFERROR(VALUE(LEFT(M467,FIND("-",M467)-1)),M467)*200&gt;181150),"Вы уменьшили цену в несколько раз, товар попадет в карантин цен",IF(IFERROR(VALUE(LEFT(M467,FIND("-",M467)-1)),M467)*200&lt;=181150,"Не сохранили изменения, чтобы защитить от ошибки — новые цены меньше текущих более чем в 2 раза. Снижайте их постепенно",IF(AND(IFERROR(VALUE(I467),0)=0,ISNUMBER(J467),OR(J467&lt;681,ABS(IFERROR(VALUE(LEFT(M467,FIND("-",M467)-1)),M467))*100&lt;68100)),"Проверьте цену товара. Большинство товаров в выбранной категории стоят дороже 681","")))))),"")</f>
      </c>
    </row>
    <row r="468">
      <c r="A468" s="2" t="inlineStr">
        <is>
          <t/>
        </is>
      </c>
      <c r="B468" s="2" t="inlineStr">
        <is>
          <t>Кофемолки электрические</t>
        </is>
      </c>
      <c r="C468" s="2">
        <v>603734237</v>
      </c>
      <c r="D468" s="2" t="inlineStr">
        <is>
          <t>192604</t>
        </is>
      </c>
      <c r="E468" s="2" t="inlineStr">
        <is>
          <t>2047147962141</t>
        </is>
      </c>
      <c r="F468" s="2">
        <v>0</v>
      </c>
      <c r="G468" s="2">
        <v>1</v>
      </c>
      <c r="H468" s="2" t="inlineStr">
        <is>
          <t/>
        </is>
      </c>
      <c r="I468" s="2" t="inlineStr">
        <is>
          <t>10076</t>
        </is>
      </c>
      <c r="J468" s="4"/>
      <c r="K468" s="2">
        <v>78</v>
      </c>
      <c r="L468" s="6"/>
      <c r="M468" s="2" t="str">
        <f>IF(J468="",ROUND(I468*(1-IF(ISBLANK(L468),K468,L468)/100),2),ROUND(J468*(1-IF(ISBLANK(L468),K468,L468)/100),2))</f>
      </c>
      <c r="N468" s="7" t="str">
        <f>IF(NOT(AND(J468="",L468="")),IF(OR(AND(L468&lt;&gt;"",NOT(ISNUMBER(L468))),IFERROR(MOD(L468,1),1)&gt;0,AND(ISNUMBER(L468),OR(L468&lt;0,L468&gt;95))),"Введите целое число от 0 до 95",IF(OR(AND(J468&lt;&gt;"",NOT(ISNUMBER(J468))),IFERROR(MOD(J468,1),1)&gt;0,AND(ISNUMBER(J468),OR(J468&lt;50,J468&gt;20000000))),"Введите целое число от 50 до 20000000",IF(NOT(ABS(IFERROR(VALUE(LEFT(M468,FIND("-",M468)-1)),M468)*100-(2500+2000000000)/2)&lt;=ABS(2500-2000000000)/2),"Цена со скидкой должна быть от 25 до 20000000",IF(AND(IFERROR(VALUE(LEFT(M468,FIND("-",M468)-1)),M468)*150&lt;=221671,IFERROR(VALUE(LEFT(M468,FIND("-",M468)-1)),M468)*200&gt;221671),"Вы уменьшили цену в несколько раз, товар попадет в карантин цен",IF(IFERROR(VALUE(LEFT(M468,FIND("-",M468)-1)),M468)*200&lt;=221671,"Не сохранили изменения, чтобы защитить от ошибки — новые цены меньше текущих более чем в 2 раза. Снижайте их постепенно",IF(AND(IFERROR(VALUE(I468),0)=0,ISNUMBER(J468),OR(J468&lt;291,ABS(IFERROR(VALUE(LEFT(M468,FIND("-",M468)-1)),M468))*100&lt;29100)),"Проверьте цену товара. Большинство товаров в выбранной категории стоят дороже 291","")))))),"")</f>
      </c>
    </row>
    <row r="469">
      <c r="A469" s="2" t="inlineStr">
        <is>
          <t>Luxaro</t>
        </is>
      </c>
      <c r="B469" s="2" t="inlineStr">
        <is>
          <t>Массажеры электрические</t>
        </is>
      </c>
      <c r="C469" s="2">
        <v>327269380</v>
      </c>
      <c r="D469" s="2" t="inlineStr">
        <is>
          <t>192506</t>
        </is>
      </c>
      <c r="E469" s="2" t="inlineStr">
        <is>
          <t>2042773878040</t>
        </is>
      </c>
      <c r="F469" s="2">
        <v>59</v>
      </c>
      <c r="G469" s="2">
        <v>0</v>
      </c>
      <c r="H469" s="2">
        <v>61</v>
      </c>
      <c r="I469" s="2" t="inlineStr">
        <is>
          <t>3890</t>
        </is>
      </c>
      <c r="J469" s="4"/>
      <c r="K469" s="2">
        <v>75</v>
      </c>
      <c r="L469" s="6"/>
      <c r="M469" s="2" t="str">
        <f>IF(J469="",ROUND(I469*(1-IF(ISBLANK(L469),K469,L469)/100),2),ROUND(J469*(1-IF(ISBLANK(L469),K469,L469)/100),2))</f>
      </c>
      <c r="N469" s="7" t="str">
        <f>IF(NOT(AND(J469="",L469="")),IF(OR(AND(L469&lt;&gt;"",NOT(ISNUMBER(L469))),IFERROR(MOD(L469,1),1)&gt;0,AND(ISNUMBER(L469),OR(L469&lt;0,L469&gt;95))),"Введите целое число от 0 до 95",IF(OR(AND(J469&lt;&gt;"",NOT(ISNUMBER(J469))),IFERROR(MOD(J469,1),1)&gt;0,AND(ISNUMBER(J469),OR(J469&lt;50,J469&gt;20000000))),"Введите целое число от 50 до 20000000",IF(NOT(ABS(IFERROR(VALUE(LEFT(M469,FIND("-",M469)-1)),M469)*100-(2500+2000000000)/2)&lt;=ABS(2500-2000000000)/2),"Цена со скидкой должна быть от 25 до 20000000",IF(AND(IFERROR(VALUE(LEFT(M469,FIND("-",M469)-1)),M469)*150&lt;=97250,IFERROR(VALUE(LEFT(M469,FIND("-",M469)-1)),M469)*200&gt;97250),"Вы уменьшили цену в несколько раз, товар попадет в карантин цен",IF(IFERROR(VALUE(LEFT(M469,FIND("-",M469)-1)),M469)*200&lt;=97250,"Не сохранили изменения, чтобы защитить от ошибки — новые цены меньше текущих более чем в 2 раза. Снижайте их постепенно",IF(AND(IFERROR(VALUE(I469),0)=0,ISNUMBER(J469),OR(J469&lt;378,ABS(IFERROR(VALUE(LEFT(M469,FIND("-",M469)-1)),M469))*100&lt;37800)),"Проверьте цену товара. Большинство товаров в выбранной категории стоят дороже 378","")))))),"")</f>
      </c>
    </row>
    <row r="470">
      <c r="A470" s="2" t="inlineStr">
        <is>
          <t/>
        </is>
      </c>
      <c r="B470" s="2" t="inlineStr">
        <is>
          <t>Кофемолки электрические</t>
        </is>
      </c>
      <c r="C470" s="2">
        <v>603734244</v>
      </c>
      <c r="D470" s="2" t="inlineStr">
        <is>
          <t>192544</t>
        </is>
      </c>
      <c r="E470" s="2" t="inlineStr">
        <is>
          <t>2047147962264</t>
        </is>
      </c>
      <c r="F470" s="2">
        <v>0</v>
      </c>
      <c r="G470" s="2">
        <v>0</v>
      </c>
      <c r="H470" s="2" t="inlineStr">
        <is>
          <t/>
        </is>
      </c>
      <c r="I470" s="2" t="inlineStr">
        <is>
          <t>8765</t>
        </is>
      </c>
      <c r="J470" s="4"/>
      <c r="K470" s="2">
        <v>65</v>
      </c>
      <c r="L470" s="6"/>
      <c r="M470" s="2" t="str">
        <f>IF(J470="",ROUND(I470*(1-IF(ISBLANK(L470),K470,L470)/100),2),ROUND(J470*(1-IF(ISBLANK(L470),K470,L470)/100),2))</f>
      </c>
      <c r="N470" s="7" t="str">
        <f>IF(NOT(AND(J470="",L470="")),IF(OR(AND(L470&lt;&gt;"",NOT(ISNUMBER(L470))),IFERROR(MOD(L470,1),1)&gt;0,AND(ISNUMBER(L470),OR(L470&lt;0,L470&gt;95))),"Введите целое число от 0 до 95",IF(OR(AND(J470&lt;&gt;"",NOT(ISNUMBER(J470))),IFERROR(MOD(J470,1),1)&gt;0,AND(ISNUMBER(J470),OR(J470&lt;50,J470&gt;20000000))),"Введите целое число от 50 до 20000000",IF(NOT(ABS(IFERROR(VALUE(LEFT(M470,FIND("-",M470)-1)),M470)*100-(2500+2000000000)/2)&lt;=ABS(2500-2000000000)/2),"Цена со скидкой должна быть от 25 до 20000000",IF(AND(IFERROR(VALUE(LEFT(M470,FIND("-",M470)-1)),M470)*150&lt;=306775,IFERROR(VALUE(LEFT(M470,FIND("-",M470)-1)),M470)*200&gt;306775),"Вы уменьшили цену в несколько раз, товар попадет в карантин цен",IF(IFERROR(VALUE(LEFT(M470,FIND("-",M470)-1)),M470)*200&lt;=306775,"Не сохранили изменения, чтобы защитить от ошибки — новые цены меньше текущих более чем в 2 раза. Снижайте их постепенно",IF(AND(IFERROR(VALUE(I470),0)=0,ISNUMBER(J470),OR(J470&lt;291,ABS(IFERROR(VALUE(LEFT(M470,FIND("-",M470)-1)),M470))*100&lt;29100)),"Проверьте цену товара. Большинство товаров в выбранной категории стоят дороже 291","")))))),"")</f>
      </c>
    </row>
    <row r="471">
      <c r="A471" s="2" t="inlineStr">
        <is>
          <t>Luxaro</t>
        </is>
      </c>
      <c r="B471" s="2" t="inlineStr">
        <is>
          <t>Чайники заварочные</t>
        </is>
      </c>
      <c r="C471" s="2">
        <v>276118408</v>
      </c>
      <c r="D471" s="2" t="inlineStr">
        <is>
          <t>282965</t>
        </is>
      </c>
      <c r="E471" s="2" t="inlineStr">
        <is>
          <t>4670294453064</t>
        </is>
      </c>
      <c r="F471" s="2">
        <v>5</v>
      </c>
      <c r="G471" s="2">
        <v>90</v>
      </c>
      <c r="H471" s="2">
        <v>145</v>
      </c>
      <c r="I471" s="2" t="inlineStr">
        <is>
          <t>6250</t>
        </is>
      </c>
      <c r="J471" s="4"/>
      <c r="K471" s="2">
        <v>75</v>
      </c>
      <c r="L471" s="6"/>
      <c r="M471" s="2" t="str">
        <f>IF(J471="",ROUND(I471*(1-IF(ISBLANK(L471),K471,L471)/100),2),ROUND(J471*(1-IF(ISBLANK(L471),K471,L471)/100),2))</f>
      </c>
      <c r="N471" s="7" t="str">
        <f>IF(NOT(AND(J471="",L471="")),IF(OR(AND(L471&lt;&gt;"",NOT(ISNUMBER(L471))),IFERROR(MOD(L471,1),1)&gt;0,AND(ISNUMBER(L471),OR(L471&lt;0,L471&gt;95))),"Введите целое число от 0 до 95",IF(OR(AND(J471&lt;&gt;"",NOT(ISNUMBER(J471))),IFERROR(MOD(J471,1),1)&gt;0,AND(ISNUMBER(J471),OR(J471&lt;50,J471&gt;20000000))),"Введите целое число от 50 до 20000000",IF(NOT(ABS(IFERROR(VALUE(LEFT(M471,FIND("-",M471)-1)),M471)*100-(2500+2000000000)/2)&lt;=ABS(2500-2000000000)/2),"Цена со скидкой должна быть от 25 до 20000000",IF(AND(IFERROR(VALUE(LEFT(M471,FIND("-",M471)-1)),M471)*150&lt;=156250,IFERROR(VALUE(LEFT(M471,FIND("-",M471)-1)),M471)*200&gt;156250),"Вы уменьшили цену в несколько раз, товар попадет в карантин цен",IF(IFERROR(VALUE(LEFT(M471,FIND("-",M471)-1)),M471)*200&lt;=156250,"Не сохранили изменения, чтобы защитить от ошибки — новые цены меньше текущих более чем в 2 раза. Снижайте их постепенно",IF(AND(IFERROR(VALUE(I471),0)=0,ISNUMBER(J471),OR(J471&lt;681,ABS(IFERROR(VALUE(LEFT(M471,FIND("-",M471)-1)),M471))*100&lt;68100)),"Проверьте цену товара. Большинство товаров в выбранной категории стоят дороже 681","")))))),"")</f>
      </c>
    </row>
    <row r="472">
      <c r="A472" s="2" t="inlineStr">
        <is>
          <t>Luxaro</t>
        </is>
      </c>
      <c r="B472" s="2" t="inlineStr">
        <is>
          <t>Массажеры электрические</t>
        </is>
      </c>
      <c r="C472" s="2">
        <v>327269381</v>
      </c>
      <c r="D472" s="2" t="inlineStr">
        <is>
          <t>192510</t>
        </is>
      </c>
      <c r="E472" s="2" t="inlineStr">
        <is>
          <t>2042773879207</t>
        </is>
      </c>
      <c r="F472" s="2">
        <v>80</v>
      </c>
      <c r="G472" s="2">
        <v>1</v>
      </c>
      <c r="H472" s="2">
        <v>262</v>
      </c>
      <c r="I472" s="2" t="inlineStr">
        <is>
          <t>3910</t>
        </is>
      </c>
      <c r="J472" s="4"/>
      <c r="K472" s="2">
        <v>75</v>
      </c>
      <c r="L472" s="6"/>
      <c r="M472" s="2" t="str">
        <f>IF(J472="",ROUND(I472*(1-IF(ISBLANK(L472),K472,L472)/100),2),ROUND(J472*(1-IF(ISBLANK(L472),K472,L472)/100),2))</f>
      </c>
      <c r="N472" s="7" t="str">
        <f>IF(NOT(AND(J472="",L472="")),IF(OR(AND(L472&lt;&gt;"",NOT(ISNUMBER(L472))),IFERROR(MOD(L472,1),1)&gt;0,AND(ISNUMBER(L472),OR(L472&lt;0,L472&gt;95))),"Введите целое число от 0 до 95",IF(OR(AND(J472&lt;&gt;"",NOT(ISNUMBER(J472))),IFERROR(MOD(J472,1),1)&gt;0,AND(ISNUMBER(J472),OR(J472&lt;50,J472&gt;20000000))),"Введите целое число от 50 до 20000000",IF(NOT(ABS(IFERROR(VALUE(LEFT(M472,FIND("-",M472)-1)),M472)*100-(2500+2000000000)/2)&lt;=ABS(2500-2000000000)/2),"Цена со скидкой должна быть от 25 до 20000000",IF(AND(IFERROR(VALUE(LEFT(M472,FIND("-",M472)-1)),M472)*150&lt;=97750,IFERROR(VALUE(LEFT(M472,FIND("-",M472)-1)),M472)*200&gt;97750),"Вы уменьшили цену в несколько раз, товар попадет в карантин цен",IF(IFERROR(VALUE(LEFT(M472,FIND("-",M472)-1)),M472)*200&lt;=97750,"Не сохранили изменения, чтобы защитить от ошибки — новые цены меньше текущих более чем в 2 раза. Снижайте их постепенно",IF(AND(IFERROR(VALUE(I472),0)=0,ISNUMBER(J472),OR(J472&lt;378,ABS(IFERROR(VALUE(LEFT(M472,FIND("-",M472)-1)),M472))*100&lt;37800)),"Проверьте цену товара. Большинство товаров в выбранной категории стоят дороже 378","")))))),"")</f>
      </c>
    </row>
    <row r="473">
      <c r="A473" s="2" t="inlineStr">
        <is>
          <t>Luxaro</t>
        </is>
      </c>
      <c r="B473" s="2" t="inlineStr">
        <is>
          <t>Массажеры электрические</t>
        </is>
      </c>
      <c r="C473" s="2">
        <v>326603144</v>
      </c>
      <c r="D473" s="2" t="inlineStr">
        <is>
          <t>192504</t>
        </is>
      </c>
      <c r="E473" s="2" t="inlineStr">
        <is>
          <t>2042761895431</t>
        </is>
      </c>
      <c r="F473" s="2">
        <v>14</v>
      </c>
      <c r="G473" s="2">
        <v>0</v>
      </c>
      <c r="H473" s="2">
        <v>69</v>
      </c>
      <c r="I473" s="2" t="inlineStr">
        <is>
          <t>3910</t>
        </is>
      </c>
      <c r="J473" s="4"/>
      <c r="K473" s="2">
        <v>75</v>
      </c>
      <c r="L473" s="6"/>
      <c r="M473" s="2" t="str">
        <f>IF(J473="",ROUND(I473*(1-IF(ISBLANK(L473),K473,L473)/100),2),ROUND(J473*(1-IF(ISBLANK(L473),K473,L473)/100),2))</f>
      </c>
      <c r="N473" s="7" t="str">
        <f>IF(NOT(AND(J473="",L473="")),IF(OR(AND(L473&lt;&gt;"",NOT(ISNUMBER(L473))),IFERROR(MOD(L473,1),1)&gt;0,AND(ISNUMBER(L473),OR(L473&lt;0,L473&gt;95))),"Введите целое число от 0 до 95",IF(OR(AND(J473&lt;&gt;"",NOT(ISNUMBER(J473))),IFERROR(MOD(J473,1),1)&gt;0,AND(ISNUMBER(J473),OR(J473&lt;50,J473&gt;20000000))),"Введите целое число от 50 до 20000000",IF(NOT(ABS(IFERROR(VALUE(LEFT(M473,FIND("-",M473)-1)),M473)*100-(2500+2000000000)/2)&lt;=ABS(2500-2000000000)/2),"Цена со скидкой должна быть от 25 до 20000000",IF(AND(IFERROR(VALUE(LEFT(M473,FIND("-",M473)-1)),M473)*150&lt;=97750,IFERROR(VALUE(LEFT(M473,FIND("-",M473)-1)),M473)*200&gt;97750),"Вы уменьшили цену в несколько раз, товар попадет в карантин цен",IF(IFERROR(VALUE(LEFT(M473,FIND("-",M473)-1)),M473)*200&lt;=97750,"Не сохранили изменения, чтобы защитить от ошибки — новые цены меньше текущих более чем в 2 раза. Снижайте их постепенно",IF(AND(IFERROR(VALUE(I473),0)=0,ISNUMBER(J473),OR(J473&lt;378,ABS(IFERROR(VALUE(LEFT(M473,FIND("-",M473)-1)),M473))*100&lt;37800)),"Проверьте цену товара. Большинство товаров в выбранной категории стоят дороже 378","")))))),"")</f>
      </c>
    </row>
    <row r="474">
      <c r="A474" s="2" t="inlineStr">
        <is>
          <t>Luxaro</t>
        </is>
      </c>
      <c r="B474" s="2" t="inlineStr">
        <is>
          <t>Массажеры электрические</t>
        </is>
      </c>
      <c r="C474" s="2">
        <v>327269378</v>
      </c>
      <c r="D474" s="2" t="inlineStr">
        <is>
          <t>192505</t>
        </is>
      </c>
      <c r="E474" s="2" t="inlineStr">
        <is>
          <t>2042773875704</t>
        </is>
      </c>
      <c r="F474" s="2">
        <v>79</v>
      </c>
      <c r="G474" s="2">
        <v>0</v>
      </c>
      <c r="H474" s="2">
        <v>202</v>
      </c>
      <c r="I474" s="2" t="inlineStr">
        <is>
          <t>3910</t>
        </is>
      </c>
      <c r="J474" s="4"/>
      <c r="K474" s="2">
        <v>75</v>
      </c>
      <c r="L474" s="6"/>
      <c r="M474" s="2" t="str">
        <f>IF(J474="",ROUND(I474*(1-IF(ISBLANK(L474),K474,L474)/100),2),ROUND(J474*(1-IF(ISBLANK(L474),K474,L474)/100),2))</f>
      </c>
      <c r="N474" s="7" t="str">
        <f>IF(NOT(AND(J474="",L474="")),IF(OR(AND(L474&lt;&gt;"",NOT(ISNUMBER(L474))),IFERROR(MOD(L474,1),1)&gt;0,AND(ISNUMBER(L474),OR(L474&lt;0,L474&gt;95))),"Введите целое число от 0 до 95",IF(OR(AND(J474&lt;&gt;"",NOT(ISNUMBER(J474))),IFERROR(MOD(J474,1),1)&gt;0,AND(ISNUMBER(J474),OR(J474&lt;50,J474&gt;20000000))),"Введите целое число от 50 до 20000000",IF(NOT(ABS(IFERROR(VALUE(LEFT(M474,FIND("-",M474)-1)),M474)*100-(2500+2000000000)/2)&lt;=ABS(2500-2000000000)/2),"Цена со скидкой должна быть от 25 до 20000000",IF(AND(IFERROR(VALUE(LEFT(M474,FIND("-",M474)-1)),M474)*150&lt;=97750,IFERROR(VALUE(LEFT(M474,FIND("-",M474)-1)),M474)*200&gt;97750),"Вы уменьшили цену в несколько раз, товар попадет в карантин цен",IF(IFERROR(VALUE(LEFT(M474,FIND("-",M474)-1)),M474)*200&lt;=97750,"Не сохранили изменения, чтобы защитить от ошибки — новые цены меньше текущих более чем в 2 раза. Снижайте их постепенно",IF(AND(IFERROR(VALUE(I474),0)=0,ISNUMBER(J474),OR(J474&lt;378,ABS(IFERROR(VALUE(LEFT(M474,FIND("-",M474)-1)),M474))*100&lt;37800)),"Проверьте цену товара. Большинство товаров в выбранной категории стоят дороже 378","")))))),"")</f>
      </c>
    </row>
    <row r="475">
      <c r="A475" s="2" t="inlineStr">
        <is>
          <t/>
        </is>
      </c>
      <c r="B475" s="2" t="inlineStr">
        <is>
          <t>Подставки для ножей</t>
        </is>
      </c>
      <c r="C475" s="2">
        <v>600652725</v>
      </c>
      <c r="D475" s="2" t="inlineStr">
        <is>
          <t>523516</t>
        </is>
      </c>
      <c r="E475" s="2" t="inlineStr">
        <is>
          <t>2047129194942</t>
        </is>
      </c>
      <c r="F475" s="2">
        <v>0</v>
      </c>
      <c r="G475" s="2">
        <v>1</v>
      </c>
      <c r="H475" s="2" t="inlineStr">
        <is>
          <t/>
        </is>
      </c>
      <c r="I475" s="2" t="inlineStr">
        <is>
          <t>9100</t>
        </is>
      </c>
      <c r="J475" s="4"/>
      <c r="K475" s="2">
        <v>78</v>
      </c>
      <c r="L475" s="6"/>
      <c r="M475" s="2" t="str">
        <f>IF(J475="",ROUND(I475*(1-IF(ISBLANK(L475),K475,L475)/100),2),ROUND(J475*(1-IF(ISBLANK(L475),K475,L475)/100),2))</f>
      </c>
      <c r="N475" s="7" t="str">
        <f>IF(NOT(AND(J475="",L475="")),IF(OR(AND(L475&lt;&gt;"",NOT(ISNUMBER(L475))),IFERROR(MOD(L475,1),1)&gt;0,AND(ISNUMBER(L475),OR(L475&lt;0,L475&gt;95))),"Введите целое число от 0 до 95",IF(OR(AND(J475&lt;&gt;"",NOT(ISNUMBER(J475))),IFERROR(MOD(J475,1),1)&gt;0,AND(ISNUMBER(J475),OR(J475&lt;50,J475&gt;20000000))),"Введите целое число от 50 до 20000000",IF(NOT(ABS(IFERROR(VALUE(LEFT(M475,FIND("-",M475)-1)),M475)*100-(2500+2000000000)/2)&lt;=ABS(2500-2000000000)/2),"Цена со скидкой должна быть от 25 до 20000000",IF(AND(IFERROR(VALUE(LEFT(M475,FIND("-",M475)-1)),M475)*150&lt;=200199,IFERROR(VALUE(LEFT(M475,FIND("-",M475)-1)),M475)*200&gt;200199),"Вы уменьшили цену в несколько раз, товар попадет в карантин цен",IF(IFERROR(VALUE(LEFT(M475,FIND("-",M475)-1)),M475)*200&lt;=200199,"Не сохранили изменения, чтобы защитить от ошибки — новые цены меньше текущих более чем в 2 раза. Снижайте их постепенно",IF(AND(IFERROR(VALUE(I475),0)=0,ISNUMBER(J475),OR(J475&lt;488,ABS(IFERROR(VALUE(LEFT(M475,FIND("-",M475)-1)),M475))*100&lt;48800)),"Проверьте цену товара. Большинство товаров в выбранной категории стоят дороже 488","")))))),"")</f>
      </c>
    </row>
    <row r="476">
      <c r="A476" s="2" t="inlineStr">
        <is>
          <t/>
        </is>
      </c>
      <c r="B476" s="2" t="inlineStr">
        <is>
          <t>Подставки для ножей</t>
        </is>
      </c>
      <c r="C476" s="2">
        <v>600652729</v>
      </c>
      <c r="D476" s="2" t="inlineStr">
        <is>
          <t>522877</t>
        </is>
      </c>
      <c r="E476" s="2" t="inlineStr">
        <is>
          <t>2047129194980</t>
        </is>
      </c>
      <c r="F476" s="2">
        <v>0</v>
      </c>
      <c r="G476" s="2">
        <v>4</v>
      </c>
      <c r="H476" s="2" t="inlineStr">
        <is>
          <t/>
        </is>
      </c>
      <c r="I476" s="2" t="inlineStr">
        <is>
          <t>8400</t>
        </is>
      </c>
      <c r="J476" s="4"/>
      <c r="K476" s="2">
        <v>78</v>
      </c>
      <c r="L476" s="6"/>
      <c r="M476" s="2" t="str">
        <f>IF(J476="",ROUND(I476*(1-IF(ISBLANK(L476),K476,L476)/100),2),ROUND(J476*(1-IF(ISBLANK(L476),K476,L476)/100),2))</f>
      </c>
      <c r="N476" s="7" t="str">
        <f>IF(NOT(AND(J476="",L476="")),IF(OR(AND(L476&lt;&gt;"",NOT(ISNUMBER(L476))),IFERROR(MOD(L476,1),1)&gt;0,AND(ISNUMBER(L476),OR(L476&lt;0,L476&gt;95))),"Введите целое число от 0 до 95",IF(OR(AND(J476&lt;&gt;"",NOT(ISNUMBER(J476))),IFERROR(MOD(J476,1),1)&gt;0,AND(ISNUMBER(J476),OR(J476&lt;50,J476&gt;20000000))),"Введите целое число от 50 до 20000000",IF(NOT(ABS(IFERROR(VALUE(LEFT(M476,FIND("-",M476)-1)),M476)*100-(2500+2000000000)/2)&lt;=ABS(2500-2000000000)/2),"Цена со скидкой должна быть от 25 до 20000000",IF(AND(IFERROR(VALUE(LEFT(M476,FIND("-",M476)-1)),M476)*150&lt;=184799,IFERROR(VALUE(LEFT(M476,FIND("-",M476)-1)),M476)*200&gt;184799),"Вы уменьшили цену в несколько раз, товар попадет в карантин цен",IF(IFERROR(VALUE(LEFT(M476,FIND("-",M476)-1)),M476)*200&lt;=184799,"Не сохранили изменения, чтобы защитить от ошибки — новые цены меньше текущих более чем в 2 раза. Снижайте их постепенно",IF(AND(IFERROR(VALUE(I476),0)=0,ISNUMBER(J476),OR(J476&lt;488,ABS(IFERROR(VALUE(LEFT(M476,FIND("-",M476)-1)),M476))*100&lt;48800)),"Проверьте цену товара. Большинство товаров в выбранной категории стоят дороже 488","")))))),"")</f>
      </c>
    </row>
    <row r="477">
      <c r="A477" s="2" t="inlineStr">
        <is>
          <t/>
        </is>
      </c>
      <c r="B477" s="2" t="inlineStr">
        <is>
          <t>Подставки для ножей</t>
        </is>
      </c>
      <c r="C477" s="2">
        <v>600652714</v>
      </c>
      <c r="D477" s="2" t="inlineStr">
        <is>
          <t>523522</t>
        </is>
      </c>
      <c r="E477" s="2" t="inlineStr">
        <is>
          <t>2047129195031</t>
        </is>
      </c>
      <c r="F477" s="2">
        <v>3</v>
      </c>
      <c r="G477" s="2">
        <v>2</v>
      </c>
      <c r="H477" s="2">
        <v>67</v>
      </c>
      <c r="I477" s="2" t="inlineStr">
        <is>
          <t>12212</t>
        </is>
      </c>
      <c r="J477" s="4"/>
      <c r="K477" s="2">
        <v>78</v>
      </c>
      <c r="L477" s="6"/>
      <c r="M477" s="2" t="str">
        <f>IF(J477="",ROUND(I477*(1-IF(ISBLANK(L477),K477,L477)/100),2),ROUND(J477*(1-IF(ISBLANK(L477),K477,L477)/100),2))</f>
      </c>
      <c r="N477" s="7" t="str">
        <f>IF(NOT(AND(J477="",L477="")),IF(OR(AND(L477&lt;&gt;"",NOT(ISNUMBER(L477))),IFERROR(MOD(L477,1),1)&gt;0,AND(ISNUMBER(L477),OR(L477&lt;0,L477&gt;95))),"Введите целое число от 0 до 95",IF(OR(AND(J477&lt;&gt;"",NOT(ISNUMBER(J477))),IFERROR(MOD(J477,1),1)&gt;0,AND(ISNUMBER(J477),OR(J477&lt;50,J477&gt;20000000))),"Введите целое число от 50 до 20000000",IF(NOT(ABS(IFERROR(VALUE(LEFT(M477,FIND("-",M477)-1)),M477)*100-(2500+2000000000)/2)&lt;=ABS(2500-2000000000)/2),"Цена со скидкой должна быть от 25 до 20000000",IF(AND(IFERROR(VALUE(LEFT(M477,FIND("-",M477)-1)),M477)*150&lt;=268664,IFERROR(VALUE(LEFT(M477,FIND("-",M477)-1)),M477)*200&gt;268664),"Вы уменьшили цену в несколько раз, товар попадет в карантин цен",IF(IFERROR(VALUE(LEFT(M477,FIND("-",M477)-1)),M477)*200&lt;=268664,"Не сохранили изменения, чтобы защитить от ошибки — новые цены меньше текущих более чем в 2 раза. Снижайте их постепенно",IF(AND(IFERROR(VALUE(I477),0)=0,ISNUMBER(J477),OR(J477&lt;488,ABS(IFERROR(VALUE(LEFT(M477,FIND("-",M477)-1)),M477))*100&lt;48800)),"Проверьте цену товара. Большинство товаров в выбранной категории стоят дороже 488","")))))),"")</f>
      </c>
    </row>
    <row r="478">
      <c r="A478" s="2" t="inlineStr">
        <is>
          <t/>
        </is>
      </c>
      <c r="B478" s="2" t="inlineStr">
        <is>
          <t>Подставки для ножей</t>
        </is>
      </c>
      <c r="C478" s="2">
        <v>600652730</v>
      </c>
      <c r="D478" s="2" t="inlineStr">
        <is>
          <t>522878</t>
        </is>
      </c>
      <c r="E478" s="2" t="inlineStr">
        <is>
          <t>2047129194997</t>
        </is>
      </c>
      <c r="F478" s="2">
        <v>0</v>
      </c>
      <c r="G478" s="2">
        <v>5</v>
      </c>
      <c r="H478" s="2" t="inlineStr">
        <is>
          <t/>
        </is>
      </c>
      <c r="I478" s="2" t="inlineStr">
        <is>
          <t>8752</t>
        </is>
      </c>
      <c r="J478" s="4"/>
      <c r="K478" s="2">
        <v>78</v>
      </c>
      <c r="L478" s="6"/>
      <c r="M478" s="2" t="str">
        <f>IF(J478="",ROUND(I478*(1-IF(ISBLANK(L478),K478,L478)/100),2),ROUND(J478*(1-IF(ISBLANK(L478),K478,L478)/100),2))</f>
      </c>
      <c r="N478" s="7" t="str">
        <f>IF(NOT(AND(J478="",L478="")),IF(OR(AND(L478&lt;&gt;"",NOT(ISNUMBER(L478))),IFERROR(MOD(L478,1),1)&gt;0,AND(ISNUMBER(L478),OR(L478&lt;0,L478&gt;95))),"Введите целое число от 0 до 95",IF(OR(AND(J478&lt;&gt;"",NOT(ISNUMBER(J478))),IFERROR(MOD(J478,1),1)&gt;0,AND(ISNUMBER(J478),OR(J478&lt;50,J478&gt;20000000))),"Введите целое число от 50 до 20000000",IF(NOT(ABS(IFERROR(VALUE(LEFT(M478,FIND("-",M478)-1)),M478)*100-(2500+2000000000)/2)&lt;=ABS(2500-2000000000)/2),"Цена со скидкой должна быть от 25 до 20000000",IF(AND(IFERROR(VALUE(LEFT(M478,FIND("-",M478)-1)),M478)*150&lt;=192543,IFERROR(VALUE(LEFT(M478,FIND("-",M478)-1)),M478)*200&gt;192543),"Вы уменьшили цену в несколько раз, товар попадет в карантин цен",IF(IFERROR(VALUE(LEFT(M478,FIND("-",M478)-1)),M478)*200&lt;=192543,"Не сохранили изменения, чтобы защитить от ошибки — новые цены меньше текущих более чем в 2 раза. Снижайте их постепенно",IF(AND(IFERROR(VALUE(I478),0)=0,ISNUMBER(J478),OR(J478&lt;488,ABS(IFERROR(VALUE(LEFT(M478,FIND("-",M478)-1)),M478))*100&lt;48800)),"Проверьте цену товара. Большинство товаров в выбранной категории стоят дороже 488","")))))),"")</f>
      </c>
    </row>
    <row r="479">
      <c r="A479" s="2" t="inlineStr">
        <is>
          <t/>
        </is>
      </c>
      <c r="B479" s="2" t="inlineStr">
        <is>
          <t>Ложки столовые</t>
        </is>
      </c>
      <c r="C479" s="2">
        <v>619262143</v>
      </c>
      <c r="D479" s="2" t="inlineStr">
        <is>
          <t>81818</t>
        </is>
      </c>
      <c r="E479" s="2" t="inlineStr">
        <is>
          <t>2047320891503</t>
        </is>
      </c>
      <c r="F479" s="2">
        <v>0</v>
      </c>
      <c r="G479" s="2">
        <v>81</v>
      </c>
      <c r="H479" s="2" t="inlineStr">
        <is>
          <t/>
        </is>
      </c>
      <c r="I479" s="2" t="inlineStr">
        <is>
          <t>2428</t>
        </is>
      </c>
      <c r="J479" s="4"/>
      <c r="K479" s="2">
        <v>78</v>
      </c>
      <c r="L479" s="6"/>
      <c r="M479" s="2" t="str">
        <f>IF(J479="",ROUND(I479*(1-IF(ISBLANK(L479),K479,L479)/100),2),ROUND(J479*(1-IF(ISBLANK(L479),K479,L479)/100),2))</f>
      </c>
      <c r="N479" s="7" t="str">
        <f>IF(NOT(AND(J479="",L479="")),IF(OR(AND(L479&lt;&gt;"",NOT(ISNUMBER(L479))),IFERROR(MOD(L479,1),1)&gt;0,AND(ISNUMBER(L479),OR(L479&lt;0,L479&gt;95))),"Введите целое число от 0 до 95",IF(OR(AND(J479&lt;&gt;"",NOT(ISNUMBER(J479))),IFERROR(MOD(J479,1),1)&gt;0,AND(ISNUMBER(J479),OR(J479&lt;50,J479&gt;20000000))),"Введите целое число от 50 до 20000000",IF(NOT(ABS(IFERROR(VALUE(LEFT(M479,FIND("-",M479)-1)),M479)*100-(2500+2000000000)/2)&lt;=ABS(2500-2000000000)/2),"Цена со скидкой должна быть от 25 до 20000000",IF(AND(IFERROR(VALUE(LEFT(M479,FIND("-",M479)-1)),M479)*150&lt;=53416,IFERROR(VALUE(LEFT(M479,FIND("-",M479)-1)),M479)*200&gt;53416),"Вы уменьшили цену в несколько раз, товар попадет в карантин цен",IF(IFERROR(VALUE(LEFT(M479,FIND("-",M479)-1)),M479)*200&lt;=53416,"Не сохранили изменения, чтобы защитить от ошибки — новые цены меньше текущих более чем в 2 раза. Снижайте их постепенно",IF(AND(IFERROR(VALUE(I479),0)=0,ISNUMBER(J479),OR(J479&lt;306,ABS(IFERROR(VALUE(LEFT(M479,FIND("-",M479)-1)),M479))*100&lt;30600)),"Проверьте цену товара. Большинство товаров в выбранной категории стоят дороже 306","")))))),"")</f>
      </c>
    </row>
    <row r="480">
      <c r="A480" s="2" t="inlineStr">
        <is>
          <t>Luxaro</t>
        </is>
      </c>
      <c r="B480" s="2" t="inlineStr">
        <is>
          <t>Тарелки</t>
        </is>
      </c>
      <c r="C480" s="2">
        <v>608869955</v>
      </c>
      <c r="D480" s="2" t="inlineStr">
        <is>
          <t>073929</t>
        </is>
      </c>
      <c r="E480" s="2" t="inlineStr">
        <is>
          <t>2047214929527</t>
        </is>
      </c>
      <c r="F480" s="2">
        <v>69</v>
      </c>
      <c r="G480" s="2">
        <v>1</v>
      </c>
      <c r="H480" s="2">
        <v>314</v>
      </c>
      <c r="I480" s="2" t="inlineStr">
        <is>
          <t>4176</t>
        </is>
      </c>
      <c r="J480" s="4"/>
      <c r="K480" s="2">
        <v>77</v>
      </c>
      <c r="L480" s="6"/>
      <c r="M480" s="2" t="str">
        <f>IF(J480="",ROUND(I480*(1-IF(ISBLANK(L480),K480,L480)/100),2),ROUND(J480*(1-IF(ISBLANK(L480),K480,L480)/100),2))</f>
      </c>
      <c r="N480" s="7" t="str">
        <f>IF(NOT(AND(J480="",L480="")),IF(OR(AND(L480&lt;&gt;"",NOT(ISNUMBER(L480))),IFERROR(MOD(L480,1),1)&gt;0,AND(ISNUMBER(L480),OR(L480&lt;0,L480&gt;95))),"Введите целое число от 0 до 95",IF(OR(AND(J480&lt;&gt;"",NOT(ISNUMBER(J480))),IFERROR(MOD(J480,1),1)&gt;0,AND(ISNUMBER(J480),OR(J480&lt;50,J480&gt;20000000))),"Введите целое число от 50 до 20000000",IF(NOT(ABS(IFERROR(VALUE(LEFT(M480,FIND("-",M480)-1)),M480)*100-(2500+2000000000)/2)&lt;=ABS(2500-2000000000)/2),"Цена со скидкой должна быть от 25 до 20000000",IF(AND(IFERROR(VALUE(LEFT(M480,FIND("-",M480)-1)),M480)*150&lt;=96047,IFERROR(VALUE(LEFT(M480,FIND("-",M480)-1)),M480)*200&gt;96047),"Вы уменьшили цену в несколько раз, товар попадет в карантин цен",IF(IFERROR(VALUE(LEFT(M480,FIND("-",M480)-1)),M480)*200&lt;=96047,"Не сохранили изменения, чтобы защитить от ошибки — новые цены меньше текущих более чем в 2 раза. Снижайте их постепенно",IF(AND(IFERROR(VALUE(I480),0)=0,ISNUMBER(J480),OR(J480&lt;413,ABS(IFERROR(VALUE(LEFT(M480,FIND("-",M480)-1)),M480))*100&lt;41300)),"Проверьте цену товара. Большинство товаров в выбранной категории стоят дороже 413","")))))),"")</f>
      </c>
    </row>
    <row r="481">
      <c r="A481" s="2" t="inlineStr">
        <is>
          <t/>
        </is>
      </c>
      <c r="B481" s="2" t="inlineStr">
        <is>
          <t>Ложки столовые</t>
        </is>
      </c>
      <c r="C481" s="2">
        <v>619262141</v>
      </c>
      <c r="D481" s="2" t="inlineStr">
        <is>
          <t>81819</t>
        </is>
      </c>
      <c r="E481" s="2" t="inlineStr">
        <is>
          <t>2047320891473</t>
        </is>
      </c>
      <c r="F481" s="2">
        <v>0</v>
      </c>
      <c r="G481" s="2">
        <v>77</v>
      </c>
      <c r="H481" s="2" t="inlineStr">
        <is>
          <t/>
        </is>
      </c>
      <c r="I481" s="2" t="inlineStr">
        <is>
          <t>3308</t>
        </is>
      </c>
      <c r="J481" s="4"/>
      <c r="K481" s="2">
        <v>78</v>
      </c>
      <c r="L481" s="6"/>
      <c r="M481" s="2" t="str">
        <f>IF(J481="",ROUND(I481*(1-IF(ISBLANK(L481),K481,L481)/100),2),ROUND(J481*(1-IF(ISBLANK(L481),K481,L481)/100),2))</f>
      </c>
      <c r="N481" s="7" t="str">
        <f>IF(NOT(AND(J481="",L481="")),IF(OR(AND(L481&lt;&gt;"",NOT(ISNUMBER(L481))),IFERROR(MOD(L481,1),1)&gt;0,AND(ISNUMBER(L481),OR(L481&lt;0,L481&gt;95))),"Введите целое число от 0 до 95",IF(OR(AND(J481&lt;&gt;"",NOT(ISNUMBER(J481))),IFERROR(MOD(J481,1),1)&gt;0,AND(ISNUMBER(J481),OR(J481&lt;50,J481&gt;20000000))),"Введите целое число от 50 до 20000000",IF(NOT(ABS(IFERROR(VALUE(LEFT(M481,FIND("-",M481)-1)),M481)*100-(2500+2000000000)/2)&lt;=ABS(2500-2000000000)/2),"Цена со скидкой должна быть от 25 до 20000000",IF(AND(IFERROR(VALUE(LEFT(M481,FIND("-",M481)-1)),M481)*150&lt;=72775,IFERROR(VALUE(LEFT(M481,FIND("-",M481)-1)),M481)*200&gt;72775),"Вы уменьшили цену в несколько раз, товар попадет в карантин цен",IF(IFERROR(VALUE(LEFT(M481,FIND("-",M481)-1)),M481)*200&lt;=72775,"Не сохранили изменения, чтобы защитить от ошибки — новые цены меньше текущих более чем в 2 раза. Снижайте их постепенно",IF(AND(IFERROR(VALUE(I481),0)=0,ISNUMBER(J481),OR(J481&lt;306,ABS(IFERROR(VALUE(LEFT(M481,FIND("-",M481)-1)),M481))*100&lt;30600)),"Проверьте цену товара. Большинство товаров в выбранной категории стоят дороже 306","")))))),"")</f>
      </c>
    </row>
    <row r="482">
      <c r="A482" s="2" t="inlineStr">
        <is>
          <t>Luxaro</t>
        </is>
      </c>
      <c r="B482" s="2" t="inlineStr">
        <is>
          <t>Тарелки</t>
        </is>
      </c>
      <c r="C482" s="2">
        <v>608869949</v>
      </c>
      <c r="D482" s="2" t="inlineStr">
        <is>
          <t>062396</t>
        </is>
      </c>
      <c r="E482" s="2" t="inlineStr">
        <is>
          <t>2047215481581</t>
        </is>
      </c>
      <c r="F482" s="2">
        <v>0</v>
      </c>
      <c r="G482" s="2">
        <v>0</v>
      </c>
      <c r="H482" s="2">
        <v>999</v>
      </c>
      <c r="I482" s="2" t="inlineStr">
        <is>
          <t>3933</t>
        </is>
      </c>
      <c r="J482" s="4"/>
      <c r="K482" s="2">
        <v>65</v>
      </c>
      <c r="L482" s="6"/>
      <c r="M482" s="2" t="str">
        <f>IF(J482="",ROUND(I482*(1-IF(ISBLANK(L482),K482,L482)/100),2),ROUND(J482*(1-IF(ISBLANK(L482),K482,L482)/100),2))</f>
      </c>
      <c r="N482" s="7" t="str">
        <f>IF(NOT(AND(J482="",L482="")),IF(OR(AND(L482&lt;&gt;"",NOT(ISNUMBER(L482))),IFERROR(MOD(L482,1),1)&gt;0,AND(ISNUMBER(L482),OR(L482&lt;0,L482&gt;95))),"Введите целое число от 0 до 95",IF(OR(AND(J482&lt;&gt;"",NOT(ISNUMBER(J482))),IFERROR(MOD(J482,1),1)&gt;0,AND(ISNUMBER(J482),OR(J482&lt;50,J482&gt;20000000))),"Введите целое число от 50 до 20000000",IF(NOT(ABS(IFERROR(VALUE(LEFT(M482,FIND("-",M482)-1)),M482)*100-(2500+2000000000)/2)&lt;=ABS(2500-2000000000)/2),"Цена со скидкой должна быть от 25 до 20000000",IF(AND(IFERROR(VALUE(LEFT(M482,FIND("-",M482)-1)),M482)*150&lt;=137655,IFERROR(VALUE(LEFT(M482,FIND("-",M482)-1)),M482)*200&gt;137655),"Вы уменьшили цену в несколько раз, товар попадет в карантин цен",IF(IFERROR(VALUE(LEFT(M482,FIND("-",M482)-1)),M482)*200&lt;=137655,"Не сохранили изменения, чтобы защитить от ошибки — новые цены меньше текущих более чем в 2 раза. Снижайте их постепенно",IF(AND(IFERROR(VALUE(I482),0)=0,ISNUMBER(J482),OR(J482&lt;413,ABS(IFERROR(VALUE(LEFT(M482,FIND("-",M482)-1)),M482))*100&lt;41300)),"Проверьте цену товара. Большинство товаров в выбранной категории стоят дороже 413","")))))),"")</f>
      </c>
    </row>
    <row r="483">
      <c r="A483" s="2" t="inlineStr">
        <is>
          <t>Luxaro</t>
        </is>
      </c>
      <c r="B483" s="2" t="inlineStr">
        <is>
          <t>Тарелки</t>
        </is>
      </c>
      <c r="C483" s="2">
        <v>611901050</v>
      </c>
      <c r="D483" s="2" t="inlineStr">
        <is>
          <t>700466</t>
        </is>
      </c>
      <c r="E483" s="2" t="inlineStr">
        <is>
          <t>2047237190485</t>
        </is>
      </c>
      <c r="F483" s="2">
        <v>0</v>
      </c>
      <c r="G483" s="2">
        <v>4</v>
      </c>
      <c r="H483" s="2">
        <v>999</v>
      </c>
      <c r="I483" s="2" t="inlineStr">
        <is>
          <t>5322</t>
        </is>
      </c>
      <c r="J483" s="4"/>
      <c r="K483" s="2">
        <v>65</v>
      </c>
      <c r="L483" s="6"/>
      <c r="M483" s="2" t="str">
        <f>IF(J483="",ROUND(I483*(1-IF(ISBLANK(L483),K483,L483)/100),2),ROUND(J483*(1-IF(ISBLANK(L483),K483,L483)/100),2))</f>
      </c>
      <c r="N483" s="7" t="str">
        <f>IF(NOT(AND(J483="",L483="")),IF(OR(AND(L483&lt;&gt;"",NOT(ISNUMBER(L483))),IFERROR(MOD(L483,1),1)&gt;0,AND(ISNUMBER(L483),OR(L483&lt;0,L483&gt;95))),"Введите целое число от 0 до 95",IF(OR(AND(J483&lt;&gt;"",NOT(ISNUMBER(J483))),IFERROR(MOD(J483,1),1)&gt;0,AND(ISNUMBER(J483),OR(J483&lt;50,J483&gt;20000000))),"Введите целое число от 50 до 20000000",IF(NOT(ABS(IFERROR(VALUE(LEFT(M483,FIND("-",M483)-1)),M483)*100-(2500+2000000000)/2)&lt;=ABS(2500-2000000000)/2),"Цена со скидкой должна быть от 25 до 20000000",IF(AND(IFERROR(VALUE(LEFT(M483,FIND("-",M483)-1)),M483)*150&lt;=186269,IFERROR(VALUE(LEFT(M483,FIND("-",M483)-1)),M483)*200&gt;186269),"Вы уменьшили цену в несколько раз, товар попадет в карантин цен",IF(IFERROR(VALUE(LEFT(M483,FIND("-",M483)-1)),M483)*200&lt;=186269,"Не сохранили изменения, чтобы защитить от ошибки — новые цены меньше текущих более чем в 2 раза. Снижайте их постепенно",IF(AND(IFERROR(VALUE(I483),0)=0,ISNUMBER(J483),OR(J483&lt;413,ABS(IFERROR(VALUE(LEFT(M483,FIND("-",M483)-1)),M483))*100&lt;41300)),"Проверьте цену товара. Большинство товаров в выбранной категории стоят дороже 413","")))))),"")</f>
      </c>
    </row>
    <row r="484">
      <c r="A484" s="2" t="inlineStr">
        <is>
          <t/>
        </is>
      </c>
      <c r="B484" s="2" t="inlineStr">
        <is>
          <t>Подставки для ножей</t>
        </is>
      </c>
      <c r="C484" s="2">
        <v>260897191</v>
      </c>
      <c r="D484" s="2" t="inlineStr">
        <is>
          <t>456184</t>
        </is>
      </c>
      <c r="E484" s="2" t="inlineStr">
        <is>
          <t>2041200134759</t>
        </is>
      </c>
      <c r="F484" s="2">
        <v>21</v>
      </c>
      <c r="G484" s="2">
        <v>4</v>
      </c>
      <c r="H484" s="2">
        <v>999</v>
      </c>
      <c r="I484" s="2" t="inlineStr">
        <is>
          <t>6402</t>
        </is>
      </c>
      <c r="J484" s="4"/>
      <c r="K484" s="2">
        <v>83</v>
      </c>
      <c r="L484" s="6"/>
      <c r="M484" s="2" t="str">
        <f>IF(J484="",ROUND(I484*(1-IF(ISBLANK(L484),K484,L484)/100),2),ROUND(J484*(1-IF(ISBLANK(L484),K484,L484)/100),2))</f>
      </c>
      <c r="N484" s="7" t="str">
        <f>IF(NOT(AND(J484="",L484="")),IF(OR(AND(L484&lt;&gt;"",NOT(ISNUMBER(L484))),IFERROR(MOD(L484,1),1)&gt;0,AND(ISNUMBER(L484),OR(L484&lt;0,L484&gt;95))),"Введите целое число от 0 до 95",IF(OR(AND(J484&lt;&gt;"",NOT(ISNUMBER(J484))),IFERROR(MOD(J484,1),1)&gt;0,AND(ISNUMBER(J484),OR(J484&lt;50,J484&gt;20000000))),"Введите целое число от 50 до 20000000",IF(NOT(ABS(IFERROR(VALUE(LEFT(M484,FIND("-",M484)-1)),M484)*100-(2500+2000000000)/2)&lt;=ABS(2500-2000000000)/2),"Цена со скидкой должна быть от 25 до 20000000",IF(AND(IFERROR(VALUE(LEFT(M484,FIND("-",M484)-1)),M484)*150&lt;=108834,IFERROR(VALUE(LEFT(M484,FIND("-",M484)-1)),M484)*200&gt;108834),"Вы уменьшили цену в несколько раз, товар попадет в карантин цен",IF(IFERROR(VALUE(LEFT(M484,FIND("-",M484)-1)),M484)*200&lt;=108834,"Не сохранили изменения, чтобы защитить от ошибки — новые цены меньше текущих более чем в 2 раза. Снижайте их постепенно",IF(AND(IFERROR(VALUE(I484),0)=0,ISNUMBER(J484),OR(J484&lt;488,ABS(IFERROR(VALUE(LEFT(M484,FIND("-",M484)-1)),M484))*100&lt;48800)),"Проверьте цену товара. Большинство товаров в выбранной категории стоят дороже 488","")))))),"")</f>
      </c>
    </row>
    <row r="485">
      <c r="A485" s="2" t="inlineStr">
        <is>
          <t>Luxaro</t>
        </is>
      </c>
      <c r="B485" s="2" t="inlineStr">
        <is>
          <t>Графины</t>
        </is>
      </c>
      <c r="C485" s="2">
        <v>278844476</v>
      </c>
      <c r="D485" s="2" t="inlineStr">
        <is>
          <t>121845</t>
        </is>
      </c>
      <c r="E485" s="2" t="inlineStr">
        <is>
          <t>2041687834630</t>
        </is>
      </c>
      <c r="F485" s="2">
        <v>0</v>
      </c>
      <c r="G485" s="2">
        <v>0</v>
      </c>
      <c r="H485" s="2">
        <v>1</v>
      </c>
      <c r="I485" s="2" t="inlineStr">
        <is>
          <t>11933</t>
        </is>
      </c>
      <c r="J485" s="4"/>
      <c r="K485" s="2">
        <v>65</v>
      </c>
      <c r="L485" s="6"/>
      <c r="M485" s="2" t="str">
        <f>IF(J485="",ROUND(I485*(1-IF(ISBLANK(L485),K485,L485)/100),2),ROUND(J485*(1-IF(ISBLANK(L485),K485,L485)/100),2))</f>
      </c>
      <c r="N485" s="7" t="str">
        <f>IF(NOT(AND(J485="",L485="")),IF(OR(AND(L485&lt;&gt;"",NOT(ISNUMBER(L485))),IFERROR(MOD(L485,1),1)&gt;0,AND(ISNUMBER(L485),OR(L485&lt;0,L485&gt;95))),"Введите целое число от 0 до 95",IF(OR(AND(J485&lt;&gt;"",NOT(ISNUMBER(J485))),IFERROR(MOD(J485,1),1)&gt;0,AND(ISNUMBER(J485),OR(J485&lt;50,J485&gt;20000000))),"Введите целое число от 50 до 20000000",IF(NOT(ABS(IFERROR(VALUE(LEFT(M485,FIND("-",M485)-1)),M485)*100-(2500+2000000000)/2)&lt;=ABS(2500-2000000000)/2),"Цена со скидкой должна быть от 25 до 20000000",IF(AND(IFERROR(VALUE(LEFT(M485,FIND("-",M485)-1)),M485)*150&lt;=417655,IFERROR(VALUE(LEFT(M485,FIND("-",M485)-1)),M485)*200&gt;417655),"Вы уменьшили цену в несколько раз, товар попадет в карантин цен",IF(IFERROR(VALUE(LEFT(M485,FIND("-",M485)-1)),M485)*200&lt;=417655,"Не сохранили изменения, чтобы защитить от ошибки — новые цены меньше текущих более чем в 2 раза. Снижайте их постепенно",IF(AND(IFERROR(VALUE(I485),0)=0,ISNUMBER(J485),OR(J485&lt;458,ABS(IFERROR(VALUE(LEFT(M485,FIND("-",M485)-1)),M485))*100&lt;45800)),"Проверьте цену товара. Большинство товаров в выбранной категории стоят дороже 458","")))))),"")</f>
      </c>
    </row>
    <row r="486">
      <c r="A486" s="2" t="inlineStr">
        <is>
          <t>Luxaro</t>
        </is>
      </c>
      <c r="B486" s="2" t="inlineStr">
        <is>
          <t>Графины</t>
        </is>
      </c>
      <c r="C486" s="2">
        <v>253393357</v>
      </c>
      <c r="D486" s="2" t="inlineStr">
        <is>
          <t>12902</t>
        </is>
      </c>
      <c r="E486" s="2" t="inlineStr">
        <is>
          <t>2040952048246</t>
        </is>
      </c>
      <c r="F486" s="2">
        <v>0</v>
      </c>
      <c r="G486" s="2">
        <v>0</v>
      </c>
      <c r="H486" s="2">
        <v>1</v>
      </c>
      <c r="I486" s="2" t="inlineStr">
        <is>
          <t>4252</t>
        </is>
      </c>
      <c r="J486" s="4"/>
      <c r="K486" s="2">
        <v>65</v>
      </c>
      <c r="L486" s="6"/>
      <c r="M486" s="2" t="str">
        <f>IF(J486="",ROUND(I486*(1-IF(ISBLANK(L486),K486,L486)/100),2),ROUND(J486*(1-IF(ISBLANK(L486),K486,L486)/100),2))</f>
      </c>
      <c r="N486" s="7" t="str">
        <f>IF(NOT(AND(J486="",L486="")),IF(OR(AND(L486&lt;&gt;"",NOT(ISNUMBER(L486))),IFERROR(MOD(L486,1),1)&gt;0,AND(ISNUMBER(L486),OR(L486&lt;0,L486&gt;95))),"Введите целое число от 0 до 95",IF(OR(AND(J486&lt;&gt;"",NOT(ISNUMBER(J486))),IFERROR(MOD(J486,1),1)&gt;0,AND(ISNUMBER(J486),OR(J486&lt;50,J486&gt;20000000))),"Введите целое число от 50 до 20000000",IF(NOT(ABS(IFERROR(VALUE(LEFT(M486,FIND("-",M486)-1)),M486)*100-(2500+2000000000)/2)&lt;=ABS(2500-2000000000)/2),"Цена со скидкой должна быть от 25 до 20000000",IF(AND(IFERROR(VALUE(LEFT(M486,FIND("-",M486)-1)),M486)*150&lt;=148819,IFERROR(VALUE(LEFT(M486,FIND("-",M486)-1)),M486)*200&gt;148819),"Вы уменьшили цену в несколько раз, товар попадет в карантин цен",IF(IFERROR(VALUE(LEFT(M486,FIND("-",M486)-1)),M486)*200&lt;=148819,"Не сохранили изменения, чтобы защитить от ошибки — новые цены меньше текущих более чем в 2 раза. Снижайте их постепенно",IF(AND(IFERROR(VALUE(I486),0)=0,ISNUMBER(J486),OR(J486&lt;458,ABS(IFERROR(VALUE(LEFT(M486,FIND("-",M486)-1)),M486))*100&lt;45800)),"Проверьте цену товара. Большинство товаров в выбранной категории стоят дороже 458","")))))),"")</f>
      </c>
    </row>
    <row r="487">
      <c r="A487" s="2" t="inlineStr">
        <is>
          <t>Pasabahce</t>
        </is>
      </c>
      <c r="B487" s="2" t="inlineStr">
        <is>
          <t>Стаканы</t>
        </is>
      </c>
      <c r="C487" s="2">
        <v>320909089</v>
      </c>
      <c r="D487" s="2" t="inlineStr">
        <is>
          <t>12011</t>
        </is>
      </c>
      <c r="E487" s="2" t="inlineStr">
        <is>
          <t>2042653250454</t>
        </is>
      </c>
      <c r="F487" s="2">
        <v>24</v>
      </c>
      <c r="G487" s="2">
        <v>9</v>
      </c>
      <c r="H487" s="2">
        <v>999</v>
      </c>
      <c r="I487" s="2" t="inlineStr">
        <is>
          <t>8340</t>
        </is>
      </c>
      <c r="J487" s="4"/>
      <c r="K487" s="2">
        <v>79</v>
      </c>
      <c r="L487" s="6"/>
      <c r="M487" s="2" t="str">
        <f>IF(J487="",ROUND(I487*(1-IF(ISBLANK(L487),K487,L487)/100),2),ROUND(J487*(1-IF(ISBLANK(L487),K487,L487)/100),2))</f>
      </c>
      <c r="N487" s="7" t="str">
        <f>IF(NOT(AND(J487="",L487="")),IF(OR(AND(L487&lt;&gt;"",NOT(ISNUMBER(L487))),IFERROR(MOD(L487,1),1)&gt;0,AND(ISNUMBER(L487),OR(L487&lt;0,L487&gt;95))),"Введите целое число от 0 до 95",IF(OR(AND(J487&lt;&gt;"",NOT(ISNUMBER(J487))),IFERROR(MOD(J487,1),1)&gt;0,AND(ISNUMBER(J487),OR(J487&lt;50,J487&gt;20000000))),"Введите целое число от 50 до 20000000",IF(NOT(ABS(IFERROR(VALUE(LEFT(M487,FIND("-",M487)-1)),M487)*100-(2500+2000000000)/2)&lt;=ABS(2500-2000000000)/2),"Цена со скидкой должна быть от 25 до 20000000",IF(AND(IFERROR(VALUE(LEFT(M487,FIND("-",M487)-1)),M487)*150&lt;=175139,IFERROR(VALUE(LEFT(M487,FIND("-",M487)-1)),M487)*200&gt;175139),"Вы уменьшили цену в несколько раз, товар попадет в карантин цен",IF(IFERROR(VALUE(LEFT(M487,FIND("-",M487)-1)),M487)*200&lt;=175139,"Не сохранили изменения, чтобы защитить от ошибки — новые цены меньше текущих более чем в 2 раза. Снижайте их постепенно",IF(AND(IFERROR(VALUE(I487),0)=0,ISNUMBER(J487),OR(J487&lt;317,ABS(IFERROR(VALUE(LEFT(M487,FIND("-",M487)-1)),M487))*100&lt;31700)),"Проверьте цену товара. Большинство товаров в выбранной категории стоят дороже 317","")))))),"")</f>
      </c>
    </row>
    <row r="488">
      <c r="A488" s="2" t="inlineStr">
        <is>
          <t>Pasabahce</t>
        </is>
      </c>
      <c r="B488" s="2" t="inlineStr">
        <is>
          <t>Графины</t>
        </is>
      </c>
      <c r="C488" s="2">
        <v>320404636</v>
      </c>
      <c r="D488" s="2" t="inlineStr">
        <is>
          <t>100451</t>
        </is>
      </c>
      <c r="E488" s="2" t="inlineStr">
        <is>
          <t>4670294453156</t>
        </is>
      </c>
      <c r="F488" s="2">
        <v>158</v>
      </c>
      <c r="G488" s="2">
        <v>0</v>
      </c>
      <c r="H488" s="2">
        <v>298</v>
      </c>
      <c r="I488" s="2" t="inlineStr">
        <is>
          <t>6410</t>
        </is>
      </c>
      <c r="J488" s="4"/>
      <c r="K488" s="2">
        <v>80</v>
      </c>
      <c r="L488" s="6"/>
      <c r="M488" s="2" t="str">
        <f>IF(J488="",ROUND(I488*(1-IF(ISBLANK(L488),K488,L488)/100),2),ROUND(J488*(1-IF(ISBLANK(L488),K488,L488)/100),2))</f>
      </c>
      <c r="N488" s="7" t="str">
        <f>IF(NOT(AND(J488="",L488="")),IF(OR(AND(L488&lt;&gt;"",NOT(ISNUMBER(L488))),IFERROR(MOD(L488,1),1)&gt;0,AND(ISNUMBER(L488),OR(L488&lt;0,L488&gt;95))),"Введите целое число от 0 до 95",IF(OR(AND(J488&lt;&gt;"",NOT(ISNUMBER(J488))),IFERROR(MOD(J488,1),1)&gt;0,AND(ISNUMBER(J488),OR(J488&lt;50,J488&gt;20000000))),"Введите целое число от 50 до 20000000",IF(NOT(ABS(IFERROR(VALUE(LEFT(M488,FIND("-",M488)-1)),M488)*100-(2500+2000000000)/2)&lt;=ABS(2500-2000000000)/2),"Цена со скидкой должна быть от 25 до 20000000",IF(AND(IFERROR(VALUE(LEFT(M488,FIND("-",M488)-1)),M488)*150&lt;=128199,IFERROR(VALUE(LEFT(M488,FIND("-",M488)-1)),M488)*200&gt;128199),"Вы уменьшили цену в несколько раз, товар попадет в карантин цен",IF(IFERROR(VALUE(LEFT(M488,FIND("-",M488)-1)),M488)*200&lt;=128199,"Не сохранили изменения, чтобы защитить от ошибки — новые цены меньше текущих более чем в 2 раза. Снижайте их постепенно",IF(AND(IFERROR(VALUE(I488),0)=0,ISNUMBER(J488),OR(J488&lt;458,ABS(IFERROR(VALUE(LEFT(M488,FIND("-",M488)-1)),M488))*100&lt;45800)),"Проверьте цену товара. Большинство товаров в выбранной категории стоят дороже 458","")))))),"")</f>
      </c>
    </row>
    <row r="489">
      <c r="A489" s="2" t="inlineStr">
        <is>
          <t>Luxaro</t>
        </is>
      </c>
      <c r="B489" s="2" t="inlineStr">
        <is>
          <t>Графины</t>
        </is>
      </c>
      <c r="C489" s="2">
        <v>278844475</v>
      </c>
      <c r="D489" s="2" t="inlineStr">
        <is>
          <t>121844</t>
        </is>
      </c>
      <c r="E489" s="2" t="inlineStr">
        <is>
          <t>2041687830281</t>
        </is>
      </c>
      <c r="F489" s="2">
        <v>0</v>
      </c>
      <c r="G489" s="2">
        <v>0</v>
      </c>
      <c r="H489" s="2">
        <v>1</v>
      </c>
      <c r="I489" s="2" t="inlineStr">
        <is>
          <t>7889</t>
        </is>
      </c>
      <c r="J489" s="4"/>
      <c r="K489" s="2">
        <v>75</v>
      </c>
      <c r="L489" s="6"/>
      <c r="M489" s="2" t="str">
        <f>IF(J489="",ROUND(I489*(1-IF(ISBLANK(L489),K489,L489)/100),2),ROUND(J489*(1-IF(ISBLANK(L489),K489,L489)/100),2))</f>
      </c>
      <c r="N489" s="7" t="str">
        <f>IF(NOT(AND(J489="",L489="")),IF(OR(AND(L489&lt;&gt;"",NOT(ISNUMBER(L489))),IFERROR(MOD(L489,1),1)&gt;0,AND(ISNUMBER(L489),OR(L489&lt;0,L489&gt;95))),"Введите целое число от 0 до 95",IF(OR(AND(J489&lt;&gt;"",NOT(ISNUMBER(J489))),IFERROR(MOD(J489,1),1)&gt;0,AND(ISNUMBER(J489),OR(J489&lt;50,J489&gt;20000000))),"Введите целое число от 50 до 20000000",IF(NOT(ABS(IFERROR(VALUE(LEFT(M489,FIND("-",M489)-1)),M489)*100-(2500+2000000000)/2)&lt;=ABS(2500-2000000000)/2),"Цена со скидкой должна быть от 25 до 20000000",IF(AND(IFERROR(VALUE(LEFT(M489,FIND("-",M489)-1)),M489)*150&lt;=197225,IFERROR(VALUE(LEFT(M489,FIND("-",M489)-1)),M489)*200&gt;197225),"Вы уменьшили цену в несколько раз, товар попадет в карантин цен",IF(IFERROR(VALUE(LEFT(M489,FIND("-",M489)-1)),M489)*200&lt;=197225,"Не сохранили изменения, чтобы защитить от ошибки — новые цены меньше текущих более чем в 2 раза. Снижайте их постепенно",IF(AND(IFERROR(VALUE(I489),0)=0,ISNUMBER(J489),OR(J489&lt;458,ABS(IFERROR(VALUE(LEFT(M489,FIND("-",M489)-1)),M489))*100&lt;45800)),"Проверьте цену товара. Большинство товаров в выбранной категории стоят дороже 458","")))))),"")</f>
      </c>
    </row>
    <row r="490">
      <c r="A490" s="2" t="inlineStr">
        <is>
          <t>Laly Бижутерия</t>
        </is>
      </c>
      <c r="B490" s="2" t="inlineStr">
        <is>
          <t>Чокеры</t>
        </is>
      </c>
      <c r="C490" s="2">
        <v>273916404</v>
      </c>
      <c r="D490" s="2" t="inlineStr">
        <is>
          <t>55790</t>
        </is>
      </c>
      <c r="E490" s="2" t="inlineStr">
        <is>
          <t>4670294453583</t>
        </is>
      </c>
      <c r="F490" s="2">
        <v>1</v>
      </c>
      <c r="G490" s="2">
        <v>0</v>
      </c>
      <c r="H490" s="2">
        <v>7</v>
      </c>
      <c r="I490" s="2" t="inlineStr">
        <is>
          <t>1860</t>
        </is>
      </c>
      <c r="J490" s="4"/>
      <c r="K490" s="2">
        <v>79</v>
      </c>
      <c r="L490" s="6"/>
      <c r="M490" s="2" t="str">
        <f>IF(J490="",ROUND(I490*(1-IF(ISBLANK(L490),K490,L490)/100),2),ROUND(J490*(1-IF(ISBLANK(L490),K490,L490)/100),2))</f>
      </c>
      <c r="N490" s="7" t="str">
        <f>IF(NOT(AND(J490="",L490="")),IF(OR(AND(L490&lt;&gt;"",NOT(ISNUMBER(L490))),IFERROR(MOD(L490,1),1)&gt;0,AND(ISNUMBER(L490),OR(L490&lt;0,L490&gt;95))),"Введите целое число от 0 до 95",IF(OR(AND(J490&lt;&gt;"",NOT(ISNUMBER(J490))),IFERROR(MOD(J490,1),1)&gt;0,AND(ISNUMBER(J490),OR(J490&lt;50,J490&gt;20000000))),"Введите целое число от 50 до 20000000",IF(NOT(ABS(IFERROR(VALUE(LEFT(M490,FIND("-",M490)-1)),M490)*100-(2500+2000000000)/2)&lt;=ABS(2500-2000000000)/2),"Цена со скидкой должна быть от 25 до 20000000",IF(AND(IFERROR(VALUE(LEFT(M490,FIND("-",M490)-1)),M490)*150&lt;=39059,IFERROR(VALUE(LEFT(M490,FIND("-",M490)-1)),M490)*200&gt;39059),"Вы уменьшили цену в несколько раз, товар попадет в карантин цен",IF(IFERROR(VALUE(LEFT(M490,FIND("-",M490)-1)),M490)*200&lt;=39059,"Не сохранили изменения, чтобы защитить от ошибки — новые цены меньше текущих более чем в 2 раза. Снижайте их постепенно",IF(AND(IFERROR(VALUE(I490),0)=0,ISNUMBER(J490),OR(J490&lt;197,ABS(IFERROR(VALUE(LEFT(M490,FIND("-",M490)-1)),M490))*100&lt;19700)),"Проверьте цену товара. Большинство товаров в выбранной категории стоят дороже 197","")))))),"")</f>
      </c>
    </row>
    <row r="491">
      <c r="A491" s="2" t="inlineStr">
        <is>
          <t>Luxaro</t>
        </is>
      </c>
      <c r="B491" s="2" t="inlineStr">
        <is>
          <t>Графины</t>
        </is>
      </c>
      <c r="C491" s="2">
        <v>302475034</v>
      </c>
      <c r="D491" s="2" t="inlineStr">
        <is>
          <t>100452</t>
        </is>
      </c>
      <c r="E491" s="2" t="inlineStr">
        <is>
          <t>2042251219334</t>
        </is>
      </c>
      <c r="F491" s="2">
        <v>0</v>
      </c>
      <c r="G491" s="2">
        <v>0</v>
      </c>
      <c r="H491" s="2">
        <v>999</v>
      </c>
      <c r="I491" s="2" t="inlineStr">
        <is>
          <t>7742</t>
        </is>
      </c>
      <c r="J491" s="4"/>
      <c r="K491" s="2">
        <v>65</v>
      </c>
      <c r="L491" s="6"/>
      <c r="M491" s="2" t="str">
        <f>IF(J491="",ROUND(I491*(1-IF(ISBLANK(L491),K491,L491)/100),2),ROUND(J491*(1-IF(ISBLANK(L491),K491,L491)/100),2))</f>
      </c>
      <c r="N491" s="7" t="str">
        <f>IF(NOT(AND(J491="",L491="")),IF(OR(AND(L491&lt;&gt;"",NOT(ISNUMBER(L491))),IFERROR(MOD(L491,1),1)&gt;0,AND(ISNUMBER(L491),OR(L491&lt;0,L491&gt;95))),"Введите целое число от 0 до 95",IF(OR(AND(J491&lt;&gt;"",NOT(ISNUMBER(J491))),IFERROR(MOD(J491,1),1)&gt;0,AND(ISNUMBER(J491),OR(J491&lt;50,J491&gt;20000000))),"Введите целое число от 50 до 20000000",IF(NOT(ABS(IFERROR(VALUE(LEFT(M491,FIND("-",M491)-1)),M491)*100-(2500+2000000000)/2)&lt;=ABS(2500-2000000000)/2),"Цена со скидкой должна быть от 25 до 20000000",IF(AND(IFERROR(VALUE(LEFT(M491,FIND("-",M491)-1)),M491)*150&lt;=270970,IFERROR(VALUE(LEFT(M491,FIND("-",M491)-1)),M491)*200&gt;270970),"Вы уменьшили цену в несколько раз, товар попадет в карантин цен",IF(IFERROR(VALUE(LEFT(M491,FIND("-",M491)-1)),M491)*200&lt;=270970,"Не сохранили изменения, чтобы защитить от ошибки — новые цены меньше текущих более чем в 2 раза. Снижайте их постепенно",IF(AND(IFERROR(VALUE(I491),0)=0,ISNUMBER(J491),OR(J491&lt;458,ABS(IFERROR(VALUE(LEFT(M491,FIND("-",M491)-1)),M491))*100&lt;45800)),"Проверьте цену товара. Большинство товаров в выбранной категории стоят дороже 458","")))))),"")</f>
      </c>
    </row>
    <row r="492">
      <c r="A492" s="2" t="inlineStr">
        <is>
          <t>Pasabahce</t>
        </is>
      </c>
      <c r="B492" s="2" t="inlineStr">
        <is>
          <t>Графины</t>
        </is>
      </c>
      <c r="C492" s="2">
        <v>253242952</v>
      </c>
      <c r="D492" s="2" t="inlineStr">
        <is>
          <t>12681</t>
        </is>
      </c>
      <c r="E492" s="2" t="inlineStr">
        <is>
          <t>2040948878178</t>
        </is>
      </c>
      <c r="F492" s="2">
        <v>0</v>
      </c>
      <c r="G492" s="2">
        <v>0</v>
      </c>
      <c r="H492" s="2">
        <v>999</v>
      </c>
      <c r="I492" s="2" t="inlineStr">
        <is>
          <t>3062</t>
        </is>
      </c>
      <c r="J492" s="4"/>
      <c r="K492" s="2">
        <v>65</v>
      </c>
      <c r="L492" s="6"/>
      <c r="M492" s="2" t="str">
        <f>IF(J492="",ROUND(I492*(1-IF(ISBLANK(L492),K492,L492)/100),2),ROUND(J492*(1-IF(ISBLANK(L492),K492,L492)/100),2))</f>
      </c>
      <c r="N492" s="7" t="str">
        <f>IF(NOT(AND(J492="",L492="")),IF(OR(AND(L492&lt;&gt;"",NOT(ISNUMBER(L492))),IFERROR(MOD(L492,1),1)&gt;0,AND(ISNUMBER(L492),OR(L492&lt;0,L492&gt;95))),"Введите целое число от 0 до 95",IF(OR(AND(J492&lt;&gt;"",NOT(ISNUMBER(J492))),IFERROR(MOD(J492,1),1)&gt;0,AND(ISNUMBER(J492),OR(J492&lt;50,J492&gt;20000000))),"Введите целое число от 50 до 20000000",IF(NOT(ABS(IFERROR(VALUE(LEFT(M492,FIND("-",M492)-1)),M492)*100-(2500+2000000000)/2)&lt;=ABS(2500-2000000000)/2),"Цена со скидкой должна быть от 25 до 20000000",IF(AND(IFERROR(VALUE(LEFT(M492,FIND("-",M492)-1)),M492)*150&lt;=107170,IFERROR(VALUE(LEFT(M492,FIND("-",M492)-1)),M492)*200&gt;107170),"Вы уменьшили цену в несколько раз, товар попадет в карантин цен",IF(IFERROR(VALUE(LEFT(M492,FIND("-",M492)-1)),M492)*200&lt;=107170,"Не сохранили изменения, чтобы защитить от ошибки — новые цены меньше текущих более чем в 2 раза. Снижайте их постепенно",IF(AND(IFERROR(VALUE(I492),0)=0,ISNUMBER(J492),OR(J492&lt;458,ABS(IFERROR(VALUE(LEFT(M492,FIND("-",M492)-1)),M492))*100&lt;45800)),"Проверьте цену товара. Большинство товаров в выбранной категории стоят дороже 458","")))))),"")</f>
      </c>
    </row>
    <row r="493">
      <c r="A493" s="2" t="inlineStr">
        <is>
          <t>Laly Бижутерия</t>
        </is>
      </c>
      <c r="B493" s="2" t="inlineStr">
        <is>
          <t>Колье</t>
        </is>
      </c>
      <c r="C493" s="2">
        <v>264662109</v>
      </c>
      <c r="D493" s="2" t="inlineStr">
        <is>
          <t>550048</t>
        </is>
      </c>
      <c r="E493" s="2" t="inlineStr">
        <is>
          <t>4670294453712</t>
        </is>
      </c>
      <c r="F493" s="2">
        <v>2</v>
      </c>
      <c r="G493" s="2">
        <v>0</v>
      </c>
      <c r="H493" s="2">
        <v>64</v>
      </c>
      <c r="I493" s="2" t="inlineStr">
        <is>
          <t>2488</t>
        </is>
      </c>
      <c r="J493" s="4"/>
      <c r="K493" s="2">
        <v>80</v>
      </c>
      <c r="L493" s="6"/>
      <c r="M493" s="2" t="str">
        <f>IF(J493="",ROUND(I493*(1-IF(ISBLANK(L493),K493,L493)/100),2),ROUND(J493*(1-IF(ISBLANK(L493),K493,L493)/100),2))</f>
      </c>
      <c r="N493" s="7" t="str">
        <f>IF(NOT(AND(J493="",L493="")),IF(OR(AND(L493&lt;&gt;"",NOT(ISNUMBER(L493))),IFERROR(MOD(L493,1),1)&gt;0,AND(ISNUMBER(L493),OR(L493&lt;0,L493&gt;95))),"Введите целое число от 0 до 95",IF(OR(AND(J493&lt;&gt;"",NOT(ISNUMBER(J493))),IFERROR(MOD(J493,1),1)&gt;0,AND(ISNUMBER(J493),OR(J493&lt;50,J493&gt;20000000))),"Введите целое число от 50 до 20000000",IF(NOT(ABS(IFERROR(VALUE(LEFT(M493,FIND("-",M493)-1)),M493)*100-(2500+2000000000)/2)&lt;=ABS(2500-2000000000)/2),"Цена со скидкой должна быть от 25 до 20000000",IF(AND(IFERROR(VALUE(LEFT(M493,FIND("-",M493)-1)),M493)*150&lt;=49759,IFERROR(VALUE(LEFT(M493,FIND("-",M493)-1)),M493)*200&gt;49759),"Вы уменьшили цену в несколько раз, товар попадет в карантин цен",IF(IFERROR(VALUE(LEFT(M493,FIND("-",M493)-1)),M493)*200&lt;=49759,"Не сохранили изменения, чтобы защитить от ошибки — новые цены меньше текущих более чем в 2 раза. Снижайте их постепенно",IF(AND(IFERROR(VALUE(I493),0)=0,ISNUMBER(J493),OR(J493&lt;222,ABS(IFERROR(VALUE(LEFT(M493,FIND("-",M493)-1)),M493))*100&lt;22200)),"Проверьте цену товара. Большинство товаров в выбранной категории стоят дороже 222","")))))),"")</f>
      </c>
    </row>
    <row r="494">
      <c r="A494" s="2" t="inlineStr">
        <is>
          <t>Laly Бижутерия</t>
        </is>
      </c>
      <c r="B494" s="2" t="inlineStr">
        <is>
          <t>Колье</t>
        </is>
      </c>
      <c r="C494" s="2">
        <v>273934917</v>
      </c>
      <c r="D494" s="2" t="inlineStr">
        <is>
          <t>550044</t>
        </is>
      </c>
      <c r="E494" s="2" t="inlineStr">
        <is>
          <t>4670294453675</t>
        </is>
      </c>
      <c r="F494" s="2">
        <v>82</v>
      </c>
      <c r="G494" s="2">
        <v>0</v>
      </c>
      <c r="H494" s="2">
        <v>823</v>
      </c>
      <c r="I494" s="2" t="inlineStr">
        <is>
          <t>3394</t>
        </is>
      </c>
      <c r="J494" s="4"/>
      <c r="K494" s="2">
        <v>77</v>
      </c>
      <c r="L494" s="6"/>
      <c r="M494" s="2" t="str">
        <f>IF(J494="",ROUND(I494*(1-IF(ISBLANK(L494),K494,L494)/100),2),ROUND(J494*(1-IF(ISBLANK(L494),K494,L494)/100),2))</f>
      </c>
      <c r="N494" s="7" t="str">
        <f>IF(NOT(AND(J494="",L494="")),IF(OR(AND(L494&lt;&gt;"",NOT(ISNUMBER(L494))),IFERROR(MOD(L494,1),1)&gt;0,AND(ISNUMBER(L494),OR(L494&lt;0,L494&gt;95))),"Введите целое число от 0 до 95",IF(OR(AND(J494&lt;&gt;"",NOT(ISNUMBER(J494))),IFERROR(MOD(J494,1),1)&gt;0,AND(ISNUMBER(J494),OR(J494&lt;50,J494&gt;20000000))),"Введите целое число от 50 до 20000000",IF(NOT(ABS(IFERROR(VALUE(LEFT(M494,FIND("-",M494)-1)),M494)*100-(2500+2000000000)/2)&lt;=ABS(2500-2000000000)/2),"Цена со скидкой должна быть от 25 до 20000000",IF(AND(IFERROR(VALUE(LEFT(M494,FIND("-",M494)-1)),M494)*150&lt;=78061,IFERROR(VALUE(LEFT(M494,FIND("-",M494)-1)),M494)*200&gt;78061),"Вы уменьшили цену в несколько раз, товар попадет в карантин цен",IF(IFERROR(VALUE(LEFT(M494,FIND("-",M494)-1)),M494)*200&lt;=78061,"Не сохранили изменения, чтобы защитить от ошибки — новые цены меньше текущих более чем в 2 раза. Снижайте их постепенно",IF(AND(IFERROR(VALUE(I494),0)=0,ISNUMBER(J494),OR(J494&lt;222,ABS(IFERROR(VALUE(LEFT(M494,FIND("-",M494)-1)),M494))*100&lt;22200)),"Проверьте цену товара. Большинство товаров в выбранной категории стоят дороже 222","")))))),"")</f>
      </c>
    </row>
    <row r="495">
      <c r="A495" s="2" t="inlineStr">
        <is>
          <t>Luxaro</t>
        </is>
      </c>
      <c r="B495" s="2" t="inlineStr">
        <is>
          <t>Графины</t>
        </is>
      </c>
      <c r="C495" s="2">
        <v>320406379</v>
      </c>
      <c r="D495" s="2" t="inlineStr">
        <is>
          <t>100450</t>
        </is>
      </c>
      <c r="E495" s="2" t="inlineStr">
        <is>
          <t>2042641600735</t>
        </is>
      </c>
      <c r="F495" s="2">
        <v>0</v>
      </c>
      <c r="G495" s="2">
        <v>0</v>
      </c>
      <c r="H495" s="2">
        <v>1</v>
      </c>
      <c r="I495" s="2" t="inlineStr">
        <is>
          <t>3954</t>
        </is>
      </c>
      <c r="J495" s="4"/>
      <c r="K495" s="2">
        <v>65</v>
      </c>
      <c r="L495" s="6"/>
      <c r="M495" s="2" t="str">
        <f>IF(J495="",ROUND(I495*(1-IF(ISBLANK(L495),K495,L495)/100),2),ROUND(J495*(1-IF(ISBLANK(L495),K495,L495)/100),2))</f>
      </c>
      <c r="N495" s="7" t="str">
        <f>IF(NOT(AND(J495="",L495="")),IF(OR(AND(L495&lt;&gt;"",NOT(ISNUMBER(L495))),IFERROR(MOD(L495,1),1)&gt;0,AND(ISNUMBER(L495),OR(L495&lt;0,L495&gt;95))),"Введите целое число от 0 до 95",IF(OR(AND(J495&lt;&gt;"",NOT(ISNUMBER(J495))),IFERROR(MOD(J495,1),1)&gt;0,AND(ISNUMBER(J495),OR(J495&lt;50,J495&gt;20000000))),"Введите целое число от 50 до 20000000",IF(NOT(ABS(IFERROR(VALUE(LEFT(M495,FIND("-",M495)-1)),M495)*100-(2500+2000000000)/2)&lt;=ABS(2500-2000000000)/2),"Цена со скидкой должна быть от 25 до 20000000",IF(AND(IFERROR(VALUE(LEFT(M495,FIND("-",M495)-1)),M495)*150&lt;=138390,IFERROR(VALUE(LEFT(M495,FIND("-",M495)-1)),M495)*200&gt;138390),"Вы уменьшили цену в несколько раз, товар попадет в карантин цен",IF(IFERROR(VALUE(LEFT(M495,FIND("-",M495)-1)),M495)*200&lt;=138390,"Не сохранили изменения, чтобы защитить от ошибки — новые цены меньше текущих более чем в 2 раза. Снижайте их постепенно",IF(AND(IFERROR(VALUE(I495),0)=0,ISNUMBER(J495),OR(J495&lt;458,ABS(IFERROR(VALUE(LEFT(M495,FIND("-",M495)-1)),M495))*100&lt;45800)),"Проверьте цену товара. Большинство товаров в выбранной категории стоят дороже 458","")))))),"")</f>
      </c>
    </row>
    <row r="496">
      <c r="A496" s="2" t="inlineStr">
        <is>
          <t/>
        </is>
      </c>
      <c r="B496" s="2" t="inlineStr">
        <is>
          <t>Стаканы</t>
        </is>
      </c>
      <c r="C496" s="2">
        <v>600639302</v>
      </c>
      <c r="D496" s="2" t="inlineStr">
        <is>
          <t>52885</t>
        </is>
      </c>
      <c r="E496" s="2" t="inlineStr">
        <is>
          <t>2047129194355</t>
        </is>
      </c>
      <c r="F496" s="2">
        <v>0</v>
      </c>
      <c r="G496" s="2">
        <v>0</v>
      </c>
      <c r="H496" s="2" t="inlineStr">
        <is>
          <t/>
        </is>
      </c>
      <c r="I496" s="2" t="inlineStr">
        <is>
          <t>4527</t>
        </is>
      </c>
      <c r="J496" s="4"/>
      <c r="K496" s="2">
        <v>65</v>
      </c>
      <c r="L496" s="6"/>
      <c r="M496" s="2" t="str">
        <f>IF(J496="",ROUND(I496*(1-IF(ISBLANK(L496),K496,L496)/100),2),ROUND(J496*(1-IF(ISBLANK(L496),K496,L496)/100),2))</f>
      </c>
      <c r="N496" s="7" t="str">
        <f>IF(NOT(AND(J496="",L496="")),IF(OR(AND(L496&lt;&gt;"",NOT(ISNUMBER(L496))),IFERROR(MOD(L496,1),1)&gt;0,AND(ISNUMBER(L496),OR(L496&lt;0,L496&gt;95))),"Введите целое число от 0 до 95",IF(OR(AND(J496&lt;&gt;"",NOT(ISNUMBER(J496))),IFERROR(MOD(J496,1),1)&gt;0,AND(ISNUMBER(J496),OR(J496&lt;50,J496&gt;20000000))),"Введите целое число от 50 до 20000000",IF(NOT(ABS(IFERROR(VALUE(LEFT(M496,FIND("-",M496)-1)),M496)*100-(2500+2000000000)/2)&lt;=ABS(2500-2000000000)/2),"Цена со скидкой должна быть от 25 до 20000000",IF(AND(IFERROR(VALUE(LEFT(M496,FIND("-",M496)-1)),M496)*150&lt;=158444,IFERROR(VALUE(LEFT(M496,FIND("-",M496)-1)),M496)*200&gt;158444),"Вы уменьшили цену в несколько раз, товар попадет в карантин цен",IF(IFERROR(VALUE(LEFT(M496,FIND("-",M496)-1)),M496)*200&lt;=158444,"Не сохранили изменения, чтобы защитить от ошибки — новые цены меньше текущих более чем в 2 раза. Снижайте их постепенно",IF(AND(IFERROR(VALUE(I496),0)=0,ISNUMBER(J496),OR(J496&lt;317,ABS(IFERROR(VALUE(LEFT(M496,FIND("-",M496)-1)),M496))*100&lt;31700)),"Проверьте цену товара. Большинство товаров в выбранной категории стоят дороже 317","")))))),"")</f>
      </c>
    </row>
    <row r="497">
      <c r="A497" s="2" t="inlineStr">
        <is>
          <t>Laly Бижутерия</t>
        </is>
      </c>
      <c r="B497" s="2" t="inlineStr">
        <is>
          <t>Серьги</t>
        </is>
      </c>
      <c r="C497" s="2">
        <v>273916705</v>
      </c>
      <c r="D497" s="2" t="inlineStr">
        <is>
          <t>55763</t>
        </is>
      </c>
      <c r="E497" s="2" t="inlineStr">
        <is>
          <t>4670294453378</t>
        </is>
      </c>
      <c r="F497" s="2">
        <v>324</v>
      </c>
      <c r="G497" s="2">
        <v>94</v>
      </c>
      <c r="H497" s="2">
        <v>999</v>
      </c>
      <c r="I497" s="2" t="inlineStr">
        <is>
          <t>3992</t>
        </is>
      </c>
      <c r="J497" s="4"/>
      <c r="K497" s="2">
        <v>82</v>
      </c>
      <c r="L497" s="6"/>
      <c r="M497" s="2" t="str">
        <f>IF(J497="",ROUND(I497*(1-IF(ISBLANK(L497),K497,L497)/100),2),ROUND(J497*(1-IF(ISBLANK(L497),K497,L497)/100),2))</f>
      </c>
      <c r="N497" s="7" t="str">
        <f>IF(NOT(AND(J497="",L497="")),IF(OR(AND(L497&lt;&gt;"",NOT(ISNUMBER(L497))),IFERROR(MOD(L497,1),1)&gt;0,AND(ISNUMBER(L497),OR(L497&lt;0,L497&gt;95))),"Введите целое число от 0 до 95",IF(OR(AND(J497&lt;&gt;"",NOT(ISNUMBER(J497))),IFERROR(MOD(J497,1),1)&gt;0,AND(ISNUMBER(J497),OR(J497&lt;50,J497&gt;20000000))),"Введите целое число от 50 до 20000000",IF(NOT(ABS(IFERROR(VALUE(LEFT(M497,FIND("-",M497)-1)),M497)*100-(2500+2000000000)/2)&lt;=ABS(2500-2000000000)/2),"Цена со скидкой должна быть от 25 до 20000000",IF(AND(IFERROR(VALUE(LEFT(M497,FIND("-",M497)-1)),M497)*150&lt;=71856,IFERROR(VALUE(LEFT(M497,FIND("-",M497)-1)),M497)*200&gt;71856),"Вы уменьшили цену в несколько раз, товар попадет в карантин цен",IF(IFERROR(VALUE(LEFT(M497,FIND("-",M497)-1)),M497)*200&lt;=71856,"Не сохранили изменения, чтобы защитить от ошибки — новые цены меньше текущих более чем в 2 раза. Снижайте их постепенно",IF(AND(IFERROR(VALUE(I497),0)=0,ISNUMBER(J497),OR(J497&lt;207,ABS(IFERROR(VALUE(LEFT(M497,FIND("-",M497)-1)),M497))*100&lt;20700)),"Проверьте цену товара. Большинство товаров в выбранной категории стоят дороже 207","")))))),"")</f>
      </c>
    </row>
    <row r="498">
      <c r="A498" s="2" t="inlineStr">
        <is>
          <t>Laly Бижутерия</t>
        </is>
      </c>
      <c r="B498" s="2" t="inlineStr">
        <is>
          <t>Чокеры</t>
        </is>
      </c>
      <c r="C498" s="2">
        <v>273916406</v>
      </c>
      <c r="D498" s="2" t="inlineStr">
        <is>
          <t>55792</t>
        </is>
      </c>
      <c r="E498" s="2" t="inlineStr">
        <is>
          <t>4670294453606</t>
        </is>
      </c>
      <c r="F498" s="2">
        <v>66</v>
      </c>
      <c r="G498" s="2">
        <v>0</v>
      </c>
      <c r="H498" s="2">
        <v>999</v>
      </c>
      <c r="I498" s="2" t="inlineStr">
        <is>
          <t>1156</t>
        </is>
      </c>
      <c r="J498" s="4"/>
      <c r="K498" s="2">
        <v>84</v>
      </c>
      <c r="L498" s="6"/>
      <c r="M498" s="2" t="str">
        <f>IF(J498="",ROUND(I498*(1-IF(ISBLANK(L498),K498,L498)/100),2),ROUND(J498*(1-IF(ISBLANK(L498),K498,L498)/100),2))</f>
      </c>
      <c r="N498" s="7" t="str">
        <f>IF(NOT(AND(J498="",L498="")),IF(OR(AND(L498&lt;&gt;"",NOT(ISNUMBER(L498))),IFERROR(MOD(L498,1),1)&gt;0,AND(ISNUMBER(L498),OR(L498&lt;0,L498&gt;95))),"Введите целое число от 0 до 95",IF(OR(AND(J498&lt;&gt;"",NOT(ISNUMBER(J498))),IFERROR(MOD(J498,1),1)&gt;0,AND(ISNUMBER(J498),OR(J498&lt;50,J498&gt;20000000))),"Введите целое число от 50 до 20000000",IF(NOT(ABS(IFERROR(VALUE(LEFT(M498,FIND("-",M498)-1)),M498)*100-(2500+2000000000)/2)&lt;=ABS(2500-2000000000)/2),"Цена со скидкой должна быть от 25 до 20000000",IF(AND(IFERROR(VALUE(LEFT(M498,FIND("-",M498)-1)),M498)*150&lt;=18496,IFERROR(VALUE(LEFT(M498,FIND("-",M498)-1)),M498)*200&gt;18496),"Вы уменьшили цену в несколько раз, товар попадет в карантин цен",IF(IFERROR(VALUE(LEFT(M498,FIND("-",M498)-1)),M498)*200&lt;=18496,"Не сохранили изменения, чтобы защитить от ошибки — новые цены меньше текущих более чем в 2 раза. Снижайте их постепенно",IF(AND(IFERROR(VALUE(I498),0)=0,ISNUMBER(J498),OR(J498&lt;197,ABS(IFERROR(VALUE(LEFT(M498,FIND("-",M498)-1)),M498))*100&lt;19700)),"Проверьте цену товара. Большинство товаров в выбранной категории стоят дороже 197","")))))),"")</f>
      </c>
    </row>
    <row r="499">
      <c r="A499" s="2" t="inlineStr">
        <is>
          <t>Laly Бижутерия</t>
        </is>
      </c>
      <c r="B499" s="2" t="inlineStr">
        <is>
          <t>Серьги</t>
        </is>
      </c>
      <c r="C499" s="2">
        <v>273916704</v>
      </c>
      <c r="D499" s="2" t="inlineStr">
        <is>
          <t>55393</t>
        </is>
      </c>
      <c r="E499" s="2" t="inlineStr">
        <is>
          <t>4670294453248</t>
        </is>
      </c>
      <c r="F499" s="2">
        <v>0</v>
      </c>
      <c r="G499" s="2">
        <v>1</v>
      </c>
      <c r="H499" s="2">
        <v>999</v>
      </c>
      <c r="I499" s="2" t="inlineStr">
        <is>
          <t>2311</t>
        </is>
      </c>
      <c r="J499" s="4"/>
      <c r="K499" s="2">
        <v>65</v>
      </c>
      <c r="L499" s="6"/>
      <c r="M499" s="2" t="str">
        <f>IF(J499="",ROUND(I499*(1-IF(ISBLANK(L499),K499,L499)/100),2),ROUND(J499*(1-IF(ISBLANK(L499),K499,L499)/100),2))</f>
      </c>
      <c r="N499" s="7" t="str">
        <f>IF(NOT(AND(J499="",L499="")),IF(OR(AND(L499&lt;&gt;"",NOT(ISNUMBER(L499))),IFERROR(MOD(L499,1),1)&gt;0,AND(ISNUMBER(L499),OR(L499&lt;0,L499&gt;95))),"Введите целое число от 0 до 95",IF(OR(AND(J499&lt;&gt;"",NOT(ISNUMBER(J499))),IFERROR(MOD(J499,1),1)&gt;0,AND(ISNUMBER(J499),OR(J499&lt;50,J499&gt;20000000))),"Введите целое число от 50 до 20000000",IF(NOT(ABS(IFERROR(VALUE(LEFT(M499,FIND("-",M499)-1)),M499)*100-(2500+2000000000)/2)&lt;=ABS(2500-2000000000)/2),"Цена со скидкой должна быть от 25 до 20000000",IF(AND(IFERROR(VALUE(LEFT(M499,FIND("-",M499)-1)),M499)*150&lt;=80884,IFERROR(VALUE(LEFT(M499,FIND("-",M499)-1)),M499)*200&gt;80884),"Вы уменьшили цену в несколько раз, товар попадет в карантин цен",IF(IFERROR(VALUE(LEFT(M499,FIND("-",M499)-1)),M499)*200&lt;=80884,"Не сохранили изменения, чтобы защитить от ошибки — новые цены меньше текущих более чем в 2 раза. Снижайте их постепенно",IF(AND(IFERROR(VALUE(I499),0)=0,ISNUMBER(J499),OR(J499&lt;207,ABS(IFERROR(VALUE(LEFT(M499,FIND("-",M499)-1)),M499))*100&lt;20700)),"Проверьте цену товара. Большинство товаров в выбранной категории стоят дороже 207","")))))),"")</f>
      </c>
    </row>
    <row r="500">
      <c r="A500" s="2" t="inlineStr">
        <is>
          <t>Laly Бижутерия</t>
        </is>
      </c>
      <c r="B500" s="2" t="inlineStr">
        <is>
          <t>Комплекты украшений</t>
        </is>
      </c>
      <c r="C500" s="2">
        <v>412318253</v>
      </c>
      <c r="D500" s="2" t="inlineStr">
        <is>
          <t>550056</t>
        </is>
      </c>
      <c r="E500" s="2" t="inlineStr">
        <is>
          <t>2414433058794</t>
        </is>
      </c>
      <c r="F500" s="2">
        <v>12</v>
      </c>
      <c r="G500" s="2">
        <v>7</v>
      </c>
      <c r="H500" s="2">
        <v>72</v>
      </c>
      <c r="I500" s="2" t="inlineStr">
        <is>
          <t>2212</t>
        </is>
      </c>
      <c r="J500" s="4"/>
      <c r="K500" s="2">
        <v>83</v>
      </c>
      <c r="L500" s="6"/>
      <c r="M500" s="2" t="str">
        <f>IF(J500="",ROUND(I500*(1-IF(ISBLANK(L500),K500,L500)/100),2),ROUND(J500*(1-IF(ISBLANK(L500),K500,L500)/100),2))</f>
      </c>
      <c r="N500" s="7" t="str">
        <f>IF(NOT(AND(J500="",L500="")),IF(OR(AND(L500&lt;&gt;"",NOT(ISNUMBER(L500))),IFERROR(MOD(L500,1),1)&gt;0,AND(ISNUMBER(L500),OR(L500&lt;0,L500&gt;95))),"Введите целое число от 0 до 95",IF(OR(AND(J500&lt;&gt;"",NOT(ISNUMBER(J500))),IFERROR(MOD(J500,1),1)&gt;0,AND(ISNUMBER(J500),OR(J500&lt;50,J500&gt;20000000))),"Введите целое число от 50 до 20000000",IF(NOT(ABS(IFERROR(VALUE(LEFT(M500,FIND("-",M500)-1)),M500)*100-(2500+2000000000)/2)&lt;=ABS(2500-2000000000)/2),"Цена со скидкой должна быть от 25 до 20000000",IF(AND(IFERROR(VALUE(LEFT(M500,FIND("-",M500)-1)),M500)*150&lt;=37604,IFERROR(VALUE(LEFT(M500,FIND("-",M500)-1)),M500)*200&gt;37604),"Вы уменьшили цену в несколько раз, товар попадет в карантин цен",IF(IFERROR(VALUE(LEFT(M500,FIND("-",M500)-1)),M500)*200&lt;=37604,"Не сохранили изменения, чтобы защитить от ошибки — новые цены меньше текущих более чем в 2 раза. Снижайте их постепенно",IF(AND(IFERROR(VALUE(I500),0)=0,ISNUMBER(J500),OR(J500&lt;341,ABS(IFERROR(VALUE(LEFT(M500,FIND("-",M500)-1)),M500))*100&lt;34100)),"Проверьте цену товара. Большинство товаров в выбранной категории стоят дороже 341","")))))),"")</f>
      </c>
    </row>
    <row r="501">
      <c r="A501" s="2" t="inlineStr">
        <is>
          <t>Laly Бижутерия</t>
        </is>
      </c>
      <c r="B501" s="2" t="inlineStr">
        <is>
          <t>Комплекты украшений</t>
        </is>
      </c>
      <c r="C501" s="2">
        <v>264482030</v>
      </c>
      <c r="D501" s="2" t="inlineStr">
        <is>
          <t>55471</t>
        </is>
      </c>
      <c r="E501" s="2" t="inlineStr">
        <is>
          <t>4670294453293</t>
        </is>
      </c>
      <c r="F501" s="2">
        <v>511</v>
      </c>
      <c r="G501" s="2">
        <v>356</v>
      </c>
      <c r="H501" s="2">
        <v>999</v>
      </c>
      <c r="I501" s="2" t="inlineStr">
        <is>
          <t>1575</t>
        </is>
      </c>
      <c r="J501" s="4"/>
      <c r="K501" s="2">
        <v>79</v>
      </c>
      <c r="L501" s="6"/>
      <c r="M501" s="2" t="str">
        <f>IF(J501="",ROUND(I501*(1-IF(ISBLANK(L501),K501,L501)/100),2),ROUND(J501*(1-IF(ISBLANK(L501),K501,L501)/100),2))</f>
      </c>
      <c r="N501" s="7" t="str">
        <f>IF(NOT(AND(J501="",L501="")),IF(OR(AND(L501&lt;&gt;"",NOT(ISNUMBER(L501))),IFERROR(MOD(L501,1),1)&gt;0,AND(ISNUMBER(L501),OR(L501&lt;0,L501&gt;95))),"Введите целое число от 0 до 95",IF(OR(AND(J501&lt;&gt;"",NOT(ISNUMBER(J501))),IFERROR(MOD(J501,1),1)&gt;0,AND(ISNUMBER(J501),OR(J501&lt;50,J501&gt;20000000))),"Введите целое число от 50 до 20000000",IF(NOT(ABS(IFERROR(VALUE(LEFT(M501,FIND("-",M501)-1)),M501)*100-(2500+2000000000)/2)&lt;=ABS(2500-2000000000)/2),"Цена со скидкой должна быть от 25 до 20000000",IF(AND(IFERROR(VALUE(LEFT(M501,FIND("-",M501)-1)),M501)*150&lt;=33074,IFERROR(VALUE(LEFT(M501,FIND("-",M501)-1)),M501)*200&gt;33074),"Вы уменьшили цену в несколько раз, товар попадет в карантин цен",IF(IFERROR(VALUE(LEFT(M501,FIND("-",M501)-1)),M501)*200&lt;=33074,"Не сохранили изменения, чтобы защитить от ошибки — новые цены меньше текущих более чем в 2 раза. Снижайте их постепенно",IF(AND(IFERROR(VALUE(I501),0)=0,ISNUMBER(J501),OR(J501&lt;341,ABS(IFERROR(VALUE(LEFT(M501,FIND("-",M501)-1)),M501))*100&lt;34100)),"Проверьте цену товара. Большинство товаров в выбранной категории стоят дороже 341","")))))),"")</f>
      </c>
    </row>
    <row r="502">
      <c r="A502" s="2" t="inlineStr">
        <is>
          <t>Laly Бижутерия</t>
        </is>
      </c>
      <c r="B502" s="2" t="inlineStr">
        <is>
          <t>Чокеры</t>
        </is>
      </c>
      <c r="C502" s="2">
        <v>264650858</v>
      </c>
      <c r="D502" s="2" t="inlineStr">
        <is>
          <t>55418</t>
        </is>
      </c>
      <c r="E502" s="2" t="inlineStr">
        <is>
          <t>4670294453279</t>
        </is>
      </c>
      <c r="F502" s="2">
        <v>0</v>
      </c>
      <c r="G502" s="2">
        <v>0</v>
      </c>
      <c r="H502" s="2">
        <v>1</v>
      </c>
      <c r="I502" s="2" t="inlineStr">
        <is>
          <t>763</t>
        </is>
      </c>
      <c r="J502" s="4"/>
      <c r="K502" s="2">
        <v>65</v>
      </c>
      <c r="L502" s="6"/>
      <c r="M502" s="2" t="str">
        <f>IF(J502="",ROUND(I502*(1-IF(ISBLANK(L502),K502,L502)/100),2),ROUND(J502*(1-IF(ISBLANK(L502),K502,L502)/100),2))</f>
      </c>
      <c r="N502" s="7" t="str">
        <f>IF(NOT(AND(J502="",L502="")),IF(OR(AND(L502&lt;&gt;"",NOT(ISNUMBER(L502))),IFERROR(MOD(L502,1),1)&gt;0,AND(ISNUMBER(L502),OR(L502&lt;0,L502&gt;95))),"Введите целое число от 0 до 95",IF(OR(AND(J502&lt;&gt;"",NOT(ISNUMBER(J502))),IFERROR(MOD(J502,1),1)&gt;0,AND(ISNUMBER(J502),OR(J502&lt;50,J502&gt;20000000))),"Введите целое число от 50 до 20000000",IF(NOT(ABS(IFERROR(VALUE(LEFT(M502,FIND("-",M502)-1)),M502)*100-(2500+2000000000)/2)&lt;=ABS(2500-2000000000)/2),"Цена со скидкой должна быть от 25 до 20000000",IF(AND(IFERROR(VALUE(LEFT(M502,FIND("-",M502)-1)),M502)*150&lt;=26705,IFERROR(VALUE(LEFT(M502,FIND("-",M502)-1)),M502)*200&gt;26705),"Вы уменьшили цену в несколько раз, товар попадет в карантин цен",IF(IFERROR(VALUE(LEFT(M502,FIND("-",M502)-1)),M502)*200&lt;=26705,"Не сохранили изменения, чтобы защитить от ошибки — новые цены меньше текущих более чем в 2 раза. Снижайте их постепенно",IF(AND(IFERROR(VALUE(I502),0)=0,ISNUMBER(J502),OR(J502&lt;197,ABS(IFERROR(VALUE(LEFT(M502,FIND("-",M502)-1)),M502))*100&lt;19700)),"Проверьте цену товара. Большинство товаров в выбранной категории стоят дороже 197","")))))),"")</f>
      </c>
    </row>
    <row r="503">
      <c r="A503" s="2" t="inlineStr">
        <is>
          <t>Laly Бижутерия</t>
        </is>
      </c>
      <c r="B503" s="2" t="inlineStr">
        <is>
          <t>Комплекты украшений</t>
        </is>
      </c>
      <c r="C503" s="2">
        <v>264660582</v>
      </c>
      <c r="D503" s="2" t="inlineStr">
        <is>
          <t>55769</t>
        </is>
      </c>
      <c r="E503" s="2" t="inlineStr">
        <is>
          <t>4670294453439</t>
        </is>
      </c>
      <c r="F503" s="2">
        <v>0</v>
      </c>
      <c r="G503" s="2">
        <v>0</v>
      </c>
      <c r="H503" s="2">
        <v>1</v>
      </c>
      <c r="I503" s="2" t="inlineStr">
        <is>
          <t>716</t>
        </is>
      </c>
      <c r="J503" s="4"/>
      <c r="K503" s="2">
        <v>65</v>
      </c>
      <c r="L503" s="6"/>
      <c r="M503" s="2" t="str">
        <f>IF(J503="",ROUND(I503*(1-IF(ISBLANK(L503),K503,L503)/100),2),ROUND(J503*(1-IF(ISBLANK(L503),K503,L503)/100),2))</f>
      </c>
      <c r="N503" s="7" t="str">
        <f>IF(NOT(AND(J503="",L503="")),IF(OR(AND(L503&lt;&gt;"",NOT(ISNUMBER(L503))),IFERROR(MOD(L503,1),1)&gt;0,AND(ISNUMBER(L503),OR(L503&lt;0,L503&gt;95))),"Введите целое число от 0 до 95",IF(OR(AND(J503&lt;&gt;"",NOT(ISNUMBER(J503))),IFERROR(MOD(J503,1),1)&gt;0,AND(ISNUMBER(J503),OR(J503&lt;50,J503&gt;20000000))),"Введите целое число от 50 до 20000000",IF(NOT(ABS(IFERROR(VALUE(LEFT(M503,FIND("-",M503)-1)),M503)*100-(2500+2000000000)/2)&lt;=ABS(2500-2000000000)/2),"Цена со скидкой должна быть от 25 до 20000000",IF(AND(IFERROR(VALUE(LEFT(M503,FIND("-",M503)-1)),M503)*150&lt;=25060,IFERROR(VALUE(LEFT(M503,FIND("-",M503)-1)),M503)*200&gt;25060),"Вы уменьшили цену в несколько раз, товар попадет в карантин цен",IF(IFERROR(VALUE(LEFT(M503,FIND("-",M503)-1)),M503)*200&lt;=25060,"Не сохранили изменения, чтобы защитить от ошибки — новые цены меньше текущих более чем в 2 раза. Снижайте их постепенно",IF(AND(IFERROR(VALUE(I503),0)=0,ISNUMBER(J503),OR(J503&lt;341,ABS(IFERROR(VALUE(LEFT(M503,FIND("-",M503)-1)),M503))*100&lt;34100)),"Проверьте цену товара. Большинство товаров в выбранной категории стоят дороже 341","")))))),"")</f>
      </c>
    </row>
    <row r="504">
      <c r="A504" s="2" t="inlineStr">
        <is>
          <t>Laly Бижутерия</t>
        </is>
      </c>
      <c r="B504" s="2" t="inlineStr">
        <is>
          <t>Колье</t>
        </is>
      </c>
      <c r="C504" s="2">
        <v>273934918</v>
      </c>
      <c r="D504" s="2" t="inlineStr">
        <is>
          <t>550046</t>
        </is>
      </c>
      <c r="E504" s="2" t="inlineStr">
        <is>
          <t>4670294453699</t>
        </is>
      </c>
      <c r="F504" s="2">
        <v>61</v>
      </c>
      <c r="G504" s="2">
        <v>1</v>
      </c>
      <c r="H504" s="2">
        <v>247</v>
      </c>
      <c r="I504" s="2" t="inlineStr">
        <is>
          <t>3284</t>
        </is>
      </c>
      <c r="J504" s="4"/>
      <c r="K504" s="2">
        <v>77</v>
      </c>
      <c r="L504" s="6"/>
      <c r="M504" s="2" t="str">
        <f>IF(J504="",ROUND(I504*(1-IF(ISBLANK(L504),K504,L504)/100),2),ROUND(J504*(1-IF(ISBLANK(L504),K504,L504)/100),2))</f>
      </c>
      <c r="N504" s="7" t="str">
        <f>IF(NOT(AND(J504="",L504="")),IF(OR(AND(L504&lt;&gt;"",NOT(ISNUMBER(L504))),IFERROR(MOD(L504,1),1)&gt;0,AND(ISNUMBER(L504),OR(L504&lt;0,L504&gt;95))),"Введите целое число от 0 до 95",IF(OR(AND(J504&lt;&gt;"",NOT(ISNUMBER(J504))),IFERROR(MOD(J504,1),1)&gt;0,AND(ISNUMBER(J504),OR(J504&lt;50,J504&gt;20000000))),"Введите целое число от 50 до 20000000",IF(NOT(ABS(IFERROR(VALUE(LEFT(M504,FIND("-",M504)-1)),M504)*100-(2500+2000000000)/2)&lt;=ABS(2500-2000000000)/2),"Цена со скидкой должна быть от 25 до 20000000",IF(AND(IFERROR(VALUE(LEFT(M504,FIND("-",M504)-1)),M504)*150&lt;=75532,IFERROR(VALUE(LEFT(M504,FIND("-",M504)-1)),M504)*200&gt;75532),"Вы уменьшили цену в несколько раз, товар попадет в карантин цен",IF(IFERROR(VALUE(LEFT(M504,FIND("-",M504)-1)),M504)*200&lt;=75532,"Не сохранили изменения, чтобы защитить от ошибки — новые цены меньше текущих более чем в 2 раза. Снижайте их постепенно",IF(AND(IFERROR(VALUE(I504),0)=0,ISNUMBER(J504),OR(J504&lt;222,ABS(IFERROR(VALUE(LEFT(M504,FIND("-",M504)-1)),M504))*100&lt;22200)),"Проверьте цену товара. Большинство товаров в выбранной категории стоят дороже 222","")))))),"")</f>
      </c>
    </row>
    <row r="505">
      <c r="A505" s="2" t="inlineStr">
        <is>
          <t>Laly Бижутерия</t>
        </is>
      </c>
      <c r="B505" s="2" t="inlineStr">
        <is>
          <t>Браслеты</t>
        </is>
      </c>
      <c r="C505" s="2">
        <v>264651116</v>
      </c>
      <c r="D505" s="2" t="inlineStr">
        <is>
          <t>55772</t>
        </is>
      </c>
      <c r="E505" s="2" t="inlineStr">
        <is>
          <t>4670294453460</t>
        </is>
      </c>
      <c r="F505" s="2">
        <v>235</v>
      </c>
      <c r="G505" s="2">
        <v>2</v>
      </c>
      <c r="H505" s="2">
        <v>999</v>
      </c>
      <c r="I505" s="2" t="inlineStr">
        <is>
          <t>3370</t>
        </is>
      </c>
      <c r="J505" s="4"/>
      <c r="K505" s="2">
        <v>89</v>
      </c>
      <c r="L505" s="6"/>
      <c r="M505" s="2" t="str">
        <f>IF(J505="",ROUND(I505*(1-IF(ISBLANK(L505),K505,L505)/100),2),ROUND(J505*(1-IF(ISBLANK(L505),K505,L505)/100),2))</f>
      </c>
      <c r="N505" s="7" t="str">
        <f>IF(NOT(AND(J505="",L505="")),IF(OR(AND(L505&lt;&gt;"",NOT(ISNUMBER(L505))),IFERROR(MOD(L505,1),1)&gt;0,AND(ISNUMBER(L505),OR(L505&lt;0,L505&gt;95))),"Введите целое число от 0 до 95",IF(OR(AND(J505&lt;&gt;"",NOT(ISNUMBER(J505))),IFERROR(MOD(J505,1),1)&gt;0,AND(ISNUMBER(J505),OR(J505&lt;50,J505&gt;20000000))),"Введите целое число от 50 до 20000000",IF(NOT(ABS(IFERROR(VALUE(LEFT(M505,FIND("-",M505)-1)),M505)*100-(2500+2000000000)/2)&lt;=ABS(2500-2000000000)/2),"Цена со скидкой должна быть от 25 до 20000000",IF(AND(IFERROR(VALUE(LEFT(M505,FIND("-",M505)-1)),M505)*150&lt;=37069,IFERROR(VALUE(LEFT(M505,FIND("-",M505)-1)),M505)*200&gt;37069),"Вы уменьшили цену в несколько раз, товар попадет в карантин цен",IF(IFERROR(VALUE(LEFT(M505,FIND("-",M505)-1)),M505)*200&lt;=37069,"Не сохранили изменения, чтобы защитить от ошибки — новые цены меньше текущих более чем в 2 раза. Снижайте их постепенно",IF(AND(IFERROR(VALUE(I505),0)=0,ISNUMBER(J505),OR(J505&lt;204,ABS(IFERROR(VALUE(LEFT(M505,FIND("-",M505)-1)),M505))*100&lt;20400)),"Проверьте цену товара. Большинство товаров в выбранной категории стоят дороже 204","")))))),"")</f>
      </c>
    </row>
    <row r="506">
      <c r="A506" s="2" t="inlineStr">
        <is>
          <t>Laly Бижутерия</t>
        </is>
      </c>
      <c r="B506" s="2" t="inlineStr">
        <is>
          <t>Цепочки</t>
        </is>
      </c>
      <c r="C506" s="2">
        <v>273931364</v>
      </c>
      <c r="D506" s="2" t="inlineStr">
        <is>
          <t>55760</t>
        </is>
      </c>
      <c r="E506" s="2" t="inlineStr">
        <is>
          <t>4670294453347</t>
        </is>
      </c>
      <c r="F506" s="2">
        <v>0</v>
      </c>
      <c r="G506" s="2">
        <v>0</v>
      </c>
      <c r="H506" s="2">
        <v>1</v>
      </c>
      <c r="I506" s="2" t="inlineStr">
        <is>
          <t>990</t>
        </is>
      </c>
      <c r="J506" s="4"/>
      <c r="K506" s="2">
        <v>65</v>
      </c>
      <c r="L506" s="6"/>
      <c r="M506" s="2" t="str">
        <f>IF(J506="",ROUND(I506*(1-IF(ISBLANK(L506),K506,L506)/100),2),ROUND(J506*(1-IF(ISBLANK(L506),K506,L506)/100),2))</f>
      </c>
      <c r="N506" s="7" t="str">
        <f>IF(NOT(AND(J506="",L506="")),IF(OR(AND(L506&lt;&gt;"",NOT(ISNUMBER(L506))),IFERROR(MOD(L506,1),1)&gt;0,AND(ISNUMBER(L506),OR(L506&lt;0,L506&gt;95))),"Введите целое число от 0 до 95",IF(OR(AND(J506&lt;&gt;"",NOT(ISNUMBER(J506))),IFERROR(MOD(J506,1),1)&gt;0,AND(ISNUMBER(J506),OR(J506&lt;50,J506&gt;20000000))),"Введите целое число от 50 до 20000000",IF(NOT(ABS(IFERROR(VALUE(LEFT(M506,FIND("-",M506)-1)),M506)*100-(2500+2000000000)/2)&lt;=ABS(2500-2000000000)/2),"Цена со скидкой должна быть от 25 до 20000000",IF(AND(IFERROR(VALUE(LEFT(M506,FIND("-",M506)-1)),M506)*150&lt;=34650,IFERROR(VALUE(LEFT(M506,FIND("-",M506)-1)),M506)*200&gt;34650),"Вы уменьшили цену в несколько раз, товар попадет в карантин цен",IF(IFERROR(VALUE(LEFT(M506,FIND("-",M506)-1)),M506)*200&lt;=34650,"Не сохранили изменения, чтобы защитить от ошибки — новые цены меньше текущих более чем в 2 раза. Снижайте их постепенно",IF(AND(IFERROR(VALUE(I506),0)=0,ISNUMBER(J506),OR(J506&lt;204,ABS(IFERROR(VALUE(LEFT(M506,FIND("-",M506)-1)),M506))*100&lt;20400)),"Проверьте цену товара. Большинство товаров в выбранной категории стоят дороже 204","")))))),"")</f>
      </c>
    </row>
    <row r="507">
      <c r="A507" s="2" t="inlineStr">
        <is>
          <t>Laly Бижутерия</t>
        </is>
      </c>
      <c r="B507" s="2" t="inlineStr">
        <is>
          <t>Цепочки</t>
        </is>
      </c>
      <c r="C507" s="2">
        <v>273931360</v>
      </c>
      <c r="D507" s="2" t="inlineStr">
        <is>
          <t>55770</t>
        </is>
      </c>
      <c r="E507" s="2" t="inlineStr">
        <is>
          <t>4670294453446</t>
        </is>
      </c>
      <c r="F507" s="2">
        <v>283</v>
      </c>
      <c r="G507" s="2">
        <v>70</v>
      </c>
      <c r="H507" s="2">
        <v>254</v>
      </c>
      <c r="I507" s="2" t="inlineStr">
        <is>
          <t>1406</t>
        </is>
      </c>
      <c r="J507" s="4"/>
      <c r="K507" s="2">
        <v>82</v>
      </c>
      <c r="L507" s="6"/>
      <c r="M507" s="2" t="str">
        <f>IF(J507="",ROUND(I507*(1-IF(ISBLANK(L507),K507,L507)/100),2),ROUND(J507*(1-IF(ISBLANK(L507),K507,L507)/100),2))</f>
      </c>
      <c r="N507" s="7" t="str">
        <f>IF(NOT(AND(J507="",L507="")),IF(OR(AND(L507&lt;&gt;"",NOT(ISNUMBER(L507))),IFERROR(MOD(L507,1),1)&gt;0,AND(ISNUMBER(L507),OR(L507&lt;0,L507&gt;95))),"Введите целое число от 0 до 95",IF(OR(AND(J507&lt;&gt;"",NOT(ISNUMBER(J507))),IFERROR(MOD(J507,1),1)&gt;0,AND(ISNUMBER(J507),OR(J507&lt;50,J507&gt;20000000))),"Введите целое число от 50 до 20000000",IF(NOT(ABS(IFERROR(VALUE(LEFT(M507,FIND("-",M507)-1)),M507)*100-(2500+2000000000)/2)&lt;=ABS(2500-2000000000)/2),"Цена со скидкой должна быть от 25 до 20000000",IF(AND(IFERROR(VALUE(LEFT(M507,FIND("-",M507)-1)),M507)*150&lt;=25308,IFERROR(VALUE(LEFT(M507,FIND("-",M507)-1)),M507)*200&gt;25308),"Вы уменьшили цену в несколько раз, товар попадет в карантин цен",IF(IFERROR(VALUE(LEFT(M507,FIND("-",M507)-1)),M507)*200&lt;=25308,"Не сохранили изменения, чтобы защитить от ошибки — новые цены меньше текущих более чем в 2 раза. Снижайте их постепенно",IF(AND(IFERROR(VALUE(I507),0)=0,ISNUMBER(J507),OR(J507&lt;204,ABS(IFERROR(VALUE(LEFT(M507,FIND("-",M507)-1)),M507))*100&lt;20400)),"Проверьте цену товара. Большинство товаров в выбранной категории стоят дороже 204","")))))),"")</f>
      </c>
    </row>
    <row r="508">
      <c r="A508" s="2" t="inlineStr">
        <is>
          <t>Laly Бижутерия</t>
        </is>
      </c>
      <c r="B508" s="2" t="inlineStr">
        <is>
          <t>Подвески бижутерные</t>
        </is>
      </c>
      <c r="C508" s="2">
        <v>264661795</v>
      </c>
      <c r="D508" s="2" t="inlineStr">
        <is>
          <t>55762</t>
        </is>
      </c>
      <c r="E508" s="2" t="inlineStr">
        <is>
          <t>4670294453361</t>
        </is>
      </c>
      <c r="F508" s="2">
        <v>0</v>
      </c>
      <c r="G508" s="2">
        <v>0</v>
      </c>
      <c r="H508" s="2">
        <v>1</v>
      </c>
      <c r="I508" s="2" t="inlineStr">
        <is>
          <t>1493</t>
        </is>
      </c>
      <c r="J508" s="4"/>
      <c r="K508" s="2">
        <v>65</v>
      </c>
      <c r="L508" s="6"/>
      <c r="M508" s="2" t="str">
        <f>IF(J508="",ROUND(I508*(1-IF(ISBLANK(L508),K508,L508)/100),2),ROUND(J508*(1-IF(ISBLANK(L508),K508,L508)/100),2))</f>
      </c>
      <c r="N508" s="7" t="str">
        <f>IF(NOT(AND(J508="",L508="")),IF(OR(AND(L508&lt;&gt;"",NOT(ISNUMBER(L508))),IFERROR(MOD(L508,1),1)&gt;0,AND(ISNUMBER(L508),OR(L508&lt;0,L508&gt;95))),"Введите целое число от 0 до 95",IF(OR(AND(J508&lt;&gt;"",NOT(ISNUMBER(J508))),IFERROR(MOD(J508,1),1)&gt;0,AND(ISNUMBER(J508),OR(J508&lt;50,J508&gt;20000000))),"Введите целое число от 50 до 20000000",IF(NOT(ABS(IFERROR(VALUE(LEFT(M508,FIND("-",M508)-1)),M508)*100-(2500+2000000000)/2)&lt;=ABS(2500-2000000000)/2),"Цена со скидкой должна быть от 25 до 20000000",IF(AND(IFERROR(VALUE(LEFT(M508,FIND("-",M508)-1)),M508)*150&lt;=52254,IFERROR(VALUE(LEFT(M508,FIND("-",M508)-1)),M508)*200&gt;52254),"Вы уменьшили цену в несколько раз, товар попадет в карантин цен",IF(IFERROR(VALUE(LEFT(M508,FIND("-",M508)-1)),M508)*200&lt;=52254,"Не сохранили изменения, чтобы защитить от ошибки — новые цены меньше текущих более чем в 2 раза. Снижайте их постепенно",IF(AND(IFERROR(VALUE(I508),0)=0,ISNUMBER(J508),OR(J508&lt;212,ABS(IFERROR(VALUE(LEFT(M508,FIND("-",M508)-1)),M508))*100&lt;21200)),"Проверьте цену товара. Большинство товаров в выбранной категории стоят дороже 212","")))))),"")</f>
      </c>
    </row>
    <row r="509">
      <c r="A509" s="2" t="inlineStr">
        <is>
          <t>Laly Бижутерия</t>
        </is>
      </c>
      <c r="B509" s="2" t="inlineStr">
        <is>
          <t>Серьги</t>
        </is>
      </c>
      <c r="C509" s="2">
        <v>273916707</v>
      </c>
      <c r="D509" s="2" t="inlineStr">
        <is>
          <t>55766</t>
        </is>
      </c>
      <c r="E509" s="2" t="inlineStr">
        <is>
          <t>4670294453408</t>
        </is>
      </c>
      <c r="F509" s="2">
        <v>335</v>
      </c>
      <c r="G509" s="2">
        <v>48</v>
      </c>
      <c r="H509" s="2">
        <v>524</v>
      </c>
      <c r="I509" s="2" t="inlineStr">
        <is>
          <t>2570</t>
        </is>
      </c>
      <c r="J509" s="4"/>
      <c r="K509" s="2">
        <v>82</v>
      </c>
      <c r="L509" s="6"/>
      <c r="M509" s="2" t="str">
        <f>IF(J509="",ROUND(I509*(1-IF(ISBLANK(L509),K509,L509)/100),2),ROUND(J509*(1-IF(ISBLANK(L509),K509,L509)/100),2))</f>
      </c>
      <c r="N509" s="7" t="str">
        <f>IF(NOT(AND(J509="",L509="")),IF(OR(AND(L509&lt;&gt;"",NOT(ISNUMBER(L509))),IFERROR(MOD(L509,1),1)&gt;0,AND(ISNUMBER(L509),OR(L509&lt;0,L509&gt;95))),"Введите целое число от 0 до 95",IF(OR(AND(J509&lt;&gt;"",NOT(ISNUMBER(J509))),IFERROR(MOD(J509,1),1)&gt;0,AND(ISNUMBER(J509),OR(J509&lt;50,J509&gt;20000000))),"Введите целое число от 50 до 20000000",IF(NOT(ABS(IFERROR(VALUE(LEFT(M509,FIND("-",M509)-1)),M509)*100-(2500+2000000000)/2)&lt;=ABS(2500-2000000000)/2),"Цена со скидкой должна быть от 25 до 20000000",IF(AND(IFERROR(VALUE(LEFT(M509,FIND("-",M509)-1)),M509)*150&lt;=46260,IFERROR(VALUE(LEFT(M509,FIND("-",M509)-1)),M509)*200&gt;46260),"Вы уменьшили цену в несколько раз, товар попадет в карантин цен",IF(IFERROR(VALUE(LEFT(M509,FIND("-",M509)-1)),M509)*200&lt;=46260,"Не сохранили изменения, чтобы защитить от ошибки — новые цены меньше текущих более чем в 2 раза. Снижайте их постепенно",IF(AND(IFERROR(VALUE(I509),0)=0,ISNUMBER(J509),OR(J509&lt;207,ABS(IFERROR(VALUE(LEFT(M509,FIND("-",M509)-1)),M509))*100&lt;20700)),"Проверьте цену товара. Большинство товаров в выбранной категории стоят дороже 207","")))))),"")</f>
      </c>
    </row>
    <row r="510">
      <c r="A510" s="2" t="inlineStr">
        <is>
          <t>Laly Бижутерия</t>
        </is>
      </c>
      <c r="B510" s="2" t="inlineStr">
        <is>
          <t>Комплекты украшений</t>
        </is>
      </c>
      <c r="C510" s="2">
        <v>264482029</v>
      </c>
      <c r="D510" s="2" t="inlineStr">
        <is>
          <t>55397</t>
        </is>
      </c>
      <c r="E510" s="2" t="inlineStr">
        <is>
          <t>4670294453255</t>
        </is>
      </c>
      <c r="F510" s="2">
        <v>45</v>
      </c>
      <c r="G510" s="2">
        <v>0</v>
      </c>
      <c r="H510" s="2">
        <v>999</v>
      </c>
      <c r="I510" s="2" t="inlineStr">
        <is>
          <t>981</t>
        </is>
      </c>
      <c r="J510" s="4"/>
      <c r="K510" s="2">
        <v>82</v>
      </c>
      <c r="L510" s="6"/>
      <c r="M510" s="2" t="str">
        <f>IF(J510="",ROUND(I510*(1-IF(ISBLANK(L510),K510,L510)/100),2),ROUND(J510*(1-IF(ISBLANK(L510),K510,L510)/100),2))</f>
      </c>
      <c r="N510" s="7" t="str">
        <f>IF(NOT(AND(J510="",L510="")),IF(OR(AND(L510&lt;&gt;"",NOT(ISNUMBER(L510))),IFERROR(MOD(L510,1),1)&gt;0,AND(ISNUMBER(L510),OR(L510&lt;0,L510&gt;95))),"Введите целое число от 0 до 95",IF(OR(AND(J510&lt;&gt;"",NOT(ISNUMBER(J510))),IFERROR(MOD(J510,1),1)&gt;0,AND(ISNUMBER(J510),OR(J510&lt;50,J510&gt;20000000))),"Введите целое число от 50 до 20000000",IF(NOT(ABS(IFERROR(VALUE(LEFT(M510,FIND("-",M510)-1)),M510)*100-(2500+2000000000)/2)&lt;=ABS(2500-2000000000)/2),"Цена со скидкой должна быть от 25 до 20000000",IF(AND(IFERROR(VALUE(LEFT(M510,FIND("-",M510)-1)),M510)*150&lt;=17658,IFERROR(VALUE(LEFT(M510,FIND("-",M510)-1)),M510)*200&gt;17658),"Вы уменьшили цену в несколько раз, товар попадет в карантин цен",IF(IFERROR(VALUE(LEFT(M510,FIND("-",M510)-1)),M510)*200&lt;=17658,"Не сохранили изменения, чтобы защитить от ошибки — новые цены меньше текущих более чем в 2 раза. Снижайте их постепенно",IF(AND(IFERROR(VALUE(I510),0)=0,ISNUMBER(J510),OR(J510&lt;341,ABS(IFERROR(VALUE(LEFT(M510,FIND("-",M510)-1)),M510))*100&lt;34100)),"Проверьте цену товара. Большинство товаров в выбранной категории стоят дороже 341","")))))),"")</f>
      </c>
    </row>
    <row r="511">
      <c r="A511" s="2" t="inlineStr">
        <is>
          <t>Laly Бижутерия</t>
        </is>
      </c>
      <c r="B511" s="2" t="inlineStr">
        <is>
          <t>Комплекты украшений</t>
        </is>
      </c>
      <c r="C511" s="2">
        <v>412320182</v>
      </c>
      <c r="D511" s="2" t="inlineStr">
        <is>
          <t>55026</t>
        </is>
      </c>
      <c r="E511" s="2" t="inlineStr">
        <is>
          <t>2414433058787</t>
        </is>
      </c>
      <c r="F511" s="2">
        <v>0</v>
      </c>
      <c r="G511" s="2">
        <v>0</v>
      </c>
      <c r="H511" s="2">
        <v>999</v>
      </c>
      <c r="I511" s="2" t="inlineStr">
        <is>
          <t>4058</t>
        </is>
      </c>
      <c r="J511" s="4"/>
      <c r="K511" s="2">
        <v>65</v>
      </c>
      <c r="L511" s="6"/>
      <c r="M511" s="2" t="str">
        <f>IF(J511="",ROUND(I511*(1-IF(ISBLANK(L511),K511,L511)/100),2),ROUND(J511*(1-IF(ISBLANK(L511),K511,L511)/100),2))</f>
      </c>
      <c r="N511" s="7" t="str">
        <f>IF(NOT(AND(J511="",L511="")),IF(OR(AND(L511&lt;&gt;"",NOT(ISNUMBER(L511))),IFERROR(MOD(L511,1),1)&gt;0,AND(ISNUMBER(L511),OR(L511&lt;0,L511&gt;95))),"Введите целое число от 0 до 95",IF(OR(AND(J511&lt;&gt;"",NOT(ISNUMBER(J511))),IFERROR(MOD(J511,1),1)&gt;0,AND(ISNUMBER(J511),OR(J511&lt;50,J511&gt;20000000))),"Введите целое число от 50 до 20000000",IF(NOT(ABS(IFERROR(VALUE(LEFT(M511,FIND("-",M511)-1)),M511)*100-(2500+2000000000)/2)&lt;=ABS(2500-2000000000)/2),"Цена со скидкой должна быть от 25 до 20000000",IF(AND(IFERROR(VALUE(LEFT(M511,FIND("-",M511)-1)),M511)*150&lt;=142030,IFERROR(VALUE(LEFT(M511,FIND("-",M511)-1)),M511)*200&gt;142030),"Вы уменьшили цену в несколько раз, товар попадет в карантин цен",IF(IFERROR(VALUE(LEFT(M511,FIND("-",M511)-1)),M511)*200&lt;=142030,"Не сохранили изменения, чтобы защитить от ошибки — новые цены меньше текущих более чем в 2 раза. Снижайте их постепенно",IF(AND(IFERROR(VALUE(I511),0)=0,ISNUMBER(J511),OR(J511&lt;341,ABS(IFERROR(VALUE(LEFT(M511,FIND("-",M511)-1)),M511))*100&lt;34100)),"Проверьте цену товара. Большинство товаров в выбранной категории стоят дороже 341","")))))),"")</f>
      </c>
    </row>
    <row r="512">
      <c r="A512" s="2" t="inlineStr">
        <is>
          <t>Laly Бижутерия</t>
        </is>
      </c>
      <c r="B512" s="2" t="inlineStr">
        <is>
          <t>Цепочки</t>
        </is>
      </c>
      <c r="C512" s="2">
        <v>273931361</v>
      </c>
      <c r="D512" s="2" t="inlineStr">
        <is>
          <t>55771</t>
        </is>
      </c>
      <c r="E512" s="2" t="inlineStr">
        <is>
          <t>4670294453453</t>
        </is>
      </c>
      <c r="F512" s="2">
        <v>251</v>
      </c>
      <c r="G512" s="2">
        <v>6</v>
      </c>
      <c r="H512" s="2">
        <v>154</v>
      </c>
      <c r="I512" s="2" t="inlineStr">
        <is>
          <t>2348</t>
        </is>
      </c>
      <c r="J512" s="4"/>
      <c r="K512" s="2">
        <v>85</v>
      </c>
      <c r="L512" s="6"/>
      <c r="M512" s="2" t="str">
        <f>IF(J512="",ROUND(I512*(1-IF(ISBLANK(L512),K512,L512)/100),2),ROUND(J512*(1-IF(ISBLANK(L512),K512,L512)/100),2))</f>
      </c>
      <c r="N512" s="7" t="str">
        <f>IF(NOT(AND(J512="",L512="")),IF(OR(AND(L512&lt;&gt;"",NOT(ISNUMBER(L512))),IFERROR(MOD(L512,1),1)&gt;0,AND(ISNUMBER(L512),OR(L512&lt;0,L512&gt;95))),"Введите целое число от 0 до 95",IF(OR(AND(J512&lt;&gt;"",NOT(ISNUMBER(J512))),IFERROR(MOD(J512,1),1)&gt;0,AND(ISNUMBER(J512),OR(J512&lt;50,J512&gt;20000000))),"Введите целое число от 50 до 20000000",IF(NOT(ABS(IFERROR(VALUE(LEFT(M512,FIND("-",M512)-1)),M512)*100-(2500+2000000000)/2)&lt;=ABS(2500-2000000000)/2),"Цена со скидкой должна быть от 25 до 20000000",IF(AND(IFERROR(VALUE(LEFT(M512,FIND("-",M512)-1)),M512)*150&lt;=35220,IFERROR(VALUE(LEFT(M512,FIND("-",M512)-1)),M512)*200&gt;35220),"Вы уменьшили цену в несколько раз, товар попадет в карантин цен",IF(IFERROR(VALUE(LEFT(M512,FIND("-",M512)-1)),M512)*200&lt;=35220,"Не сохранили изменения, чтобы защитить от ошибки — новые цены меньше текущих более чем в 2 раза. Снижайте их постепенно",IF(AND(IFERROR(VALUE(I512),0)=0,ISNUMBER(J512),OR(J512&lt;204,ABS(IFERROR(VALUE(LEFT(M512,FIND("-",M512)-1)),M512))*100&lt;20400)),"Проверьте цену товара. Большинство товаров в выбранной категории стоят дороже 204","")))))),"")</f>
      </c>
    </row>
    <row r="513">
      <c r="A513" s="2" t="inlineStr">
        <is>
          <t>Laly Бижутерия</t>
        </is>
      </c>
      <c r="B513" s="2" t="inlineStr">
        <is>
          <t>Чокеры</t>
        </is>
      </c>
      <c r="C513" s="2">
        <v>273916405</v>
      </c>
      <c r="D513" s="2" t="inlineStr">
        <is>
          <t>55791</t>
        </is>
      </c>
      <c r="E513" s="2" t="inlineStr">
        <is>
          <t>4670294453590</t>
        </is>
      </c>
      <c r="F513" s="2">
        <v>0</v>
      </c>
      <c r="G513" s="2">
        <v>1</v>
      </c>
      <c r="H513" s="2">
        <v>4</v>
      </c>
      <c r="I513" s="2" t="inlineStr">
        <is>
          <t>1798</t>
        </is>
      </c>
      <c r="J513" s="4"/>
      <c r="K513" s="2">
        <v>75</v>
      </c>
      <c r="L513" s="6"/>
      <c r="M513" s="2" t="str">
        <f>IF(J513="",ROUND(I513*(1-IF(ISBLANK(L513),K513,L513)/100),2),ROUND(J513*(1-IF(ISBLANK(L513),K513,L513)/100),2))</f>
      </c>
      <c r="N513" s="7" t="str">
        <f>IF(NOT(AND(J513="",L513="")),IF(OR(AND(L513&lt;&gt;"",NOT(ISNUMBER(L513))),IFERROR(MOD(L513,1),1)&gt;0,AND(ISNUMBER(L513),OR(L513&lt;0,L513&gt;95))),"Введите целое число от 0 до 95",IF(OR(AND(J513&lt;&gt;"",NOT(ISNUMBER(J513))),IFERROR(MOD(J513,1),1)&gt;0,AND(ISNUMBER(J513),OR(J513&lt;50,J513&gt;20000000))),"Введите целое число от 50 до 20000000",IF(NOT(ABS(IFERROR(VALUE(LEFT(M513,FIND("-",M513)-1)),M513)*100-(2500+2000000000)/2)&lt;=ABS(2500-2000000000)/2),"Цена со скидкой должна быть от 25 до 20000000",IF(AND(IFERROR(VALUE(LEFT(M513,FIND("-",M513)-1)),M513)*150&lt;=44950,IFERROR(VALUE(LEFT(M513,FIND("-",M513)-1)),M513)*200&gt;44950),"Вы уменьшили цену в несколько раз, товар попадет в карантин цен",IF(IFERROR(VALUE(LEFT(M513,FIND("-",M513)-1)),M513)*200&lt;=44950,"Не сохранили изменения, чтобы защитить от ошибки — новые цены меньше текущих более чем в 2 раза. Снижайте их постепенно",IF(AND(IFERROR(VALUE(I513),0)=0,ISNUMBER(J513),OR(J513&lt;197,ABS(IFERROR(VALUE(LEFT(M513,FIND("-",M513)-1)),M513))*100&lt;19700)),"Проверьте цену товара. Большинство товаров в выбранной категории стоят дороже 197","")))))),"")</f>
      </c>
    </row>
    <row r="514">
      <c r="A514" s="2" t="inlineStr">
        <is>
          <t>Laly Бижутерия</t>
        </is>
      </c>
      <c r="B514" s="2" t="inlineStr">
        <is>
          <t>Цепочки</t>
        </is>
      </c>
      <c r="C514" s="2">
        <v>264649519</v>
      </c>
      <c r="D514" s="2" t="inlineStr">
        <is>
          <t>550053</t>
        </is>
      </c>
      <c r="E514" s="2" t="inlineStr">
        <is>
          <t>4670294453767</t>
        </is>
      </c>
      <c r="F514" s="2">
        <v>0</v>
      </c>
      <c r="G514" s="2">
        <v>0</v>
      </c>
      <c r="H514" s="2">
        <v>999</v>
      </c>
      <c r="I514" s="2" t="inlineStr">
        <is>
          <t>929</t>
        </is>
      </c>
      <c r="J514" s="4"/>
      <c r="K514" s="2">
        <v>65</v>
      </c>
      <c r="L514" s="6"/>
      <c r="M514" s="2" t="str">
        <f>IF(J514="",ROUND(I514*(1-IF(ISBLANK(L514),K514,L514)/100),2),ROUND(J514*(1-IF(ISBLANK(L514),K514,L514)/100),2))</f>
      </c>
      <c r="N514" s="7" t="str">
        <f>IF(NOT(AND(J514="",L514="")),IF(OR(AND(L514&lt;&gt;"",NOT(ISNUMBER(L514))),IFERROR(MOD(L514,1),1)&gt;0,AND(ISNUMBER(L514),OR(L514&lt;0,L514&gt;95))),"Введите целое число от 0 до 95",IF(OR(AND(J514&lt;&gt;"",NOT(ISNUMBER(J514))),IFERROR(MOD(J514,1),1)&gt;0,AND(ISNUMBER(J514),OR(J514&lt;50,J514&gt;20000000))),"Введите целое число от 50 до 20000000",IF(NOT(ABS(IFERROR(VALUE(LEFT(M514,FIND("-",M514)-1)),M514)*100-(2500+2000000000)/2)&lt;=ABS(2500-2000000000)/2),"Цена со скидкой должна быть от 25 до 20000000",IF(AND(IFERROR(VALUE(LEFT(M514,FIND("-",M514)-1)),M514)*150&lt;=32514,IFERROR(VALUE(LEFT(M514,FIND("-",M514)-1)),M514)*200&gt;32514),"Вы уменьшили цену в несколько раз, товар попадет в карантин цен",IF(IFERROR(VALUE(LEFT(M514,FIND("-",M514)-1)),M514)*200&lt;=32514,"Не сохранили изменения, чтобы защитить от ошибки — новые цены меньше текущих более чем в 2 раза. Снижайте их постепенно",IF(AND(IFERROR(VALUE(I514),0)=0,ISNUMBER(J514),OR(J514&lt;204,ABS(IFERROR(VALUE(LEFT(M514,FIND("-",M514)-1)),M514))*100&lt;20400)),"Проверьте цену товара. Большинство товаров в выбранной категории стоят дороже 204","")))))),"")</f>
      </c>
    </row>
    <row r="515">
      <c r="A515" s="2" t="inlineStr">
        <is>
          <t>Laly Бижутерия</t>
        </is>
      </c>
      <c r="B515" s="2" t="inlineStr">
        <is>
          <t>Комплекты украшений</t>
        </is>
      </c>
      <c r="C515" s="2">
        <v>273931363</v>
      </c>
      <c r="D515" s="2" t="inlineStr">
        <is>
          <t>55472</t>
        </is>
      </c>
      <c r="E515" s="2" t="inlineStr">
        <is>
          <t>4670294453309</t>
        </is>
      </c>
      <c r="F515" s="2">
        <v>0</v>
      </c>
      <c r="G515" s="2">
        <v>0</v>
      </c>
      <c r="H515" s="2">
        <v>1</v>
      </c>
      <c r="I515" s="2" t="inlineStr">
        <is>
          <t>1927</t>
        </is>
      </c>
      <c r="J515" s="4"/>
      <c r="K515" s="2">
        <v>65</v>
      </c>
      <c r="L515" s="6"/>
      <c r="M515" s="2" t="str">
        <f>IF(J515="",ROUND(I515*(1-IF(ISBLANK(L515),K515,L515)/100),2),ROUND(J515*(1-IF(ISBLANK(L515),K515,L515)/100),2))</f>
      </c>
      <c r="N515" s="7" t="str">
        <f>IF(NOT(AND(J515="",L515="")),IF(OR(AND(L515&lt;&gt;"",NOT(ISNUMBER(L515))),IFERROR(MOD(L515,1),1)&gt;0,AND(ISNUMBER(L515),OR(L515&lt;0,L515&gt;95))),"Введите целое число от 0 до 95",IF(OR(AND(J515&lt;&gt;"",NOT(ISNUMBER(J515))),IFERROR(MOD(J515,1),1)&gt;0,AND(ISNUMBER(J515),OR(J515&lt;50,J515&gt;20000000))),"Введите целое число от 50 до 20000000",IF(NOT(ABS(IFERROR(VALUE(LEFT(M515,FIND("-",M515)-1)),M515)*100-(2500+2000000000)/2)&lt;=ABS(2500-2000000000)/2),"Цена со скидкой должна быть от 25 до 20000000",IF(AND(IFERROR(VALUE(LEFT(M515,FIND("-",M515)-1)),M515)*150&lt;=67445,IFERROR(VALUE(LEFT(M515,FIND("-",M515)-1)),M515)*200&gt;67445),"Вы уменьшили цену в несколько раз, товар попадет в карантин цен",IF(IFERROR(VALUE(LEFT(M515,FIND("-",M515)-1)),M515)*200&lt;=67445,"Не сохранили изменения, чтобы защитить от ошибки — новые цены меньше текущих более чем в 2 раза. Снижайте их постепенно",IF(AND(IFERROR(VALUE(I515),0)=0,ISNUMBER(J515),OR(J515&lt;341,ABS(IFERROR(VALUE(LEFT(M515,FIND("-",M515)-1)),M515))*100&lt;34100)),"Проверьте цену товара. Большинство товаров в выбранной категории стоят дороже 341","")))))),"")</f>
      </c>
    </row>
    <row r="516">
      <c r="A516" s="2" t="inlineStr">
        <is>
          <t>Laly Бижутерия</t>
        </is>
      </c>
      <c r="B516" s="2" t="inlineStr">
        <is>
          <t>Чокеры</t>
        </is>
      </c>
      <c r="C516" s="2">
        <v>264650857</v>
      </c>
      <c r="D516" s="2" t="inlineStr">
        <is>
          <t>55417</t>
        </is>
      </c>
      <c r="E516" s="2" t="inlineStr">
        <is>
          <t>4670294453262</t>
        </is>
      </c>
      <c r="F516" s="2">
        <v>0</v>
      </c>
      <c r="G516" s="2">
        <v>0</v>
      </c>
      <c r="H516" s="2">
        <v>1</v>
      </c>
      <c r="I516" s="2" t="inlineStr">
        <is>
          <t>883</t>
        </is>
      </c>
      <c r="J516" s="4"/>
      <c r="K516" s="2">
        <v>65</v>
      </c>
      <c r="L516" s="6"/>
      <c r="M516" s="2" t="str">
        <f>IF(J516="",ROUND(I516*(1-IF(ISBLANK(L516),K516,L516)/100),2),ROUND(J516*(1-IF(ISBLANK(L516),K516,L516)/100),2))</f>
      </c>
      <c r="N516" s="7" t="str">
        <f>IF(NOT(AND(J516="",L516="")),IF(OR(AND(L516&lt;&gt;"",NOT(ISNUMBER(L516))),IFERROR(MOD(L516,1),1)&gt;0,AND(ISNUMBER(L516),OR(L516&lt;0,L516&gt;95))),"Введите целое число от 0 до 95",IF(OR(AND(J516&lt;&gt;"",NOT(ISNUMBER(J516))),IFERROR(MOD(J516,1),1)&gt;0,AND(ISNUMBER(J516),OR(J516&lt;50,J516&gt;20000000))),"Введите целое число от 50 до 20000000",IF(NOT(ABS(IFERROR(VALUE(LEFT(M516,FIND("-",M516)-1)),M516)*100-(2500+2000000000)/2)&lt;=ABS(2500-2000000000)/2),"Цена со скидкой должна быть от 25 до 20000000",IF(AND(IFERROR(VALUE(LEFT(M516,FIND("-",M516)-1)),M516)*150&lt;=30904,IFERROR(VALUE(LEFT(M516,FIND("-",M516)-1)),M516)*200&gt;30904),"Вы уменьшили цену в несколько раз, товар попадет в карантин цен",IF(IFERROR(VALUE(LEFT(M516,FIND("-",M516)-1)),M516)*200&lt;=30904,"Не сохранили изменения, чтобы защитить от ошибки — новые цены меньше текущих более чем в 2 раза. Снижайте их постепенно",IF(AND(IFERROR(VALUE(I516),0)=0,ISNUMBER(J516),OR(J516&lt;197,ABS(IFERROR(VALUE(LEFT(M516,FIND("-",M516)-1)),M516))*100&lt;19700)),"Проверьте цену товара. Большинство товаров в выбранной категории стоят дороже 197","")))))),"")</f>
      </c>
    </row>
    <row r="517">
      <c r="A517" s="2" t="inlineStr">
        <is>
          <t>Laly Бижутерия</t>
        </is>
      </c>
      <c r="B517" s="2" t="inlineStr">
        <is>
          <t>Серьги</t>
        </is>
      </c>
      <c r="C517" s="2">
        <v>273916708</v>
      </c>
      <c r="D517" s="2" t="inlineStr">
        <is>
          <t>55768</t>
        </is>
      </c>
      <c r="E517" s="2" t="inlineStr">
        <is>
          <t>4670294453422</t>
        </is>
      </c>
      <c r="F517" s="2">
        <v>0</v>
      </c>
      <c r="G517" s="2">
        <v>4</v>
      </c>
      <c r="H517" s="2">
        <v>19</v>
      </c>
      <c r="I517" s="2" t="inlineStr">
        <is>
          <t>2450</t>
        </is>
      </c>
      <c r="J517" s="4"/>
      <c r="K517" s="2">
        <v>84</v>
      </c>
      <c r="L517" s="6"/>
      <c r="M517" s="2" t="str">
        <f>IF(J517="",ROUND(I517*(1-IF(ISBLANK(L517),K517,L517)/100),2),ROUND(J517*(1-IF(ISBLANK(L517),K517,L517)/100),2))</f>
      </c>
      <c r="N517" s="7" t="str">
        <f>IF(NOT(AND(J517="",L517="")),IF(OR(AND(L517&lt;&gt;"",NOT(ISNUMBER(L517))),IFERROR(MOD(L517,1),1)&gt;0,AND(ISNUMBER(L517),OR(L517&lt;0,L517&gt;95))),"Введите целое число от 0 до 95",IF(OR(AND(J517&lt;&gt;"",NOT(ISNUMBER(J517))),IFERROR(MOD(J517,1),1)&gt;0,AND(ISNUMBER(J517),OR(J517&lt;50,J517&gt;20000000))),"Введите целое число от 50 до 20000000",IF(NOT(ABS(IFERROR(VALUE(LEFT(M517,FIND("-",M517)-1)),M517)*100-(2500+2000000000)/2)&lt;=ABS(2500-2000000000)/2),"Цена со скидкой должна быть от 25 до 20000000",IF(AND(IFERROR(VALUE(LEFT(M517,FIND("-",M517)-1)),M517)*150&lt;=39200,IFERROR(VALUE(LEFT(M517,FIND("-",M517)-1)),M517)*200&gt;39200),"Вы уменьшили цену в несколько раз, товар попадет в карантин цен",IF(IFERROR(VALUE(LEFT(M517,FIND("-",M517)-1)),M517)*200&lt;=39200,"Не сохранили изменения, чтобы защитить от ошибки — новые цены меньше текущих более чем в 2 раза. Снижайте их постепенно",IF(AND(IFERROR(VALUE(I517),0)=0,ISNUMBER(J517),OR(J517&lt;207,ABS(IFERROR(VALUE(LEFT(M517,FIND("-",M517)-1)),M517))*100&lt;20700)),"Проверьте цену товара. Большинство товаров в выбранной категории стоят дороже 207","")))))),"")</f>
      </c>
    </row>
    <row r="518">
      <c r="A518" s="2" t="inlineStr">
        <is>
          <t>Laly Бижутерия</t>
        </is>
      </c>
      <c r="B518" s="2" t="inlineStr">
        <is>
          <t>Цепочки</t>
        </is>
      </c>
      <c r="C518" s="2">
        <v>264649520</v>
      </c>
      <c r="D518" s="2" t="inlineStr">
        <is>
          <t>550054</t>
        </is>
      </c>
      <c r="E518" s="2" t="inlineStr">
        <is>
          <t>4670294453774</t>
        </is>
      </c>
      <c r="F518" s="2">
        <v>4</v>
      </c>
      <c r="G518" s="2">
        <v>0</v>
      </c>
      <c r="H518" s="2">
        <v>999</v>
      </c>
      <c r="I518" s="2" t="inlineStr">
        <is>
          <t>3048</t>
        </is>
      </c>
      <c r="J518" s="4"/>
      <c r="K518" s="2">
        <v>87</v>
      </c>
      <c r="L518" s="6"/>
      <c r="M518" s="2" t="str">
        <f>IF(J518="",ROUND(I518*(1-IF(ISBLANK(L518),K518,L518)/100),2),ROUND(J518*(1-IF(ISBLANK(L518),K518,L518)/100),2))</f>
      </c>
      <c r="N518" s="7" t="str">
        <f>IF(NOT(AND(J518="",L518="")),IF(OR(AND(L518&lt;&gt;"",NOT(ISNUMBER(L518))),IFERROR(MOD(L518,1),1)&gt;0,AND(ISNUMBER(L518),OR(L518&lt;0,L518&gt;95))),"Введите целое число от 0 до 95",IF(OR(AND(J518&lt;&gt;"",NOT(ISNUMBER(J518))),IFERROR(MOD(J518,1),1)&gt;0,AND(ISNUMBER(J518),OR(J518&lt;50,J518&gt;20000000))),"Введите целое число от 50 до 20000000",IF(NOT(ABS(IFERROR(VALUE(LEFT(M518,FIND("-",M518)-1)),M518)*100-(2500+2000000000)/2)&lt;=ABS(2500-2000000000)/2),"Цена со скидкой должна быть от 25 до 20000000",IF(AND(IFERROR(VALUE(LEFT(M518,FIND("-",M518)-1)),M518)*150&lt;=39624,IFERROR(VALUE(LEFT(M518,FIND("-",M518)-1)),M518)*200&gt;39624),"Вы уменьшили цену в несколько раз, товар попадет в карантин цен",IF(IFERROR(VALUE(LEFT(M518,FIND("-",M518)-1)),M518)*200&lt;=39624,"Не сохранили изменения, чтобы защитить от ошибки — новые цены меньше текущих более чем в 2 раза. Снижайте их постепенно",IF(AND(IFERROR(VALUE(I518),0)=0,ISNUMBER(J518),OR(J518&lt;204,ABS(IFERROR(VALUE(LEFT(M518,FIND("-",M518)-1)),M518))*100&lt;20400)),"Проверьте цену товара. Большинство товаров в выбранной категории стоят дороже 204","")))))),"")</f>
      </c>
    </row>
    <row r="519">
      <c r="A519" s="2" t="inlineStr">
        <is>
          <t>Laly Бижутерия</t>
        </is>
      </c>
      <c r="B519" s="2" t="inlineStr">
        <is>
          <t>Колье</t>
        </is>
      </c>
      <c r="C519" s="2">
        <v>273934919</v>
      </c>
      <c r="D519" s="2" t="inlineStr">
        <is>
          <t>550047</t>
        </is>
      </c>
      <c r="E519" s="2" t="inlineStr">
        <is>
          <t>4670294453705</t>
        </is>
      </c>
      <c r="F519" s="2">
        <v>0</v>
      </c>
      <c r="G519" s="2">
        <v>0</v>
      </c>
      <c r="H519" s="2">
        <v>999</v>
      </c>
      <c r="I519" s="2" t="inlineStr">
        <is>
          <t>1921</t>
        </is>
      </c>
      <c r="J519" s="4"/>
      <c r="K519" s="2">
        <v>65</v>
      </c>
      <c r="L519" s="6"/>
      <c r="M519" s="2" t="str">
        <f>IF(J519="",ROUND(I519*(1-IF(ISBLANK(L519),K519,L519)/100),2),ROUND(J519*(1-IF(ISBLANK(L519),K519,L519)/100),2))</f>
      </c>
      <c r="N519" s="7" t="str">
        <f>IF(NOT(AND(J519="",L519="")),IF(OR(AND(L519&lt;&gt;"",NOT(ISNUMBER(L519))),IFERROR(MOD(L519,1),1)&gt;0,AND(ISNUMBER(L519),OR(L519&lt;0,L519&gt;95))),"Введите целое число от 0 до 95",IF(OR(AND(J519&lt;&gt;"",NOT(ISNUMBER(J519))),IFERROR(MOD(J519,1),1)&gt;0,AND(ISNUMBER(J519),OR(J519&lt;50,J519&gt;20000000))),"Введите целое число от 50 до 20000000",IF(NOT(ABS(IFERROR(VALUE(LEFT(M519,FIND("-",M519)-1)),M519)*100-(2500+2000000000)/2)&lt;=ABS(2500-2000000000)/2),"Цена со скидкой должна быть от 25 до 20000000",IF(AND(IFERROR(VALUE(LEFT(M519,FIND("-",M519)-1)),M519)*150&lt;=67234,IFERROR(VALUE(LEFT(M519,FIND("-",M519)-1)),M519)*200&gt;67234),"Вы уменьшили цену в несколько раз, товар попадет в карантин цен",IF(IFERROR(VALUE(LEFT(M519,FIND("-",M519)-1)),M519)*200&lt;=67234,"Не сохранили изменения, чтобы защитить от ошибки — новые цены меньше текущих более чем в 2 раза. Снижайте их постепенно",IF(AND(IFERROR(VALUE(I519),0)=0,ISNUMBER(J519),OR(J519&lt;222,ABS(IFERROR(VALUE(LEFT(M519,FIND("-",M519)-1)),M519))*100&lt;22200)),"Проверьте цену товара. Большинство товаров в выбранной категории стоят дороже 222","")))))),"")</f>
      </c>
    </row>
    <row r="520">
      <c r="A520" s="2" t="inlineStr">
        <is>
          <t>Laly Бижутерия</t>
        </is>
      </c>
      <c r="B520" s="2" t="inlineStr">
        <is>
          <t>Подвески бижутерные</t>
        </is>
      </c>
      <c r="C520" s="2">
        <v>264661793</v>
      </c>
      <c r="D520" s="2" t="inlineStr">
        <is>
          <t>55758</t>
        </is>
      </c>
      <c r="E520" s="2" t="inlineStr">
        <is>
          <t>4670294453323</t>
        </is>
      </c>
      <c r="F520" s="2">
        <v>80</v>
      </c>
      <c r="G520" s="2">
        <v>1</v>
      </c>
      <c r="H520" s="2">
        <v>999</v>
      </c>
      <c r="I520" s="2" t="inlineStr">
        <is>
          <t>2997</t>
        </is>
      </c>
      <c r="J520" s="4"/>
      <c r="K520" s="2">
        <v>89</v>
      </c>
      <c r="L520" s="6"/>
      <c r="M520" s="2" t="str">
        <f>IF(J520="",ROUND(I520*(1-IF(ISBLANK(L520),K520,L520)/100),2),ROUND(J520*(1-IF(ISBLANK(L520),K520,L520)/100),2))</f>
      </c>
      <c r="N520" s="7" t="str">
        <f>IF(NOT(AND(J520="",L520="")),IF(OR(AND(L520&lt;&gt;"",NOT(ISNUMBER(L520))),IFERROR(MOD(L520,1),1)&gt;0,AND(ISNUMBER(L520),OR(L520&lt;0,L520&gt;95))),"Введите целое число от 0 до 95",IF(OR(AND(J520&lt;&gt;"",NOT(ISNUMBER(J520))),IFERROR(MOD(J520,1),1)&gt;0,AND(ISNUMBER(J520),OR(J520&lt;50,J520&gt;20000000))),"Введите целое число от 50 до 20000000",IF(NOT(ABS(IFERROR(VALUE(LEFT(M520,FIND("-",M520)-1)),M520)*100-(2500+2000000000)/2)&lt;=ABS(2500-2000000000)/2),"Цена со скидкой должна быть от 25 до 20000000",IF(AND(IFERROR(VALUE(LEFT(M520,FIND("-",M520)-1)),M520)*150&lt;=32966,IFERROR(VALUE(LEFT(M520,FIND("-",M520)-1)),M520)*200&gt;32966),"Вы уменьшили цену в несколько раз, товар попадет в карантин цен",IF(IFERROR(VALUE(LEFT(M520,FIND("-",M520)-1)),M520)*200&lt;=32966,"Не сохранили изменения, чтобы защитить от ошибки — новые цены меньше текущих более чем в 2 раза. Снижайте их постепенно",IF(AND(IFERROR(VALUE(I520),0)=0,ISNUMBER(J520),OR(J520&lt;212,ABS(IFERROR(VALUE(LEFT(M520,FIND("-",M520)-1)),M520))*100&lt;21200)),"Проверьте цену товара. Большинство товаров в выбранной категории стоят дороже 212","")))))),"")</f>
      </c>
    </row>
    <row r="521">
      <c r="A521" s="2" t="inlineStr">
        <is>
          <t>Laly Бижутерия</t>
        </is>
      </c>
      <c r="B521" s="2" t="inlineStr">
        <is>
          <t>Серьги</t>
        </is>
      </c>
      <c r="C521" s="2">
        <v>277127014</v>
      </c>
      <c r="D521" s="2" t="inlineStr">
        <is>
          <t>55774</t>
        </is>
      </c>
      <c r="E521" s="2" t="inlineStr">
        <is>
          <t>4670294453484</t>
        </is>
      </c>
      <c r="F521" s="2">
        <v>64</v>
      </c>
      <c r="G521" s="2">
        <v>1</v>
      </c>
      <c r="H521" s="2">
        <v>660</v>
      </c>
      <c r="I521" s="2" t="inlineStr">
        <is>
          <t>2086</t>
        </is>
      </c>
      <c r="J521" s="4"/>
      <c r="K521" s="2">
        <v>79</v>
      </c>
      <c r="L521" s="6"/>
      <c r="M521" s="2" t="str">
        <f>IF(J521="",ROUND(I521*(1-IF(ISBLANK(L521),K521,L521)/100),2),ROUND(J521*(1-IF(ISBLANK(L521),K521,L521)/100),2))</f>
      </c>
      <c r="N521" s="7" t="str">
        <f>IF(NOT(AND(J521="",L521="")),IF(OR(AND(L521&lt;&gt;"",NOT(ISNUMBER(L521))),IFERROR(MOD(L521,1),1)&gt;0,AND(ISNUMBER(L521),OR(L521&lt;0,L521&gt;95))),"Введите целое число от 0 до 95",IF(OR(AND(J521&lt;&gt;"",NOT(ISNUMBER(J521))),IFERROR(MOD(J521,1),1)&gt;0,AND(ISNUMBER(J521),OR(J521&lt;50,J521&gt;20000000))),"Введите целое число от 50 до 20000000",IF(NOT(ABS(IFERROR(VALUE(LEFT(M521,FIND("-",M521)-1)),M521)*100-(2500+2000000000)/2)&lt;=ABS(2500-2000000000)/2),"Цена со скидкой должна быть от 25 до 20000000",IF(AND(IFERROR(VALUE(LEFT(M521,FIND("-",M521)-1)),M521)*150&lt;=43805,IFERROR(VALUE(LEFT(M521,FIND("-",M521)-1)),M521)*200&gt;43805),"Вы уменьшили цену в несколько раз, товар попадет в карантин цен",IF(IFERROR(VALUE(LEFT(M521,FIND("-",M521)-1)),M521)*200&lt;=43805,"Не сохранили изменения, чтобы защитить от ошибки — новые цены меньше текущих более чем в 2 раза. Снижайте их постепенно",IF(AND(IFERROR(VALUE(I521),0)=0,ISNUMBER(J521),OR(J521&lt;207,ABS(IFERROR(VALUE(LEFT(M521,FIND("-",M521)-1)),M521))*100&lt;20700)),"Проверьте цену товара. Большинство товаров в выбранной категории стоят дороже 207","")))))),"")</f>
      </c>
    </row>
    <row r="522">
      <c r="A522" s="2" t="inlineStr">
        <is>
          <t>Laly Бижутерия</t>
        </is>
      </c>
      <c r="B522" s="2" t="inlineStr">
        <is>
          <t>Комплекты украшений</t>
        </is>
      </c>
      <c r="C522" s="2">
        <v>291945836</v>
      </c>
      <c r="D522" s="2" t="inlineStr">
        <is>
          <t>55554</t>
        </is>
      </c>
      <c r="E522" s="2" t="inlineStr">
        <is>
          <t>2042032591109</t>
        </is>
      </c>
      <c r="F522" s="2">
        <v>0</v>
      </c>
      <c r="G522" s="2">
        <v>0</v>
      </c>
      <c r="H522" s="2">
        <v>999</v>
      </c>
      <c r="I522" s="2" t="inlineStr">
        <is>
          <t>1567</t>
        </is>
      </c>
      <c r="J522" s="4"/>
      <c r="K522" s="2">
        <v>65</v>
      </c>
      <c r="L522" s="6"/>
      <c r="M522" s="2" t="str">
        <f>IF(J522="",ROUND(I522*(1-IF(ISBLANK(L522),K522,L522)/100),2),ROUND(J522*(1-IF(ISBLANK(L522),K522,L522)/100),2))</f>
      </c>
      <c r="N522" s="7" t="str">
        <f>IF(NOT(AND(J522="",L522="")),IF(OR(AND(L522&lt;&gt;"",NOT(ISNUMBER(L522))),IFERROR(MOD(L522,1),1)&gt;0,AND(ISNUMBER(L522),OR(L522&lt;0,L522&gt;95))),"Введите целое число от 0 до 95",IF(OR(AND(J522&lt;&gt;"",NOT(ISNUMBER(J522))),IFERROR(MOD(J522,1),1)&gt;0,AND(ISNUMBER(J522),OR(J522&lt;50,J522&gt;20000000))),"Введите целое число от 50 до 20000000",IF(NOT(ABS(IFERROR(VALUE(LEFT(M522,FIND("-",M522)-1)),M522)*100-(2500+2000000000)/2)&lt;=ABS(2500-2000000000)/2),"Цена со скидкой должна быть от 25 до 20000000",IF(AND(IFERROR(VALUE(LEFT(M522,FIND("-",M522)-1)),M522)*150&lt;=54844,IFERROR(VALUE(LEFT(M522,FIND("-",M522)-1)),M522)*200&gt;54844),"Вы уменьшили цену в несколько раз, товар попадет в карантин цен",IF(IFERROR(VALUE(LEFT(M522,FIND("-",M522)-1)),M522)*200&lt;=54844,"Не сохранили изменения, чтобы защитить от ошибки — новые цены меньше текущих более чем в 2 раза. Снижайте их постепенно",IF(AND(IFERROR(VALUE(I522),0)=0,ISNUMBER(J522),OR(J522&lt;341,ABS(IFERROR(VALUE(LEFT(M522,FIND("-",M522)-1)),M522))*100&lt;34100)),"Проверьте цену товара. Большинство товаров в выбранной категории стоят дороже 341","")))))),"")</f>
      </c>
    </row>
    <row r="523">
      <c r="A523" s="2" t="inlineStr">
        <is>
          <t>Laly Бижутерия</t>
        </is>
      </c>
      <c r="B523" s="2" t="inlineStr">
        <is>
          <t>Цепочки</t>
        </is>
      </c>
      <c r="C523" s="2">
        <v>273931362</v>
      </c>
      <c r="D523" s="2" t="inlineStr">
        <is>
          <t>55787</t>
        </is>
      </c>
      <c r="E523" s="2" t="inlineStr">
        <is>
          <t>4670294453552</t>
        </is>
      </c>
      <c r="F523" s="2">
        <v>252</v>
      </c>
      <c r="G523" s="2">
        <v>89</v>
      </c>
      <c r="H523" s="2">
        <v>211</v>
      </c>
      <c r="I523" s="2" t="inlineStr">
        <is>
          <t>1311</t>
        </is>
      </c>
      <c r="J523" s="4"/>
      <c r="K523" s="2">
        <v>85</v>
      </c>
      <c r="L523" s="6"/>
      <c r="M523" s="2" t="str">
        <f>IF(J523="",ROUND(I523*(1-IF(ISBLANK(L523),K523,L523)/100),2),ROUND(J523*(1-IF(ISBLANK(L523),K523,L523)/100),2))</f>
      </c>
      <c r="N523" s="7" t="str">
        <f>IF(NOT(AND(J523="",L523="")),IF(OR(AND(L523&lt;&gt;"",NOT(ISNUMBER(L523))),IFERROR(MOD(L523,1),1)&gt;0,AND(ISNUMBER(L523),OR(L523&lt;0,L523&gt;95))),"Введите целое число от 0 до 95",IF(OR(AND(J523&lt;&gt;"",NOT(ISNUMBER(J523))),IFERROR(MOD(J523,1),1)&gt;0,AND(ISNUMBER(J523),OR(J523&lt;50,J523&gt;20000000))),"Введите целое число от 50 до 20000000",IF(NOT(ABS(IFERROR(VALUE(LEFT(M523,FIND("-",M523)-1)),M523)*100-(2500+2000000000)/2)&lt;=ABS(2500-2000000000)/2),"Цена со скидкой должна быть от 25 до 20000000",IF(AND(IFERROR(VALUE(LEFT(M523,FIND("-",M523)-1)),M523)*150&lt;=19665,IFERROR(VALUE(LEFT(M523,FIND("-",M523)-1)),M523)*200&gt;19665),"Вы уменьшили цену в несколько раз, товар попадет в карантин цен",IF(IFERROR(VALUE(LEFT(M523,FIND("-",M523)-1)),M523)*200&lt;=19665,"Не сохранили изменения, чтобы защитить от ошибки — новые цены меньше текущих более чем в 2 раза. Снижайте их постепенно",IF(AND(IFERROR(VALUE(I523),0)=0,ISNUMBER(J523),OR(J523&lt;204,ABS(IFERROR(VALUE(LEFT(M523,FIND("-",M523)-1)),M523))*100&lt;20400)),"Проверьте цену товара. Большинство товаров в выбранной категории стоят дороже 204","")))))),"")</f>
      </c>
    </row>
    <row r="524">
      <c r="A524" s="2" t="inlineStr">
        <is>
          <t/>
        </is>
      </c>
      <c r="B524" s="2" t="inlineStr">
        <is>
          <t>Формы для запекания</t>
        </is>
      </c>
      <c r="C524" s="2">
        <v>618382633</v>
      </c>
      <c r="D524" s="2" t="inlineStr">
        <is>
          <t>12224</t>
        </is>
      </c>
      <c r="E524" s="2" t="inlineStr">
        <is>
          <t>2047308549426</t>
        </is>
      </c>
      <c r="F524" s="2">
        <v>0</v>
      </c>
      <c r="G524" s="2">
        <v>0</v>
      </c>
      <c r="H524" s="2" t="inlineStr">
        <is>
          <t/>
        </is>
      </c>
      <c r="I524" s="2" t="inlineStr">
        <is>
          <t>6259</t>
        </is>
      </c>
      <c r="J524" s="4"/>
      <c r="K524" s="2">
        <v>65</v>
      </c>
      <c r="L524" s="6"/>
      <c r="M524" s="2" t="str">
        <f>IF(J524="",ROUND(I524*(1-IF(ISBLANK(L524),K524,L524)/100),2),ROUND(J524*(1-IF(ISBLANK(L524),K524,L524)/100),2))</f>
      </c>
      <c r="N524" s="7" t="str">
        <f>IF(NOT(AND(J524="",L524="")),IF(OR(AND(L524&lt;&gt;"",NOT(ISNUMBER(L524))),IFERROR(MOD(L524,1),1)&gt;0,AND(ISNUMBER(L524),OR(L524&lt;0,L524&gt;95))),"Введите целое число от 0 до 95",IF(OR(AND(J524&lt;&gt;"",NOT(ISNUMBER(J524))),IFERROR(MOD(J524,1),1)&gt;0,AND(ISNUMBER(J524),OR(J524&lt;50,J524&gt;20000000))),"Введите целое число от 50 до 20000000",IF(NOT(ABS(IFERROR(VALUE(LEFT(M524,FIND("-",M524)-1)),M524)*100-(2500+2000000000)/2)&lt;=ABS(2500-2000000000)/2),"Цена со скидкой должна быть от 25 до 20000000",IF(AND(IFERROR(VALUE(LEFT(M524,FIND("-",M524)-1)),M524)*150&lt;=219064,IFERROR(VALUE(LEFT(M524,FIND("-",M524)-1)),M524)*200&gt;219064),"Вы уменьшили цену в несколько раз, товар попадет в карантин цен",IF(IFERROR(VALUE(LEFT(M524,FIND("-",M524)-1)),M524)*200&lt;=219064,"Не сохранили изменения, чтобы защитить от ошибки — новые цены меньше текущих более чем в 2 раза. Снижайте их постепенно",IF(AND(IFERROR(VALUE(I524),0)=0,ISNUMBER(J524),OR(J524&lt;290,ABS(IFERROR(VALUE(LEFT(M524,FIND("-",M524)-1)),M524))*100&lt;29000)),"Проверьте цену товара. Большинство товаров в выбранной категории стоят дороже 290","")))))),"")</f>
      </c>
    </row>
    <row r="525">
      <c r="A525" s="2" t="inlineStr">
        <is>
          <t>Laly Бижутерия</t>
        </is>
      </c>
      <c r="B525" s="2" t="inlineStr">
        <is>
          <t>Колье</t>
        </is>
      </c>
      <c r="C525" s="2">
        <v>264662102</v>
      </c>
      <c r="D525" s="2" t="inlineStr">
        <is>
          <t>550045</t>
        </is>
      </c>
      <c r="E525" s="2" t="inlineStr">
        <is>
          <t>4670294453682</t>
        </is>
      </c>
      <c r="F525" s="2">
        <v>0</v>
      </c>
      <c r="G525" s="2">
        <v>0</v>
      </c>
      <c r="H525" s="2">
        <v>999</v>
      </c>
      <c r="I525" s="2" t="inlineStr">
        <is>
          <t>1978</t>
        </is>
      </c>
      <c r="J525" s="4"/>
      <c r="K525" s="2">
        <v>65</v>
      </c>
      <c r="L525" s="6"/>
      <c r="M525" s="2" t="str">
        <f>IF(J525="",ROUND(I525*(1-IF(ISBLANK(L525),K525,L525)/100),2),ROUND(J525*(1-IF(ISBLANK(L525),K525,L525)/100),2))</f>
      </c>
      <c r="N525" s="7" t="str">
        <f>IF(NOT(AND(J525="",L525="")),IF(OR(AND(L525&lt;&gt;"",NOT(ISNUMBER(L525))),IFERROR(MOD(L525,1),1)&gt;0,AND(ISNUMBER(L525),OR(L525&lt;0,L525&gt;95))),"Введите целое число от 0 до 95",IF(OR(AND(J525&lt;&gt;"",NOT(ISNUMBER(J525))),IFERROR(MOD(J525,1),1)&gt;0,AND(ISNUMBER(J525),OR(J525&lt;50,J525&gt;20000000))),"Введите целое число от 50 до 20000000",IF(NOT(ABS(IFERROR(VALUE(LEFT(M525,FIND("-",M525)-1)),M525)*100-(2500+2000000000)/2)&lt;=ABS(2500-2000000000)/2),"Цена со скидкой должна быть от 25 до 20000000",IF(AND(IFERROR(VALUE(LEFT(M525,FIND("-",M525)-1)),M525)*150&lt;=69230,IFERROR(VALUE(LEFT(M525,FIND("-",M525)-1)),M525)*200&gt;69230),"Вы уменьшили цену в несколько раз, товар попадет в карантин цен",IF(IFERROR(VALUE(LEFT(M525,FIND("-",M525)-1)),M525)*200&lt;=69230,"Не сохранили изменения, чтобы защитить от ошибки — новые цены меньше текущих более чем в 2 раза. Снижайте их постепенно",IF(AND(IFERROR(VALUE(I525),0)=0,ISNUMBER(J525),OR(J525&lt;222,ABS(IFERROR(VALUE(LEFT(M525,FIND("-",M525)-1)),M525))*100&lt;22200)),"Проверьте цену товара. Большинство товаров в выбранной категории стоят дороже 222","")))))),"")</f>
      </c>
    </row>
    <row r="526">
      <c r="A526" s="2" t="inlineStr">
        <is>
          <t/>
        </is>
      </c>
      <c r="B526" s="2" t="inlineStr">
        <is>
          <t>Формы для запекания</t>
        </is>
      </c>
      <c r="C526" s="2">
        <v>618382634</v>
      </c>
      <c r="D526" s="2" t="inlineStr">
        <is>
          <t>120001</t>
        </is>
      </c>
      <c r="E526" s="2" t="inlineStr">
        <is>
          <t>2047308549440</t>
        </is>
      </c>
      <c r="F526" s="2">
        <v>0</v>
      </c>
      <c r="G526" s="2">
        <v>8</v>
      </c>
      <c r="H526" s="2" t="inlineStr">
        <is>
          <t/>
        </is>
      </c>
      <c r="I526" s="2" t="inlineStr">
        <is>
          <t>9260</t>
        </is>
      </c>
      <c r="J526" s="4"/>
      <c r="K526" s="2">
        <v>78</v>
      </c>
      <c r="L526" s="6"/>
      <c r="M526" s="2" t="str">
        <f>IF(J526="",ROUND(I526*(1-IF(ISBLANK(L526),K526,L526)/100),2),ROUND(J526*(1-IF(ISBLANK(L526),K526,L526)/100),2))</f>
      </c>
      <c r="N526" s="7" t="str">
        <f>IF(NOT(AND(J526="",L526="")),IF(OR(AND(L526&lt;&gt;"",NOT(ISNUMBER(L526))),IFERROR(MOD(L526,1),1)&gt;0,AND(ISNUMBER(L526),OR(L526&lt;0,L526&gt;95))),"Введите целое число от 0 до 95",IF(OR(AND(J526&lt;&gt;"",NOT(ISNUMBER(J526))),IFERROR(MOD(J526,1),1)&gt;0,AND(ISNUMBER(J526),OR(J526&lt;50,J526&gt;20000000))),"Введите целое число от 50 до 20000000",IF(NOT(ABS(IFERROR(VALUE(LEFT(M526,FIND("-",M526)-1)),M526)*100-(2500+2000000000)/2)&lt;=ABS(2500-2000000000)/2),"Цена со скидкой должна быть от 25 до 20000000",IF(AND(IFERROR(VALUE(LEFT(M526,FIND("-",M526)-1)),M526)*150&lt;=203719,IFERROR(VALUE(LEFT(M526,FIND("-",M526)-1)),M526)*200&gt;203719),"Вы уменьшили цену в несколько раз, товар попадет в карантин цен",IF(IFERROR(VALUE(LEFT(M526,FIND("-",M526)-1)),M526)*200&lt;=203719,"Не сохранили изменения, чтобы защитить от ошибки — новые цены меньше текущих более чем в 2 раза. Снижайте их постепенно",IF(AND(IFERROR(VALUE(I526),0)=0,ISNUMBER(J526),OR(J526&lt;290,ABS(IFERROR(VALUE(LEFT(M526,FIND("-",M526)-1)),M526))*100&lt;29000)),"Проверьте цену товара. Большинство товаров в выбранной категории стоят дороже 290","")))))),"")</f>
      </c>
    </row>
    <row r="527">
      <c r="A527" s="2" t="inlineStr">
        <is>
          <t>Luxaro</t>
        </is>
      </c>
      <c r="B527" s="2" t="inlineStr">
        <is>
          <t>Формы для запекания</t>
        </is>
      </c>
      <c r="C527" s="2">
        <v>242997798</v>
      </c>
      <c r="D527" s="2" t="inlineStr">
        <is>
          <t>821289</t>
        </is>
      </c>
      <c r="E527" s="2" t="inlineStr">
        <is>
          <t>2040585593700</t>
        </is>
      </c>
      <c r="F527" s="2">
        <v>0</v>
      </c>
      <c r="G527" s="2">
        <v>0</v>
      </c>
      <c r="H527" s="2">
        <v>1</v>
      </c>
      <c r="I527" s="2" t="inlineStr">
        <is>
          <t>4044</t>
        </is>
      </c>
      <c r="J527" s="4"/>
      <c r="K527" s="2">
        <v>65</v>
      </c>
      <c r="L527" s="6"/>
      <c r="M527" s="2" t="str">
        <f>IF(J527="",ROUND(I527*(1-IF(ISBLANK(L527),K527,L527)/100),2),ROUND(J527*(1-IF(ISBLANK(L527),K527,L527)/100),2))</f>
      </c>
      <c r="N527" s="7" t="str">
        <f>IF(NOT(AND(J527="",L527="")),IF(OR(AND(L527&lt;&gt;"",NOT(ISNUMBER(L527))),IFERROR(MOD(L527,1),1)&gt;0,AND(ISNUMBER(L527),OR(L527&lt;0,L527&gt;95))),"Введите целое число от 0 до 95",IF(OR(AND(J527&lt;&gt;"",NOT(ISNUMBER(J527))),IFERROR(MOD(J527,1),1)&gt;0,AND(ISNUMBER(J527),OR(J527&lt;50,J527&gt;20000000))),"Введите целое число от 50 до 20000000",IF(NOT(ABS(IFERROR(VALUE(LEFT(M527,FIND("-",M527)-1)),M527)*100-(2500+2000000000)/2)&lt;=ABS(2500-2000000000)/2),"Цена со скидкой должна быть от 25 до 20000000",IF(AND(IFERROR(VALUE(LEFT(M527,FIND("-",M527)-1)),M527)*150&lt;=141540,IFERROR(VALUE(LEFT(M527,FIND("-",M527)-1)),M527)*200&gt;141540),"Вы уменьшили цену в несколько раз, товар попадет в карантин цен",IF(IFERROR(VALUE(LEFT(M527,FIND("-",M527)-1)),M527)*200&lt;=141540,"Не сохранили изменения, чтобы защитить от ошибки — новые цены меньше текущих более чем в 2 раза. Снижайте их постепенно",IF(AND(IFERROR(VALUE(I527),0)=0,ISNUMBER(J527),OR(J527&lt;290,ABS(IFERROR(VALUE(LEFT(M527,FIND("-",M527)-1)),M527))*100&lt;29000)),"Проверьте цену товара. Большинство товаров в выбранной категории стоят дороже 290","")))))),"")</f>
      </c>
    </row>
    <row r="528">
      <c r="A528" s="2" t="inlineStr">
        <is>
          <t>Luxaro</t>
        </is>
      </c>
      <c r="B528" s="2" t="inlineStr">
        <is>
          <t>Формы для запекания</t>
        </is>
      </c>
      <c r="C528" s="2">
        <v>242997805</v>
      </c>
      <c r="D528" s="2" t="inlineStr">
        <is>
          <t>821287</t>
        </is>
      </c>
      <c r="E528" s="2" t="inlineStr">
        <is>
          <t>2040585593670</t>
        </is>
      </c>
      <c r="F528" s="2">
        <v>22</v>
      </c>
      <c r="G528" s="2">
        <v>37</v>
      </c>
      <c r="H528" s="2">
        <v>661</v>
      </c>
      <c r="I528" s="2" t="inlineStr">
        <is>
          <t>3512</t>
        </is>
      </c>
      <c r="J528" s="4"/>
      <c r="K528" s="2">
        <v>79</v>
      </c>
      <c r="L528" s="6"/>
      <c r="M528" s="2" t="str">
        <f>IF(J528="",ROUND(I528*(1-IF(ISBLANK(L528),K528,L528)/100),2),ROUND(J528*(1-IF(ISBLANK(L528),K528,L528)/100),2))</f>
      </c>
      <c r="N528" s="7" t="str">
        <f>IF(NOT(AND(J528="",L528="")),IF(OR(AND(L528&lt;&gt;"",NOT(ISNUMBER(L528))),IFERROR(MOD(L528,1),1)&gt;0,AND(ISNUMBER(L528),OR(L528&lt;0,L528&gt;95))),"Введите целое число от 0 до 95",IF(OR(AND(J528&lt;&gt;"",NOT(ISNUMBER(J528))),IFERROR(MOD(J528,1),1)&gt;0,AND(ISNUMBER(J528),OR(J528&lt;50,J528&gt;20000000))),"Введите целое число от 50 до 20000000",IF(NOT(ABS(IFERROR(VALUE(LEFT(M528,FIND("-",M528)-1)),M528)*100-(2500+2000000000)/2)&lt;=ABS(2500-2000000000)/2),"Цена со скидкой должна быть от 25 до 20000000",IF(AND(IFERROR(VALUE(LEFT(M528,FIND("-",M528)-1)),M528)*150&lt;=73751,IFERROR(VALUE(LEFT(M528,FIND("-",M528)-1)),M528)*200&gt;73751),"Вы уменьшили цену в несколько раз, товар попадет в карантин цен",IF(IFERROR(VALUE(LEFT(M528,FIND("-",M528)-1)),M528)*200&lt;=73751,"Не сохранили изменения, чтобы защитить от ошибки — новые цены меньше текущих более чем в 2 раза. Снижайте их постепенно",IF(AND(IFERROR(VALUE(I528),0)=0,ISNUMBER(J528),OR(J528&lt;290,ABS(IFERROR(VALUE(LEFT(M528,FIND("-",M528)-1)),M528))*100&lt;29000)),"Проверьте цену товара. Большинство товаров в выбранной категории стоят дороже 290","")))))),"")</f>
      </c>
    </row>
    <row r="529">
      <c r="A529" s="2" t="inlineStr">
        <is>
          <t/>
        </is>
      </c>
      <c r="B529" s="2" t="inlineStr">
        <is>
          <t>Формы для запекания</t>
        </is>
      </c>
      <c r="C529" s="2">
        <v>618382626</v>
      </c>
      <c r="D529" s="2" t="inlineStr">
        <is>
          <t>075813</t>
        </is>
      </c>
      <c r="E529" s="2" t="inlineStr">
        <is>
          <t>2047308549334</t>
        </is>
      </c>
      <c r="F529" s="2" t="inlineStr">
        <is>
          <t/>
        </is>
      </c>
      <c r="G529" s="2" t="inlineStr">
        <is>
          <t/>
        </is>
      </c>
      <c r="H529" s="2" t="inlineStr">
        <is>
          <t/>
        </is>
      </c>
      <c r="I529" s="2" t="inlineStr">
        <is>
          <t>0</t>
        </is>
      </c>
      <c r="J529" s="4"/>
      <c r="K529" s="2">
        <v>0</v>
      </c>
      <c r="L529" s="6"/>
      <c r="M529" s="2" t="str">
        <f>IF(J529="",ROUND(I529*(1-IF(ISBLANK(L529),K529,L529)/100),2),ROUND(J529*(1-IF(ISBLANK(L529),K529,L529)/100),2))</f>
      </c>
      <c r="N529" s="7" t="str">
        <f>IF(NOT(AND(J529="",L529="")),IF(OR(AND(L529&lt;&gt;"",NOT(ISNUMBER(L529))),IFERROR(MOD(L529,1),1)&gt;0,AND(ISNUMBER(L529),OR(L529&lt;0,L529&gt;95))),"Введите целое число от 0 до 95",IF(OR(AND(J529&lt;&gt;"",NOT(ISNUMBER(J529))),IFERROR(MOD(J529,1),1)&gt;0,AND(ISNUMBER(J529),OR(J529&lt;50,J529&gt;20000000))),"Введите целое число от 50 до 20000000",IF(NOT(ABS(IFERROR(VALUE(LEFT(M529,FIND("-",M529)-1)),M529)*100-(2500+2000000000)/2)&lt;=ABS(2500-2000000000)/2),"Цена со скидкой должна быть от 25 до 20000000",IF(AND(IFERROR(VALUE(LEFT(M529,FIND("-",M529)-1)),M529)*150&lt;=0,IFERROR(VALUE(LEFT(M529,FIND("-",M529)-1)),M529)*200&gt;0),"Вы уменьшили цену в несколько раз, товар попадет в карантин цен",IF(IFERROR(VALUE(LEFT(M529,FIND("-",M529)-1)),M529)*200&lt;=0,"Не сохранили изменения, чтобы защитить от ошибки — новые цены меньше текущих более чем в 2 раза. Снижайте их постепенно",IF(AND(IFERROR(VALUE(I529),0)=0,ISNUMBER(J529),OR(J529&lt;290,ABS(IFERROR(VALUE(LEFT(M529,FIND("-",M529)-1)),M529))*100&lt;29000)),"Проверьте цену товара. Большинство товаров в выбранной категории стоят дороже 290","")))))),"")</f>
      </c>
    </row>
    <row r="530">
      <c r="A530" s="2" t="inlineStr">
        <is>
          <t>Luxaro</t>
        </is>
      </c>
      <c r="B530" s="2" t="inlineStr">
        <is>
          <t>Формы для запекания</t>
        </is>
      </c>
      <c r="C530" s="2">
        <v>246996741</v>
      </c>
      <c r="D530" s="2" t="inlineStr">
        <is>
          <t>513392</t>
        </is>
      </c>
      <c r="E530" s="2" t="inlineStr">
        <is>
          <t>4680093960342</t>
        </is>
      </c>
      <c r="F530" s="2">
        <v>114</v>
      </c>
      <c r="G530" s="2">
        <v>1164</v>
      </c>
      <c r="H530" s="2">
        <v>706</v>
      </c>
      <c r="I530" s="2" t="inlineStr">
        <is>
          <t>2852</t>
        </is>
      </c>
      <c r="J530" s="4"/>
      <c r="K530" s="2">
        <v>81</v>
      </c>
      <c r="L530" s="6"/>
      <c r="M530" s="2" t="str">
        <f>IF(J530="",ROUND(I530*(1-IF(ISBLANK(L530),K530,L530)/100),2),ROUND(J530*(1-IF(ISBLANK(L530),K530,L530)/100),2))</f>
      </c>
      <c r="N530" s="7" t="str">
        <f>IF(NOT(AND(J530="",L530="")),IF(OR(AND(L530&lt;&gt;"",NOT(ISNUMBER(L530))),IFERROR(MOD(L530,1),1)&gt;0,AND(ISNUMBER(L530),OR(L530&lt;0,L530&gt;95))),"Введите целое число от 0 до 95",IF(OR(AND(J530&lt;&gt;"",NOT(ISNUMBER(J530))),IFERROR(MOD(J530,1),1)&gt;0,AND(ISNUMBER(J530),OR(J530&lt;50,J530&gt;20000000))),"Введите целое число от 50 до 20000000",IF(NOT(ABS(IFERROR(VALUE(LEFT(M530,FIND("-",M530)-1)),M530)*100-(2500+2000000000)/2)&lt;=ABS(2500-2000000000)/2),"Цена со скидкой должна быть от 25 до 20000000",IF(AND(IFERROR(VALUE(LEFT(M530,FIND("-",M530)-1)),M530)*150&lt;=54187,IFERROR(VALUE(LEFT(M530,FIND("-",M530)-1)),M530)*200&gt;54187),"Вы уменьшили цену в несколько раз, товар попадет в карантин цен",IF(IFERROR(VALUE(LEFT(M530,FIND("-",M530)-1)),M530)*200&lt;=54187,"Не сохранили изменения, чтобы защитить от ошибки — новые цены меньше текущих более чем в 2 раза. Снижайте их постепенно",IF(AND(IFERROR(VALUE(I530),0)=0,ISNUMBER(J530),OR(J530&lt;290,ABS(IFERROR(VALUE(LEFT(M530,FIND("-",M530)-1)),M530))*100&lt;29000)),"Проверьте цену товара. Большинство товаров в выбранной категории стоят дороже 290","")))))),"")</f>
      </c>
    </row>
    <row r="531">
      <c r="A531" s="2" t="inlineStr">
        <is>
          <t/>
        </is>
      </c>
      <c r="B531" s="2" t="inlineStr">
        <is>
          <t>Формы для запекания</t>
        </is>
      </c>
      <c r="C531" s="2">
        <v>618382627</v>
      </c>
      <c r="D531" s="2" t="inlineStr">
        <is>
          <t>120451</t>
        </is>
      </c>
      <c r="E531" s="2" t="inlineStr">
        <is>
          <t>2047308549341</t>
        </is>
      </c>
      <c r="F531" s="2">
        <v>0</v>
      </c>
      <c r="G531" s="2">
        <v>4</v>
      </c>
      <c r="H531" s="2" t="inlineStr">
        <is>
          <t/>
        </is>
      </c>
      <c r="I531" s="2" t="inlineStr">
        <is>
          <t>9912</t>
        </is>
      </c>
      <c r="J531" s="4"/>
      <c r="K531" s="2">
        <v>78</v>
      </c>
      <c r="L531" s="6"/>
      <c r="M531" s="2" t="str">
        <f>IF(J531="",ROUND(I531*(1-IF(ISBLANK(L531),K531,L531)/100),2),ROUND(J531*(1-IF(ISBLANK(L531),K531,L531)/100),2))</f>
      </c>
      <c r="N531" s="7" t="str">
        <f>IF(NOT(AND(J531="",L531="")),IF(OR(AND(L531&lt;&gt;"",NOT(ISNUMBER(L531))),IFERROR(MOD(L531,1),1)&gt;0,AND(ISNUMBER(L531),OR(L531&lt;0,L531&gt;95))),"Введите целое число от 0 до 95",IF(OR(AND(J531&lt;&gt;"",NOT(ISNUMBER(J531))),IFERROR(MOD(J531,1),1)&gt;0,AND(ISNUMBER(J531),OR(J531&lt;50,J531&gt;20000000))),"Введите целое число от 50 до 20000000",IF(NOT(ABS(IFERROR(VALUE(LEFT(M531,FIND("-",M531)-1)),M531)*100-(2500+2000000000)/2)&lt;=ABS(2500-2000000000)/2),"Цена со скидкой должна быть от 25 до 20000000",IF(AND(IFERROR(VALUE(LEFT(M531,FIND("-",M531)-1)),M531)*150&lt;=218064,IFERROR(VALUE(LEFT(M531,FIND("-",M531)-1)),M531)*200&gt;218064),"Вы уменьшили цену в несколько раз, товар попадет в карантин цен",IF(IFERROR(VALUE(LEFT(M531,FIND("-",M531)-1)),M531)*200&lt;=218064,"Не сохранили изменения, чтобы защитить от ошибки — новые цены меньше текущих более чем в 2 раза. Снижайте их постепенно",IF(AND(IFERROR(VALUE(I531),0)=0,ISNUMBER(J531),OR(J531&lt;290,ABS(IFERROR(VALUE(LEFT(M531,FIND("-",M531)-1)),M531))*100&lt;29000)),"Проверьте цену товара. Большинство товаров в выбранной категории стоят дороже 290","")))))),"")</f>
      </c>
    </row>
    <row r="532">
      <c r="A532" s="2" t="inlineStr">
        <is>
          <t>Luxaro</t>
        </is>
      </c>
      <c r="B532" s="2" t="inlineStr">
        <is>
          <t>Формы для льда</t>
        </is>
      </c>
      <c r="C532" s="2">
        <v>255326391</v>
      </c>
      <c r="D532" s="2" t="inlineStr">
        <is>
          <t>513782</t>
        </is>
      </c>
      <c r="E532" s="2" t="inlineStr">
        <is>
          <t>2041002180022</t>
        </is>
      </c>
      <c r="F532" s="2">
        <v>25</v>
      </c>
      <c r="G532" s="2">
        <v>9</v>
      </c>
      <c r="H532" s="2">
        <v>999</v>
      </c>
      <c r="I532" s="2" t="inlineStr">
        <is>
          <t>3372</t>
        </is>
      </c>
      <c r="J532" s="4"/>
      <c r="K532" s="2">
        <v>79</v>
      </c>
      <c r="L532" s="6"/>
      <c r="M532" s="2" t="str">
        <f>IF(J532="",ROUND(I532*(1-IF(ISBLANK(L532),K532,L532)/100),2),ROUND(J532*(1-IF(ISBLANK(L532),K532,L532)/100),2))</f>
      </c>
      <c r="N532" s="7" t="str">
        <f>IF(NOT(AND(J532="",L532="")),IF(OR(AND(L532&lt;&gt;"",NOT(ISNUMBER(L532))),IFERROR(MOD(L532,1),1)&gt;0,AND(ISNUMBER(L532),OR(L532&lt;0,L532&gt;95))),"Введите целое число от 0 до 95",IF(OR(AND(J532&lt;&gt;"",NOT(ISNUMBER(J532))),IFERROR(MOD(J532,1),1)&gt;0,AND(ISNUMBER(J532),OR(J532&lt;50,J532&gt;20000000))),"Введите целое число от 50 до 20000000",IF(NOT(ABS(IFERROR(VALUE(LEFT(M532,FIND("-",M532)-1)),M532)*100-(2500+2000000000)/2)&lt;=ABS(2500-2000000000)/2),"Цена со скидкой должна быть от 25 до 20000000",IF(AND(IFERROR(VALUE(LEFT(M532,FIND("-",M532)-1)),M532)*150&lt;=70811,IFERROR(VALUE(LEFT(M532,FIND("-",M532)-1)),M532)*200&gt;70811),"Вы уменьшили цену в несколько раз, товар попадет в карантин цен",IF(IFERROR(VALUE(LEFT(M532,FIND("-",M532)-1)),M532)*200&lt;=70811,"Не сохранили изменения, чтобы защитить от ошибки — новые цены меньше текущих более чем в 2 раза. Снижайте их постепенно",IF(AND(IFERROR(VALUE(I532),0)=0,ISNUMBER(J532),OR(J532&lt;241,ABS(IFERROR(VALUE(LEFT(M532,FIND("-",M532)-1)),M532))*100&lt;24100)),"Проверьте цену товара. Большинство товаров в выбранной категории стоят дороже 241","")))))),"")</f>
      </c>
    </row>
    <row r="533">
      <c r="A533" s="2" t="inlineStr">
        <is>
          <t>Luxaro</t>
        </is>
      </c>
      <c r="B533" s="2" t="inlineStr">
        <is>
          <t>Формы для запекания</t>
        </is>
      </c>
      <c r="C533" s="2">
        <v>246996751</v>
      </c>
      <c r="D533" s="2" t="inlineStr">
        <is>
          <t>513388</t>
        </is>
      </c>
      <c r="E533" s="2" t="inlineStr">
        <is>
          <t>4680093960212</t>
        </is>
      </c>
      <c r="F533" s="2">
        <v>133</v>
      </c>
      <c r="G533" s="2">
        <v>281</v>
      </c>
      <c r="H533" s="2">
        <v>999</v>
      </c>
      <c r="I533" s="2" t="inlineStr">
        <is>
          <t>3672</t>
        </is>
      </c>
      <c r="J533" s="4"/>
      <c r="K533" s="2">
        <v>83</v>
      </c>
      <c r="L533" s="6"/>
      <c r="M533" s="2" t="str">
        <f>IF(J533="",ROUND(I533*(1-IF(ISBLANK(L533),K533,L533)/100),2),ROUND(J533*(1-IF(ISBLANK(L533),K533,L533)/100),2))</f>
      </c>
      <c r="N533" s="7" t="str">
        <f>IF(NOT(AND(J533="",L533="")),IF(OR(AND(L533&lt;&gt;"",NOT(ISNUMBER(L533))),IFERROR(MOD(L533,1),1)&gt;0,AND(ISNUMBER(L533),OR(L533&lt;0,L533&gt;95))),"Введите целое число от 0 до 95",IF(OR(AND(J533&lt;&gt;"",NOT(ISNUMBER(J533))),IFERROR(MOD(J533,1),1)&gt;0,AND(ISNUMBER(J533),OR(J533&lt;50,J533&gt;20000000))),"Введите целое число от 50 до 20000000",IF(NOT(ABS(IFERROR(VALUE(LEFT(M533,FIND("-",M533)-1)),M533)*100-(2500+2000000000)/2)&lt;=ABS(2500-2000000000)/2),"Цена со скидкой должна быть от 25 до 20000000",IF(AND(IFERROR(VALUE(LEFT(M533,FIND("-",M533)-1)),M533)*150&lt;=62424,IFERROR(VALUE(LEFT(M533,FIND("-",M533)-1)),M533)*200&gt;62424),"Вы уменьшили цену в несколько раз, товар попадет в карантин цен",IF(IFERROR(VALUE(LEFT(M533,FIND("-",M533)-1)),M533)*200&lt;=62424,"Не сохранили изменения, чтобы защитить от ошибки — новые цены меньше текущих более чем в 2 раза. Снижайте их постепенно",IF(AND(IFERROR(VALUE(I533),0)=0,ISNUMBER(J533),OR(J533&lt;290,ABS(IFERROR(VALUE(LEFT(M533,FIND("-",M533)-1)),M533))*100&lt;29000)),"Проверьте цену товара. Большинство товаров в выбранной категории стоят дороже 290","")))))),"")</f>
      </c>
    </row>
    <row r="534">
      <c r="A534" s="2" t="inlineStr">
        <is>
          <t>Luxaro</t>
        </is>
      </c>
      <c r="B534" s="2" t="inlineStr">
        <is>
          <t>Формы для запекания</t>
        </is>
      </c>
      <c r="C534" s="2">
        <v>246934654</v>
      </c>
      <c r="D534" s="2" t="inlineStr">
        <is>
          <t>513387</t>
        </is>
      </c>
      <c r="E534" s="2" t="inlineStr">
        <is>
          <t>4680093960229</t>
        </is>
      </c>
      <c r="F534" s="2">
        <v>124</v>
      </c>
      <c r="G534" s="2">
        <v>892</v>
      </c>
      <c r="H534" s="2">
        <v>999</v>
      </c>
      <c r="I534" s="2" t="inlineStr">
        <is>
          <t>3624</t>
        </is>
      </c>
      <c r="J534" s="4"/>
      <c r="K534" s="2">
        <v>80</v>
      </c>
      <c r="L534" s="6"/>
      <c r="M534" s="2" t="str">
        <f>IF(J534="",ROUND(I534*(1-IF(ISBLANK(L534),K534,L534)/100),2),ROUND(J534*(1-IF(ISBLANK(L534),K534,L534)/100),2))</f>
      </c>
      <c r="N534" s="7" t="str">
        <f>IF(NOT(AND(J534="",L534="")),IF(OR(AND(L534&lt;&gt;"",NOT(ISNUMBER(L534))),IFERROR(MOD(L534,1),1)&gt;0,AND(ISNUMBER(L534),OR(L534&lt;0,L534&gt;95))),"Введите целое число от 0 до 95",IF(OR(AND(J534&lt;&gt;"",NOT(ISNUMBER(J534))),IFERROR(MOD(J534,1),1)&gt;0,AND(ISNUMBER(J534),OR(J534&lt;50,J534&gt;20000000))),"Введите целое число от 50 до 20000000",IF(NOT(ABS(IFERROR(VALUE(LEFT(M534,FIND("-",M534)-1)),M534)*100-(2500+2000000000)/2)&lt;=ABS(2500-2000000000)/2),"Цена со скидкой должна быть от 25 до 20000000",IF(AND(IFERROR(VALUE(LEFT(M534,FIND("-",M534)-1)),M534)*150&lt;=72479,IFERROR(VALUE(LEFT(M534,FIND("-",M534)-1)),M534)*200&gt;72479),"Вы уменьшили цену в несколько раз, товар попадет в карантин цен",IF(IFERROR(VALUE(LEFT(M534,FIND("-",M534)-1)),M534)*200&lt;=72479,"Не сохранили изменения, чтобы защитить от ошибки — новые цены меньше текущих более чем в 2 раза. Снижайте их постепенно",IF(AND(IFERROR(VALUE(I534),0)=0,ISNUMBER(J534),OR(J534&lt;290,ABS(IFERROR(VALUE(LEFT(M534,FIND("-",M534)-1)),M534))*100&lt;29000)),"Проверьте цену товара. Большинство товаров в выбранной категории стоят дороже 290","")))))),"")</f>
      </c>
    </row>
    <row r="535">
      <c r="A535" s="2" t="inlineStr">
        <is>
          <t>Luxaro</t>
        </is>
      </c>
      <c r="B535" s="2" t="inlineStr">
        <is>
          <t>Противни</t>
        </is>
      </c>
      <c r="C535" s="2">
        <v>247826222</v>
      </c>
      <c r="D535" s="2" t="inlineStr">
        <is>
          <t>821368</t>
        </is>
      </c>
      <c r="E535" s="2" t="inlineStr">
        <is>
          <t>4680638702079</t>
        </is>
      </c>
      <c r="F535" s="2">
        <v>25</v>
      </c>
      <c r="G535" s="2">
        <v>0</v>
      </c>
      <c r="H535" s="2">
        <v>999</v>
      </c>
      <c r="I535" s="2" t="inlineStr">
        <is>
          <t>4176</t>
        </is>
      </c>
      <c r="J535" s="4"/>
      <c r="K535" s="2">
        <v>81</v>
      </c>
      <c r="L535" s="6"/>
      <c r="M535" s="2" t="str">
        <f>IF(J535="",ROUND(I535*(1-IF(ISBLANK(L535),K535,L535)/100),2),ROUND(J535*(1-IF(ISBLANK(L535),K535,L535)/100),2))</f>
      </c>
      <c r="N535" s="7" t="str">
        <f>IF(NOT(AND(J535="",L535="")),IF(OR(AND(L535&lt;&gt;"",NOT(ISNUMBER(L535))),IFERROR(MOD(L535,1),1)&gt;0,AND(ISNUMBER(L535),OR(L535&lt;0,L535&gt;95))),"Введите целое число от 0 до 95",IF(OR(AND(J535&lt;&gt;"",NOT(ISNUMBER(J535))),IFERROR(MOD(J535,1),1)&gt;0,AND(ISNUMBER(J535),OR(J535&lt;50,J535&gt;20000000))),"Введите целое число от 50 до 20000000",IF(NOT(ABS(IFERROR(VALUE(LEFT(M535,FIND("-",M535)-1)),M535)*100-(2500+2000000000)/2)&lt;=ABS(2500-2000000000)/2),"Цена со скидкой должна быть от 25 до 20000000",IF(AND(IFERROR(VALUE(LEFT(M535,FIND("-",M535)-1)),M535)*150&lt;=79343,IFERROR(VALUE(LEFT(M535,FIND("-",M535)-1)),M535)*200&gt;79343),"Вы уменьшили цену в несколько раз, товар попадет в карантин цен",IF(IFERROR(VALUE(LEFT(M535,FIND("-",M535)-1)),M535)*200&lt;=79343,"Не сохранили изменения, чтобы защитить от ошибки — новые цены меньше текущих более чем в 2 раза. Снижайте их постепенно",IF(AND(IFERROR(VALUE(I535),0)=0,ISNUMBER(J535),OR(J535&lt;427,ABS(IFERROR(VALUE(LEFT(M535,FIND("-",M535)-1)),M535))*100&lt;42700)),"Проверьте цену товара. Большинство товаров в выбранной категории стоят дороже 427","")))))),"")</f>
      </c>
    </row>
    <row r="536">
      <c r="A536" s="2" t="inlineStr">
        <is>
          <t>Luxaro</t>
        </is>
      </c>
      <c r="B536" s="2" t="inlineStr">
        <is>
          <t>Формы для запекания</t>
        </is>
      </c>
      <c r="C536" s="2">
        <v>246996743</v>
      </c>
      <c r="D536" s="2" t="inlineStr">
        <is>
          <t>513386</t>
        </is>
      </c>
      <c r="E536" s="2" t="inlineStr">
        <is>
          <t>4680093960304</t>
        </is>
      </c>
      <c r="F536" s="2">
        <v>103</v>
      </c>
      <c r="G536" s="2">
        <v>2</v>
      </c>
      <c r="H536" s="2">
        <v>999</v>
      </c>
      <c r="I536" s="2" t="inlineStr">
        <is>
          <t>4137</t>
        </is>
      </c>
      <c r="J536" s="4"/>
      <c r="K536" s="2">
        <v>79</v>
      </c>
      <c r="L536" s="6"/>
      <c r="M536" s="2" t="str">
        <f>IF(J536="",ROUND(I536*(1-IF(ISBLANK(L536),K536,L536)/100),2),ROUND(J536*(1-IF(ISBLANK(L536),K536,L536)/100),2))</f>
      </c>
      <c r="N536" s="7" t="str">
        <f>IF(NOT(AND(J536="",L536="")),IF(OR(AND(L536&lt;&gt;"",NOT(ISNUMBER(L536))),IFERROR(MOD(L536,1),1)&gt;0,AND(ISNUMBER(L536),OR(L536&lt;0,L536&gt;95))),"Введите целое число от 0 до 95",IF(OR(AND(J536&lt;&gt;"",NOT(ISNUMBER(J536))),IFERROR(MOD(J536,1),1)&gt;0,AND(ISNUMBER(J536),OR(J536&lt;50,J536&gt;20000000))),"Введите целое число от 50 до 20000000",IF(NOT(ABS(IFERROR(VALUE(LEFT(M536,FIND("-",M536)-1)),M536)*100-(2500+2000000000)/2)&lt;=ABS(2500-2000000000)/2),"Цена со скидкой должна быть от 25 до 20000000",IF(AND(IFERROR(VALUE(LEFT(M536,FIND("-",M536)-1)),M536)*150&lt;=86876,IFERROR(VALUE(LEFT(M536,FIND("-",M536)-1)),M536)*200&gt;86876),"Вы уменьшили цену в несколько раз, товар попадет в карантин цен",IF(IFERROR(VALUE(LEFT(M536,FIND("-",M536)-1)),M536)*200&lt;=86876,"Не сохранили изменения, чтобы защитить от ошибки — новые цены меньше текущих более чем в 2 раза. Снижайте их постепенно",IF(AND(IFERROR(VALUE(I536),0)=0,ISNUMBER(J536),OR(J536&lt;290,ABS(IFERROR(VALUE(LEFT(M536,FIND("-",M536)-1)),M536))*100&lt;29000)),"Проверьте цену товара. Большинство товаров в выбранной категории стоят дороже 290","")))))),"")</f>
      </c>
    </row>
    <row r="537">
      <c r="A537" s="2" t="inlineStr">
        <is>
          <t>Luxaro</t>
        </is>
      </c>
      <c r="B537" s="2" t="inlineStr">
        <is>
          <t>Формы для запекания</t>
        </is>
      </c>
      <c r="C537" s="2">
        <v>247196252</v>
      </c>
      <c r="D537" s="2" t="inlineStr">
        <is>
          <t>513473</t>
        </is>
      </c>
      <c r="E537" s="2" t="inlineStr">
        <is>
          <t>4680093964746</t>
        </is>
      </c>
      <c r="F537" s="2">
        <v>51</v>
      </c>
      <c r="G537" s="2">
        <v>54</v>
      </c>
      <c r="H537" s="2">
        <v>999</v>
      </c>
      <c r="I537" s="2" t="inlineStr">
        <is>
          <t>5336</t>
        </is>
      </c>
      <c r="J537" s="4"/>
      <c r="K537" s="2">
        <v>81</v>
      </c>
      <c r="L537" s="6"/>
      <c r="M537" s="2" t="str">
        <f>IF(J537="",ROUND(I537*(1-IF(ISBLANK(L537),K537,L537)/100),2),ROUND(J537*(1-IF(ISBLANK(L537),K537,L537)/100),2))</f>
      </c>
      <c r="N537" s="7" t="str">
        <f>IF(NOT(AND(J537="",L537="")),IF(OR(AND(L537&lt;&gt;"",NOT(ISNUMBER(L537))),IFERROR(MOD(L537,1),1)&gt;0,AND(ISNUMBER(L537),OR(L537&lt;0,L537&gt;95))),"Введите целое число от 0 до 95",IF(OR(AND(J537&lt;&gt;"",NOT(ISNUMBER(J537))),IFERROR(MOD(J537,1),1)&gt;0,AND(ISNUMBER(J537),OR(J537&lt;50,J537&gt;20000000))),"Введите целое число от 50 до 20000000",IF(NOT(ABS(IFERROR(VALUE(LEFT(M537,FIND("-",M537)-1)),M537)*100-(2500+2000000000)/2)&lt;=ABS(2500-2000000000)/2),"Цена со скидкой должна быть от 25 до 20000000",IF(AND(IFERROR(VALUE(LEFT(M537,FIND("-",M537)-1)),M537)*150&lt;=101383,IFERROR(VALUE(LEFT(M537,FIND("-",M537)-1)),M537)*200&gt;101383),"Вы уменьшили цену в несколько раз, товар попадет в карантин цен",IF(IFERROR(VALUE(LEFT(M537,FIND("-",M537)-1)),M537)*200&lt;=101383,"Не сохранили изменения, чтобы защитить от ошибки — новые цены меньше текущих более чем в 2 раза. Снижайте их постепенно",IF(AND(IFERROR(VALUE(I537),0)=0,ISNUMBER(J537),OR(J537&lt;290,ABS(IFERROR(VALUE(LEFT(M537,FIND("-",M537)-1)),M537))*100&lt;29000)),"Проверьте цену товара. Большинство товаров в выбранной категории стоят дороже 290","")))))),"")</f>
      </c>
    </row>
    <row r="538">
      <c r="A538" s="2" t="inlineStr">
        <is>
          <t>Luxaro</t>
        </is>
      </c>
      <c r="B538" s="2" t="inlineStr">
        <is>
          <t>Формы для запекания</t>
        </is>
      </c>
      <c r="C538" s="2">
        <v>247196251</v>
      </c>
      <c r="D538" s="2" t="inlineStr">
        <is>
          <t>513468</t>
        </is>
      </c>
      <c r="E538" s="2" t="inlineStr">
        <is>
          <t>4680093964708</t>
        </is>
      </c>
      <c r="F538" s="2">
        <v>0</v>
      </c>
      <c r="G538" s="2">
        <v>0</v>
      </c>
      <c r="H538" s="2">
        <v>1</v>
      </c>
      <c r="I538" s="2" t="inlineStr">
        <is>
          <t>2856</t>
        </is>
      </c>
      <c r="J538" s="4"/>
      <c r="K538" s="2">
        <v>67</v>
      </c>
      <c r="L538" s="6"/>
      <c r="M538" s="2" t="str">
        <f>IF(J538="",ROUND(I538*(1-IF(ISBLANK(L538),K538,L538)/100),2),ROUND(J538*(1-IF(ISBLANK(L538),K538,L538)/100),2))</f>
      </c>
      <c r="N538" s="7" t="str">
        <f>IF(NOT(AND(J538="",L538="")),IF(OR(AND(L538&lt;&gt;"",NOT(ISNUMBER(L538))),IFERROR(MOD(L538,1),1)&gt;0,AND(ISNUMBER(L538),OR(L538&lt;0,L538&gt;95))),"Введите целое число от 0 до 95",IF(OR(AND(J538&lt;&gt;"",NOT(ISNUMBER(J538))),IFERROR(MOD(J538,1),1)&gt;0,AND(ISNUMBER(J538),OR(J538&lt;50,J538&gt;20000000))),"Введите целое число от 50 до 20000000",IF(NOT(ABS(IFERROR(VALUE(LEFT(M538,FIND("-",M538)-1)),M538)*100-(2500+2000000000)/2)&lt;=ABS(2500-2000000000)/2),"Цена со скидкой должна быть от 25 до 20000000",IF(AND(IFERROR(VALUE(LEFT(M538,FIND("-",M538)-1)),M538)*150&lt;=94247,IFERROR(VALUE(LEFT(M538,FIND("-",M538)-1)),M538)*200&gt;94247),"Вы уменьшили цену в несколько раз, товар попадет в карантин цен",IF(IFERROR(VALUE(LEFT(M538,FIND("-",M538)-1)),M538)*200&lt;=94247,"Не сохранили изменения, чтобы защитить от ошибки — новые цены меньше текущих более чем в 2 раза. Снижайте их постепенно",IF(AND(IFERROR(VALUE(I538),0)=0,ISNUMBER(J538),OR(J538&lt;290,ABS(IFERROR(VALUE(LEFT(M538,FIND("-",M538)-1)),M538))*100&lt;29000)),"Проверьте цену товара. Большинство товаров в выбранной категории стоят дороже 290","")))))),"")</f>
      </c>
    </row>
    <row r="539">
      <c r="A539" s="2" t="inlineStr">
        <is>
          <t>Luxaro</t>
        </is>
      </c>
      <c r="B539" s="2" t="inlineStr">
        <is>
          <t>Формы для запекания</t>
        </is>
      </c>
      <c r="C539" s="2">
        <v>247196242</v>
      </c>
      <c r="D539" s="2" t="inlineStr">
        <is>
          <t>513466</t>
        </is>
      </c>
      <c r="E539" s="2" t="inlineStr">
        <is>
          <t>4680093964661</t>
        </is>
      </c>
      <c r="F539" s="2">
        <v>0</v>
      </c>
      <c r="G539" s="2">
        <v>4</v>
      </c>
      <c r="H539" s="2">
        <v>1</v>
      </c>
      <c r="I539" s="2" t="inlineStr">
        <is>
          <t>6359</t>
        </is>
      </c>
      <c r="J539" s="4"/>
      <c r="K539" s="2">
        <v>65</v>
      </c>
      <c r="L539" s="6"/>
      <c r="M539" s="2" t="str">
        <f>IF(J539="",ROUND(I539*(1-IF(ISBLANK(L539),K539,L539)/100),2),ROUND(J539*(1-IF(ISBLANK(L539),K539,L539)/100),2))</f>
      </c>
      <c r="N539" s="7" t="str">
        <f>IF(NOT(AND(J539="",L539="")),IF(OR(AND(L539&lt;&gt;"",NOT(ISNUMBER(L539))),IFERROR(MOD(L539,1),1)&gt;0,AND(ISNUMBER(L539),OR(L539&lt;0,L539&gt;95))),"Введите целое число от 0 до 95",IF(OR(AND(J539&lt;&gt;"",NOT(ISNUMBER(J539))),IFERROR(MOD(J539,1),1)&gt;0,AND(ISNUMBER(J539),OR(J539&lt;50,J539&gt;20000000))),"Введите целое число от 50 до 20000000",IF(NOT(ABS(IFERROR(VALUE(LEFT(M539,FIND("-",M539)-1)),M539)*100-(2500+2000000000)/2)&lt;=ABS(2500-2000000000)/2),"Цена со скидкой должна быть от 25 до 20000000",IF(AND(IFERROR(VALUE(LEFT(M539,FIND("-",M539)-1)),M539)*150&lt;=222564,IFERROR(VALUE(LEFT(M539,FIND("-",M539)-1)),M539)*200&gt;222564),"Вы уменьшили цену в несколько раз, товар попадет в карантин цен",IF(IFERROR(VALUE(LEFT(M539,FIND("-",M539)-1)),M539)*200&lt;=222564,"Не сохранили изменения, чтобы защитить от ошибки — новые цены меньше текущих более чем в 2 раза. Снижайте их постепенно",IF(AND(IFERROR(VALUE(I539),0)=0,ISNUMBER(J539),OR(J539&lt;290,ABS(IFERROR(VALUE(LEFT(M539,FIND("-",M539)-1)),M539))*100&lt;29000)),"Проверьте цену товара. Большинство товаров в выбранной категории стоят дороже 290","")))))),"")</f>
      </c>
    </row>
    <row r="540">
      <c r="A540" s="2" t="inlineStr">
        <is>
          <t>Luxaro</t>
        </is>
      </c>
      <c r="B540" s="2" t="inlineStr">
        <is>
          <t>Формы для запекания</t>
        </is>
      </c>
      <c r="C540" s="2">
        <v>246996744</v>
      </c>
      <c r="D540" s="2" t="inlineStr">
        <is>
          <t>513391</t>
        </is>
      </c>
      <c r="E540" s="2" t="inlineStr">
        <is>
          <t>4680093960243</t>
        </is>
      </c>
      <c r="F540" s="2">
        <v>0</v>
      </c>
      <c r="G540" s="2">
        <v>0</v>
      </c>
      <c r="H540" s="2">
        <v>999</v>
      </c>
      <c r="I540" s="2" t="inlineStr">
        <is>
          <t>2220</t>
        </is>
      </c>
      <c r="J540" s="4"/>
      <c r="K540" s="2">
        <v>65</v>
      </c>
      <c r="L540" s="6"/>
      <c r="M540" s="2" t="str">
        <f>IF(J540="",ROUND(I540*(1-IF(ISBLANK(L540),K540,L540)/100),2),ROUND(J540*(1-IF(ISBLANK(L540),K540,L540)/100),2))</f>
      </c>
      <c r="N540" s="7" t="str">
        <f>IF(NOT(AND(J540="",L540="")),IF(OR(AND(L540&lt;&gt;"",NOT(ISNUMBER(L540))),IFERROR(MOD(L540,1),1)&gt;0,AND(ISNUMBER(L540),OR(L540&lt;0,L540&gt;95))),"Введите целое число от 0 до 95",IF(OR(AND(J540&lt;&gt;"",NOT(ISNUMBER(J540))),IFERROR(MOD(J540,1),1)&gt;0,AND(ISNUMBER(J540),OR(J540&lt;50,J540&gt;20000000))),"Введите целое число от 50 до 20000000",IF(NOT(ABS(IFERROR(VALUE(LEFT(M540,FIND("-",M540)-1)),M540)*100-(2500+2000000000)/2)&lt;=ABS(2500-2000000000)/2),"Цена со скидкой должна быть от 25 до 20000000",IF(AND(IFERROR(VALUE(LEFT(M540,FIND("-",M540)-1)),M540)*150&lt;=77700,IFERROR(VALUE(LEFT(M540,FIND("-",M540)-1)),M540)*200&gt;77700),"Вы уменьшили цену в несколько раз, товар попадет в карантин цен",IF(IFERROR(VALUE(LEFT(M540,FIND("-",M540)-1)),M540)*200&lt;=77700,"Не сохранили изменения, чтобы защитить от ошибки — новые цены меньше текущих более чем в 2 раза. Снижайте их постепенно",IF(AND(IFERROR(VALUE(I540),0)=0,ISNUMBER(J540),OR(J540&lt;290,ABS(IFERROR(VALUE(LEFT(M540,FIND("-",M540)-1)),M540))*100&lt;29000)),"Проверьте цену товара. Большинство товаров в выбранной категории стоят дороже 290","")))))),"")</f>
      </c>
    </row>
    <row r="541">
      <c r="A541" s="2" t="inlineStr">
        <is>
          <t>Luxaro</t>
        </is>
      </c>
      <c r="B541" s="2" t="inlineStr">
        <is>
          <t>Формы для запекания</t>
        </is>
      </c>
      <c r="C541" s="2">
        <v>246996747</v>
      </c>
      <c r="D541" s="2" t="inlineStr">
        <is>
          <t>513390</t>
        </is>
      </c>
      <c r="E541" s="2" t="inlineStr">
        <is>
          <t>4680093960328</t>
        </is>
      </c>
      <c r="F541" s="2">
        <v>93</v>
      </c>
      <c r="G541" s="2">
        <v>69</v>
      </c>
      <c r="H541" s="2">
        <v>999</v>
      </c>
      <c r="I541" s="2" t="inlineStr">
        <is>
          <t>3100</t>
        </is>
      </c>
      <c r="J541" s="4"/>
      <c r="K541" s="2">
        <v>80</v>
      </c>
      <c r="L541" s="6"/>
      <c r="M541" s="2" t="str">
        <f>IF(J541="",ROUND(I541*(1-IF(ISBLANK(L541),K541,L541)/100),2),ROUND(J541*(1-IF(ISBLANK(L541),K541,L541)/100),2))</f>
      </c>
      <c r="N541" s="7" t="str">
        <f>IF(NOT(AND(J541="",L541="")),IF(OR(AND(L541&lt;&gt;"",NOT(ISNUMBER(L541))),IFERROR(MOD(L541,1),1)&gt;0,AND(ISNUMBER(L541),OR(L541&lt;0,L541&gt;95))),"Введите целое число от 0 до 95",IF(OR(AND(J541&lt;&gt;"",NOT(ISNUMBER(J541))),IFERROR(MOD(J541,1),1)&gt;0,AND(ISNUMBER(J541),OR(J541&lt;50,J541&gt;20000000))),"Введите целое число от 50 до 20000000",IF(NOT(ABS(IFERROR(VALUE(LEFT(M541,FIND("-",M541)-1)),M541)*100-(2500+2000000000)/2)&lt;=ABS(2500-2000000000)/2),"Цена со скидкой должна быть от 25 до 20000000",IF(AND(IFERROR(VALUE(LEFT(M541,FIND("-",M541)-1)),M541)*150&lt;=61999,IFERROR(VALUE(LEFT(M541,FIND("-",M541)-1)),M541)*200&gt;61999),"Вы уменьшили цену в несколько раз, товар попадет в карантин цен",IF(IFERROR(VALUE(LEFT(M541,FIND("-",M541)-1)),M541)*200&lt;=61999,"Не сохранили изменения, чтобы защитить от ошибки — новые цены меньше текущих более чем в 2 раза. Снижайте их постепенно",IF(AND(IFERROR(VALUE(I541),0)=0,ISNUMBER(J541),OR(J541&lt;290,ABS(IFERROR(VALUE(LEFT(M541,FIND("-",M541)-1)),M541))*100&lt;29000)),"Проверьте цену товара. Большинство товаров в выбранной категории стоят дороже 290","")))))),"")</f>
      </c>
    </row>
    <row r="542">
      <c r="A542" s="2" t="inlineStr">
        <is>
          <t>Veloria</t>
        </is>
      </c>
      <c r="B542" s="2" t="inlineStr">
        <is>
          <t>Рулонные шторы</t>
        </is>
      </c>
      <c r="C542" s="2">
        <v>306126596</v>
      </c>
      <c r="D542" s="2" t="inlineStr">
        <is>
          <t>420377</t>
        </is>
      </c>
      <c r="E542" s="2" t="inlineStr">
        <is>
          <t>4680093968454</t>
        </is>
      </c>
      <c r="F542" s="2">
        <v>0</v>
      </c>
      <c r="G542" s="2">
        <v>24</v>
      </c>
      <c r="H542" s="2">
        <v>1</v>
      </c>
      <c r="I542" s="2" t="inlineStr">
        <is>
          <t>5668</t>
        </is>
      </c>
      <c r="J542" s="4"/>
      <c r="K542" s="2">
        <v>78</v>
      </c>
      <c r="L542" s="6"/>
      <c r="M542" s="2" t="str">
        <f>IF(J542="",ROUND(I542*(1-IF(ISBLANK(L542),K542,L542)/100),2),ROUND(J542*(1-IF(ISBLANK(L542),K542,L542)/100),2))</f>
      </c>
      <c r="N542" s="7" t="str">
        <f>IF(NOT(AND(J542="",L542="")),IF(OR(AND(L542&lt;&gt;"",NOT(ISNUMBER(L542))),IFERROR(MOD(L542,1),1)&gt;0,AND(ISNUMBER(L542),OR(L542&lt;0,L542&gt;95))),"Введите целое число от 0 до 95",IF(OR(AND(J542&lt;&gt;"",NOT(ISNUMBER(J542))),IFERROR(MOD(J542,1),1)&gt;0,AND(ISNUMBER(J542),OR(J542&lt;50,J542&gt;20000000))),"Введите целое число от 50 до 20000000",IF(NOT(ABS(IFERROR(VALUE(LEFT(M542,FIND("-",M542)-1)),M542)*100-(2500+2000000000)/2)&lt;=ABS(2500-2000000000)/2),"Цена со скидкой должна быть от 25 до 20000000",IF(AND(IFERROR(VALUE(LEFT(M542,FIND("-",M542)-1)),M542)*150&lt;=124695,IFERROR(VALUE(LEFT(M542,FIND("-",M542)-1)),M542)*200&gt;124695),"Вы уменьшили цену в несколько раз, товар попадет в карантин цен",IF(IFERROR(VALUE(LEFT(M542,FIND("-",M542)-1)),M542)*200&lt;=124695,"Не сохранили изменения, чтобы защитить от ошибки — новые цены меньше текущих более чем в 2 раза. Снижайте их постепенно",IF(AND(IFERROR(VALUE(I542),0)=0,ISNUMBER(J542),OR(J542&lt;611,ABS(IFERROR(VALUE(LEFT(M542,FIND("-",M542)-1)),M542))*100&lt;61100)),"Проверьте цену товара. Большинство товаров в выбранной категории стоят дороже 611","")))))),"")</f>
      </c>
    </row>
    <row r="543">
      <c r="A543" s="2" t="inlineStr">
        <is>
          <t/>
        </is>
      </c>
      <c r="B543" s="2" t="inlineStr">
        <is>
          <t>Подставки для ножей</t>
        </is>
      </c>
      <c r="C543" s="2">
        <v>600652735</v>
      </c>
      <c r="D543" s="2" t="inlineStr">
        <is>
          <t>523525</t>
        </is>
      </c>
      <c r="E543" s="2" t="inlineStr">
        <is>
          <t>2047129195062</t>
        </is>
      </c>
      <c r="F543" s="2">
        <v>0</v>
      </c>
      <c r="G543" s="2">
        <v>0</v>
      </c>
      <c r="H543" s="2">
        <v>1</v>
      </c>
      <c r="I543" s="2" t="inlineStr">
        <is>
          <t>12824</t>
        </is>
      </c>
      <c r="J543" s="4"/>
      <c r="K543" s="2">
        <v>65</v>
      </c>
      <c r="L543" s="6"/>
      <c r="M543" s="2" t="str">
        <f>IF(J543="",ROUND(I543*(1-IF(ISBLANK(L543),K543,L543)/100),2),ROUND(J543*(1-IF(ISBLANK(L543),K543,L543)/100),2))</f>
      </c>
      <c r="N543" s="7" t="str">
        <f>IF(NOT(AND(J543="",L543="")),IF(OR(AND(L543&lt;&gt;"",NOT(ISNUMBER(L543))),IFERROR(MOD(L543,1),1)&gt;0,AND(ISNUMBER(L543),OR(L543&lt;0,L543&gt;95))),"Введите целое число от 0 до 95",IF(OR(AND(J543&lt;&gt;"",NOT(ISNUMBER(J543))),IFERROR(MOD(J543,1),1)&gt;0,AND(ISNUMBER(J543),OR(J543&lt;50,J543&gt;20000000))),"Введите целое число от 50 до 20000000",IF(NOT(ABS(IFERROR(VALUE(LEFT(M543,FIND("-",M543)-1)),M543)*100-(2500+2000000000)/2)&lt;=ABS(2500-2000000000)/2),"Цена со скидкой должна быть от 25 до 20000000",IF(AND(IFERROR(VALUE(LEFT(M543,FIND("-",M543)-1)),M543)*150&lt;=448839,IFERROR(VALUE(LEFT(M543,FIND("-",M543)-1)),M543)*200&gt;448839),"Вы уменьшили цену в несколько раз, товар попадет в карантин цен",IF(IFERROR(VALUE(LEFT(M543,FIND("-",M543)-1)),M543)*200&lt;=448839,"Не сохранили изменения, чтобы защитить от ошибки — новые цены меньше текущих более чем в 2 раза. Снижайте их постепенно",IF(AND(IFERROR(VALUE(I543),0)=0,ISNUMBER(J543),OR(J543&lt;488,ABS(IFERROR(VALUE(LEFT(M543,FIND("-",M543)-1)),M543))*100&lt;48800)),"Проверьте цену товара. Большинство товаров в выбранной категории стоят дороже 488","")))))),"")</f>
      </c>
    </row>
    <row r="544">
      <c r="A544" s="2" t="inlineStr">
        <is>
          <t/>
        </is>
      </c>
      <c r="B544" s="2" t="inlineStr">
        <is>
          <t>Кастрюли</t>
        </is>
      </c>
      <c r="C544" s="2">
        <v>729145131</v>
      </c>
      <c r="D544" s="2" t="inlineStr">
        <is>
          <t>280957</t>
        </is>
      </c>
      <c r="E544" s="2" t="inlineStr">
        <is>
          <t>2048079111423</t>
        </is>
      </c>
      <c r="F544" s="2">
        <v>1</v>
      </c>
      <c r="G544" s="2">
        <v>0</v>
      </c>
      <c r="H544" s="2">
        <v>999</v>
      </c>
      <c r="I544" s="2" t="inlineStr">
        <is>
          <t>47240</t>
        </is>
      </c>
      <c r="J544" s="4"/>
      <c r="K544" s="2">
        <v>81</v>
      </c>
      <c r="L544" s="6"/>
      <c r="M544" s="2" t="str">
        <f>IF(J544="",ROUND(I544*(1-IF(ISBLANK(L544),K544,L544)/100),2),ROUND(J544*(1-IF(ISBLANK(L544),K544,L544)/100),2))</f>
      </c>
      <c r="N544" s="7" t="str">
        <f>IF(NOT(AND(J544="",L544="")),IF(OR(AND(L544&lt;&gt;"",NOT(ISNUMBER(L544))),IFERROR(MOD(L544,1),1)&gt;0,AND(ISNUMBER(L544),OR(L544&lt;0,L544&gt;95))),"Введите целое число от 0 до 95",IF(OR(AND(J544&lt;&gt;"",NOT(ISNUMBER(J544))),IFERROR(MOD(J544,1),1)&gt;0,AND(ISNUMBER(J544),OR(J544&lt;50,J544&gt;20000000))),"Введите целое число от 50 до 20000000",IF(NOT(ABS(IFERROR(VALUE(LEFT(M544,FIND("-",M544)-1)),M544)*100-(2500+2000000000)/2)&lt;=ABS(2500-2000000000)/2),"Цена со скидкой должна быть от 25 до 20000000",IF(AND(IFERROR(VALUE(LEFT(M544,FIND("-",M544)-1)),M544)*150&lt;=897559,IFERROR(VALUE(LEFT(M544,FIND("-",M544)-1)),M544)*200&gt;897559),"Вы уменьшили цену в несколько раз, товар попадет в карантин цен",IF(IFERROR(VALUE(LEFT(M544,FIND("-",M544)-1)),M544)*200&lt;=897559,"Не сохранили изменения, чтобы защитить от ошибки — новые цены меньше текущих более чем в 2 раза. Снижайте их постепенно",IF(AND(IFERROR(VALUE(I544),0)=0,ISNUMBER(J544),OR(J544&lt;523,ABS(IFERROR(VALUE(LEFT(M544,FIND("-",M544)-1)),M544))*100&lt;52300)),"Проверьте цену товара. Большинство товаров в выбранной категории стоят дороже 523","")))))),"")</f>
      </c>
    </row>
    <row r="545">
      <c r="A545" s="2" t="inlineStr">
        <is>
          <t>Veloria</t>
        </is>
      </c>
      <c r="B545" s="2" t="inlineStr">
        <is>
          <t>Рулонные шторы</t>
        </is>
      </c>
      <c r="C545" s="2">
        <v>417465538</v>
      </c>
      <c r="D545" s="2" t="inlineStr">
        <is>
          <t>420382</t>
        </is>
      </c>
      <c r="E545" s="2" t="inlineStr">
        <is>
          <t>2043986885641</t>
        </is>
      </c>
      <c r="F545" s="2">
        <v>0</v>
      </c>
      <c r="G545" s="2">
        <v>0</v>
      </c>
      <c r="H545" s="2">
        <v>1</v>
      </c>
      <c r="I545" s="2" t="inlineStr">
        <is>
          <t>7408</t>
        </is>
      </c>
      <c r="J545" s="4"/>
      <c r="K545" s="2">
        <v>65</v>
      </c>
      <c r="L545" s="6"/>
      <c r="M545" s="2" t="str">
        <f>IF(J545="",ROUND(I545*(1-IF(ISBLANK(L545),K545,L545)/100),2),ROUND(J545*(1-IF(ISBLANK(L545),K545,L545)/100),2))</f>
      </c>
      <c r="N545" s="7" t="str">
        <f>IF(NOT(AND(J545="",L545="")),IF(OR(AND(L545&lt;&gt;"",NOT(ISNUMBER(L545))),IFERROR(MOD(L545,1),1)&gt;0,AND(ISNUMBER(L545),OR(L545&lt;0,L545&gt;95))),"Введите целое число от 0 до 95",IF(OR(AND(J545&lt;&gt;"",NOT(ISNUMBER(J545))),IFERROR(MOD(J545,1),1)&gt;0,AND(ISNUMBER(J545),OR(J545&lt;50,J545&gt;20000000))),"Введите целое число от 50 до 20000000",IF(NOT(ABS(IFERROR(VALUE(LEFT(M545,FIND("-",M545)-1)),M545)*100-(2500+2000000000)/2)&lt;=ABS(2500-2000000000)/2),"Цена со скидкой должна быть от 25 до 20000000",IF(AND(IFERROR(VALUE(LEFT(M545,FIND("-",M545)-1)),M545)*150&lt;=259279,IFERROR(VALUE(LEFT(M545,FIND("-",M545)-1)),M545)*200&gt;259279),"Вы уменьшили цену в несколько раз, товар попадет в карантин цен",IF(IFERROR(VALUE(LEFT(M545,FIND("-",M545)-1)),M545)*200&lt;=259279,"Не сохранили изменения, чтобы защитить от ошибки — новые цены меньше текущих более чем в 2 раза. Снижайте их постепенно",IF(AND(IFERROR(VALUE(I545),0)=0,ISNUMBER(J545),OR(J545&lt;611,ABS(IFERROR(VALUE(LEFT(M545,FIND("-",M545)-1)),M545))*100&lt;61100)),"Проверьте цену товара. Большинство товаров в выбранной категории стоят дороже 611","")))))),"")</f>
      </c>
    </row>
    <row r="546">
      <c r="A546" s="2" t="inlineStr">
        <is>
          <t>Veloria</t>
        </is>
      </c>
      <c r="B546" s="2" t="inlineStr">
        <is>
          <t>Рулонные шторы</t>
        </is>
      </c>
      <c r="C546" s="2">
        <v>366894117</v>
      </c>
      <c r="D546" s="2" t="inlineStr">
        <is>
          <t>420553</t>
        </is>
      </c>
      <c r="E546" s="2" t="inlineStr">
        <is>
          <t>2043305959428</t>
        </is>
      </c>
      <c r="F546" s="2">
        <v>0</v>
      </c>
      <c r="G546" s="2">
        <v>31</v>
      </c>
      <c r="H546" s="2">
        <v>999</v>
      </c>
      <c r="I546" s="2" t="inlineStr">
        <is>
          <t>4873</t>
        </is>
      </c>
      <c r="J546" s="4"/>
      <c r="K546" s="2">
        <v>62</v>
      </c>
      <c r="L546" s="6"/>
      <c r="M546" s="2" t="str">
        <f>IF(J546="",ROUND(I546*(1-IF(ISBLANK(L546),K546,L546)/100),2),ROUND(J546*(1-IF(ISBLANK(L546),K546,L546)/100),2))</f>
      </c>
      <c r="N546" s="7" t="str">
        <f>IF(NOT(AND(J546="",L546="")),IF(OR(AND(L546&lt;&gt;"",NOT(ISNUMBER(L546))),IFERROR(MOD(L546,1),1)&gt;0,AND(ISNUMBER(L546),OR(L546&lt;0,L546&gt;95))),"Введите целое число от 0 до 95",IF(OR(AND(J546&lt;&gt;"",NOT(ISNUMBER(J546))),IFERROR(MOD(J546,1),1)&gt;0,AND(ISNUMBER(J546),OR(J546&lt;50,J546&gt;20000000))),"Введите целое число от 50 до 20000000",IF(NOT(ABS(IFERROR(VALUE(LEFT(M546,FIND("-",M546)-1)),M546)*100-(2500+2000000000)/2)&lt;=ABS(2500-2000000000)/2),"Цена со скидкой должна быть от 25 до 20000000",IF(AND(IFERROR(VALUE(LEFT(M546,FIND("-",M546)-1)),M546)*150&lt;=185174,IFERROR(VALUE(LEFT(M546,FIND("-",M546)-1)),M546)*200&gt;185174),"Вы уменьшили цену в несколько раз, товар попадет в карантин цен",IF(IFERROR(VALUE(LEFT(M546,FIND("-",M546)-1)),M546)*200&lt;=185174,"Не сохранили изменения, чтобы защитить от ошибки — новые цены меньше текущих более чем в 2 раза. Снижайте их постепенно",IF(AND(IFERROR(VALUE(I546),0)=0,ISNUMBER(J546),OR(J546&lt;611,ABS(IFERROR(VALUE(LEFT(M546,FIND("-",M546)-1)),M546))*100&lt;61100)),"Проверьте цену товара. Большинство товаров в выбранной категории стоят дороже 611","")))))),"")</f>
      </c>
    </row>
    <row r="547">
      <c r="A547" s="2" t="inlineStr">
        <is>
          <t>Veloria</t>
        </is>
      </c>
      <c r="B547" s="2" t="inlineStr">
        <is>
          <t>Рулонные шторы</t>
        </is>
      </c>
      <c r="C547" s="2">
        <v>366891168</v>
      </c>
      <c r="D547" s="2" t="inlineStr">
        <is>
          <t>420552</t>
        </is>
      </c>
      <c r="E547" s="2" t="inlineStr">
        <is>
          <t>2043305906378</t>
        </is>
      </c>
      <c r="F547" s="2">
        <v>0</v>
      </c>
      <c r="G547" s="2">
        <v>0</v>
      </c>
      <c r="H547" s="2" t="inlineStr">
        <is>
          <t/>
        </is>
      </c>
      <c r="I547" s="2" t="inlineStr">
        <is>
          <t>7791</t>
        </is>
      </c>
      <c r="J547" s="4"/>
      <c r="K547" s="2">
        <v>65</v>
      </c>
      <c r="L547" s="6"/>
      <c r="M547" s="2" t="str">
        <f>IF(J547="",ROUND(I547*(1-IF(ISBLANK(L547),K547,L547)/100),2),ROUND(J547*(1-IF(ISBLANK(L547),K547,L547)/100),2))</f>
      </c>
      <c r="N547" s="7" t="str">
        <f>IF(NOT(AND(J547="",L547="")),IF(OR(AND(L547&lt;&gt;"",NOT(ISNUMBER(L547))),IFERROR(MOD(L547,1),1)&gt;0,AND(ISNUMBER(L547),OR(L547&lt;0,L547&gt;95))),"Введите целое число от 0 до 95",IF(OR(AND(J547&lt;&gt;"",NOT(ISNUMBER(J547))),IFERROR(MOD(J547,1),1)&gt;0,AND(ISNUMBER(J547),OR(J547&lt;50,J547&gt;20000000))),"Введите целое число от 50 до 20000000",IF(NOT(ABS(IFERROR(VALUE(LEFT(M547,FIND("-",M547)-1)),M547)*100-(2500+2000000000)/2)&lt;=ABS(2500-2000000000)/2),"Цена со скидкой должна быть от 25 до 20000000",IF(AND(IFERROR(VALUE(LEFT(M547,FIND("-",M547)-1)),M547)*150&lt;=272685,IFERROR(VALUE(LEFT(M547,FIND("-",M547)-1)),M547)*200&gt;272685),"Вы уменьшили цену в несколько раз, товар попадет в карантин цен",IF(IFERROR(VALUE(LEFT(M547,FIND("-",M547)-1)),M547)*200&lt;=272685,"Не сохранили изменения, чтобы защитить от ошибки — новые цены меньше текущих более чем в 2 раза. Снижайте их постепенно",IF(AND(IFERROR(VALUE(I547),0)=0,ISNUMBER(J547),OR(J547&lt;611,ABS(IFERROR(VALUE(LEFT(M547,FIND("-",M547)-1)),M547))*100&lt;61100)),"Проверьте цену товара. Большинство товаров в выбранной категории стоят дороже 611","")))))),"")</f>
      </c>
    </row>
    <row r="548">
      <c r="A548" s="2" t="inlineStr">
        <is>
          <t>Veloria</t>
        </is>
      </c>
      <c r="B548" s="2" t="inlineStr">
        <is>
          <t>Рулонные шторы</t>
        </is>
      </c>
      <c r="C548" s="2">
        <v>417309401</v>
      </c>
      <c r="D548" s="2" t="inlineStr">
        <is>
          <t>420380</t>
        </is>
      </c>
      <c r="E548" s="2" t="inlineStr">
        <is>
          <t>2043985515907</t>
        </is>
      </c>
      <c r="F548" s="2">
        <v>0</v>
      </c>
      <c r="G548" s="2">
        <v>0</v>
      </c>
      <c r="H548" s="2" t="inlineStr">
        <is>
          <t/>
        </is>
      </c>
      <c r="I548" s="2" t="inlineStr">
        <is>
          <t>7337</t>
        </is>
      </c>
      <c r="J548" s="4"/>
      <c r="K548" s="2">
        <v>65</v>
      </c>
      <c r="L548" s="6"/>
      <c r="M548" s="2" t="str">
        <f>IF(J548="",ROUND(I548*(1-IF(ISBLANK(L548),K548,L548)/100),2),ROUND(J548*(1-IF(ISBLANK(L548),K548,L548)/100),2))</f>
      </c>
      <c r="N548" s="7" t="str">
        <f>IF(NOT(AND(J548="",L548="")),IF(OR(AND(L548&lt;&gt;"",NOT(ISNUMBER(L548))),IFERROR(MOD(L548,1),1)&gt;0,AND(ISNUMBER(L548),OR(L548&lt;0,L548&gt;95))),"Введите целое число от 0 до 95",IF(OR(AND(J548&lt;&gt;"",NOT(ISNUMBER(J548))),IFERROR(MOD(J548,1),1)&gt;0,AND(ISNUMBER(J548),OR(J548&lt;50,J548&gt;20000000))),"Введите целое число от 50 до 20000000",IF(NOT(ABS(IFERROR(VALUE(LEFT(M548,FIND("-",M548)-1)),M548)*100-(2500+2000000000)/2)&lt;=ABS(2500-2000000000)/2),"Цена со скидкой должна быть от 25 до 20000000",IF(AND(IFERROR(VALUE(LEFT(M548,FIND("-",M548)-1)),M548)*150&lt;=256794,IFERROR(VALUE(LEFT(M548,FIND("-",M548)-1)),M548)*200&gt;256794),"Вы уменьшили цену в несколько раз, товар попадет в карантин цен",IF(IFERROR(VALUE(LEFT(M548,FIND("-",M548)-1)),M548)*200&lt;=256794,"Не сохранили изменения, чтобы защитить от ошибки — новые цены меньше текущих более чем в 2 раза. Снижайте их постепенно",IF(AND(IFERROR(VALUE(I548),0)=0,ISNUMBER(J548),OR(J548&lt;611,ABS(IFERROR(VALUE(LEFT(M548,FIND("-",M548)-1)),M548))*100&lt;61100)),"Проверьте цену товара. Большинство товаров в выбранной категории стоят дороже 611","")))))),"")</f>
      </c>
    </row>
    <row r="549">
      <c r="A549" s="2" t="inlineStr">
        <is>
          <t>Veloria</t>
        </is>
      </c>
      <c r="B549" s="2" t="inlineStr">
        <is>
          <t>Рулонные шторы</t>
        </is>
      </c>
      <c r="C549" s="2">
        <v>297429494</v>
      </c>
      <c r="D549" s="2" t="inlineStr">
        <is>
          <t>420375</t>
        </is>
      </c>
      <c r="E549" s="2" t="inlineStr">
        <is>
          <t>2042141681968</t>
        </is>
      </c>
      <c r="F549" s="2">
        <v>0</v>
      </c>
      <c r="G549" s="2">
        <v>0</v>
      </c>
      <c r="H549" s="2" t="inlineStr">
        <is>
          <t/>
        </is>
      </c>
      <c r="I549" s="2" t="inlineStr">
        <is>
          <t>3940</t>
        </is>
      </c>
      <c r="J549" s="4"/>
      <c r="K549" s="2">
        <v>65</v>
      </c>
      <c r="L549" s="6"/>
      <c r="M549" s="2" t="str">
        <f>IF(J549="",ROUND(I549*(1-IF(ISBLANK(L549),K549,L549)/100),2),ROUND(J549*(1-IF(ISBLANK(L549),K549,L549)/100),2))</f>
      </c>
      <c r="N549" s="7" t="str">
        <f>IF(NOT(AND(J549="",L549="")),IF(OR(AND(L549&lt;&gt;"",NOT(ISNUMBER(L549))),IFERROR(MOD(L549,1),1)&gt;0,AND(ISNUMBER(L549),OR(L549&lt;0,L549&gt;95))),"Введите целое число от 0 до 95",IF(OR(AND(J549&lt;&gt;"",NOT(ISNUMBER(J549))),IFERROR(MOD(J549,1),1)&gt;0,AND(ISNUMBER(J549),OR(J549&lt;50,J549&gt;20000000))),"Введите целое число от 50 до 20000000",IF(NOT(ABS(IFERROR(VALUE(LEFT(M549,FIND("-",M549)-1)),M549)*100-(2500+2000000000)/2)&lt;=ABS(2500-2000000000)/2),"Цена со скидкой должна быть от 25 до 20000000",IF(AND(IFERROR(VALUE(LEFT(M549,FIND("-",M549)-1)),M549)*150&lt;=137900,IFERROR(VALUE(LEFT(M549,FIND("-",M549)-1)),M549)*200&gt;137900),"Вы уменьшили цену в несколько раз, товар попадет в карантин цен",IF(IFERROR(VALUE(LEFT(M549,FIND("-",M549)-1)),M549)*200&lt;=137900,"Не сохранили изменения, чтобы защитить от ошибки — новые цены меньше текущих более чем в 2 раза. Снижайте их постепенно",IF(AND(IFERROR(VALUE(I549),0)=0,ISNUMBER(J549),OR(J549&lt;611,ABS(IFERROR(VALUE(LEFT(M549,FIND("-",M549)-1)),M549))*100&lt;61100)),"Проверьте цену товара. Большинство товаров в выбранной категории стоят дороже 611","")))))),"")</f>
      </c>
    </row>
    <row r="550">
      <c r="A550" s="2" t="inlineStr">
        <is>
          <t>Veloria</t>
        </is>
      </c>
      <c r="B550" s="2" t="inlineStr">
        <is>
          <t>Рулонные шторы</t>
        </is>
      </c>
      <c r="C550" s="2">
        <v>417453786</v>
      </c>
      <c r="D550" s="2" t="inlineStr">
        <is>
          <t>420381</t>
        </is>
      </c>
      <c r="E550" s="2" t="inlineStr">
        <is>
          <t>2043986844716</t>
        </is>
      </c>
      <c r="F550" s="2">
        <v>0</v>
      </c>
      <c r="G550" s="2">
        <v>0</v>
      </c>
      <c r="H550" s="2" t="inlineStr">
        <is>
          <t/>
        </is>
      </c>
      <c r="I550" s="2" t="inlineStr">
        <is>
          <t>5970</t>
        </is>
      </c>
      <c r="J550" s="4"/>
      <c r="K550" s="2">
        <v>65</v>
      </c>
      <c r="L550" s="6"/>
      <c r="M550" s="2" t="str">
        <f>IF(J550="",ROUND(I550*(1-IF(ISBLANK(L550),K550,L550)/100),2),ROUND(J550*(1-IF(ISBLANK(L550),K550,L550)/100),2))</f>
      </c>
      <c r="N550" s="7" t="str">
        <f>IF(NOT(AND(J550="",L550="")),IF(OR(AND(L550&lt;&gt;"",NOT(ISNUMBER(L550))),IFERROR(MOD(L550,1),1)&gt;0,AND(ISNUMBER(L550),OR(L550&lt;0,L550&gt;95))),"Введите целое число от 0 до 95",IF(OR(AND(J550&lt;&gt;"",NOT(ISNUMBER(J550))),IFERROR(MOD(J550,1),1)&gt;0,AND(ISNUMBER(J550),OR(J550&lt;50,J550&gt;20000000))),"Введите целое число от 50 до 20000000",IF(NOT(ABS(IFERROR(VALUE(LEFT(M550,FIND("-",M550)-1)),M550)*100-(2500+2000000000)/2)&lt;=ABS(2500-2000000000)/2),"Цена со скидкой должна быть от 25 до 20000000",IF(AND(IFERROR(VALUE(LEFT(M550,FIND("-",M550)-1)),M550)*150&lt;=208950,IFERROR(VALUE(LEFT(M550,FIND("-",M550)-1)),M550)*200&gt;208950),"Вы уменьшили цену в несколько раз, товар попадет в карантин цен",IF(IFERROR(VALUE(LEFT(M550,FIND("-",M550)-1)),M550)*200&lt;=208950,"Не сохранили изменения, чтобы защитить от ошибки — новые цены меньше текущих более чем в 2 раза. Снижайте их постепенно",IF(AND(IFERROR(VALUE(I550),0)=0,ISNUMBER(J550),OR(J550&lt;611,ABS(IFERROR(VALUE(LEFT(M550,FIND("-",M550)-1)),M550))*100&lt;61100)),"Проверьте цену товара. Большинство товаров в выбранной категории стоят дороже 611","")))))),"")</f>
      </c>
    </row>
    <row r="551">
      <c r="A551" s="2" t="inlineStr">
        <is>
          <t>Veloria</t>
        </is>
      </c>
      <c r="B551" s="2" t="inlineStr">
        <is>
          <t>Рулонные шторы</t>
        </is>
      </c>
      <c r="C551" s="2">
        <v>423075912</v>
      </c>
      <c r="D551" s="2" t="inlineStr">
        <is>
          <t>420550</t>
        </is>
      </c>
      <c r="E551" s="2" t="inlineStr">
        <is>
          <t>2044120766796</t>
        </is>
      </c>
      <c r="F551" s="2">
        <v>0</v>
      </c>
      <c r="G551" s="2">
        <v>10</v>
      </c>
      <c r="H551" s="2" t="inlineStr">
        <is>
          <t/>
        </is>
      </c>
      <c r="I551" s="2" t="inlineStr">
        <is>
          <t>15760</t>
        </is>
      </c>
      <c r="J551" s="4"/>
      <c r="K551" s="2">
        <v>78</v>
      </c>
      <c r="L551" s="6"/>
      <c r="M551" s="2" t="str">
        <f>IF(J551="",ROUND(I551*(1-IF(ISBLANK(L551),K551,L551)/100),2),ROUND(J551*(1-IF(ISBLANK(L551),K551,L551)/100),2))</f>
      </c>
      <c r="N551" s="7" t="str">
        <f>IF(NOT(AND(J551="",L551="")),IF(OR(AND(L551&lt;&gt;"",NOT(ISNUMBER(L551))),IFERROR(MOD(L551,1),1)&gt;0,AND(ISNUMBER(L551),OR(L551&lt;0,L551&gt;95))),"Введите целое число от 0 до 95",IF(OR(AND(J551&lt;&gt;"",NOT(ISNUMBER(J551))),IFERROR(MOD(J551,1),1)&gt;0,AND(ISNUMBER(J551),OR(J551&lt;50,J551&gt;20000000))),"Введите целое число от 50 до 20000000",IF(NOT(ABS(IFERROR(VALUE(LEFT(M551,FIND("-",M551)-1)),M551)*100-(2500+2000000000)/2)&lt;=ABS(2500-2000000000)/2),"Цена со скидкой должна быть от 25 до 20000000",IF(AND(IFERROR(VALUE(LEFT(M551,FIND("-",M551)-1)),M551)*150&lt;=346719,IFERROR(VALUE(LEFT(M551,FIND("-",M551)-1)),M551)*200&gt;346719),"Вы уменьшили цену в несколько раз, товар попадет в карантин цен",IF(IFERROR(VALUE(LEFT(M551,FIND("-",M551)-1)),M551)*200&lt;=346719,"Не сохранили изменения, чтобы защитить от ошибки — новые цены меньше текущих более чем в 2 раза. Снижайте их постепенно",IF(AND(IFERROR(VALUE(I551),0)=0,ISNUMBER(J551),OR(J551&lt;611,ABS(IFERROR(VALUE(LEFT(M551,FIND("-",M551)-1)),M551))*100&lt;61100)),"Проверьте цену товара. Большинство товаров в выбранной категории стоят дороже 611","")))))),"")</f>
      </c>
    </row>
    <row r="552">
      <c r="A552" s="2" t="inlineStr">
        <is>
          <t>Veloria</t>
        </is>
      </c>
      <c r="B552" s="2" t="inlineStr">
        <is>
          <t>Рулонные шторы</t>
        </is>
      </c>
      <c r="C552" s="2">
        <v>420289599</v>
      </c>
      <c r="D552" s="2" t="inlineStr">
        <is>
          <t>420543</t>
        </is>
      </c>
      <c r="E552" s="2" t="inlineStr">
        <is>
          <t>2044040045339</t>
        </is>
      </c>
      <c r="F552" s="2">
        <v>0</v>
      </c>
      <c r="G552" s="2">
        <v>14</v>
      </c>
      <c r="H552" s="2" t="inlineStr">
        <is>
          <t/>
        </is>
      </c>
      <c r="I552" s="2" t="inlineStr">
        <is>
          <t>13389</t>
        </is>
      </c>
      <c r="J552" s="4"/>
      <c r="K552" s="2">
        <v>78</v>
      </c>
      <c r="L552" s="6"/>
      <c r="M552" s="2" t="str">
        <f>IF(J552="",ROUND(I552*(1-IF(ISBLANK(L552),K552,L552)/100),2),ROUND(J552*(1-IF(ISBLANK(L552),K552,L552)/100),2))</f>
      </c>
      <c r="N552" s="7" t="str">
        <f>IF(NOT(AND(J552="",L552="")),IF(OR(AND(L552&lt;&gt;"",NOT(ISNUMBER(L552))),IFERROR(MOD(L552,1),1)&gt;0,AND(ISNUMBER(L552),OR(L552&lt;0,L552&gt;95))),"Введите целое число от 0 до 95",IF(OR(AND(J552&lt;&gt;"",NOT(ISNUMBER(J552))),IFERROR(MOD(J552,1),1)&gt;0,AND(ISNUMBER(J552),OR(J552&lt;50,J552&gt;20000000))),"Введите целое число от 50 до 20000000",IF(NOT(ABS(IFERROR(VALUE(LEFT(M552,FIND("-",M552)-1)),M552)*100-(2500+2000000000)/2)&lt;=ABS(2500-2000000000)/2),"Цена со скидкой должна быть от 25 до 20000000",IF(AND(IFERROR(VALUE(LEFT(M552,FIND("-",M552)-1)),M552)*150&lt;=294557,IFERROR(VALUE(LEFT(M552,FIND("-",M552)-1)),M552)*200&gt;294557),"Вы уменьшили цену в несколько раз, товар попадет в карантин цен",IF(IFERROR(VALUE(LEFT(M552,FIND("-",M552)-1)),M552)*200&lt;=294557,"Не сохранили изменения, чтобы защитить от ошибки — новые цены меньше текущих более чем в 2 раза. Снижайте их постепенно",IF(AND(IFERROR(VALUE(I552),0)=0,ISNUMBER(J552),OR(J552&lt;611,ABS(IFERROR(VALUE(LEFT(M552,FIND("-",M552)-1)),M552))*100&lt;61100)),"Проверьте цену товара. Большинство товаров в выбранной категории стоят дороже 611","")))))),"")</f>
      </c>
    </row>
    <row r="553">
      <c r="A553" s="2" t="inlineStr">
        <is>
          <t>Veloria</t>
        </is>
      </c>
      <c r="B553" s="2" t="inlineStr">
        <is>
          <t>Рулонные шторы</t>
        </is>
      </c>
      <c r="C553" s="2">
        <v>306126593</v>
      </c>
      <c r="D553" s="2" t="inlineStr">
        <is>
          <t>420374</t>
        </is>
      </c>
      <c r="E553" s="2" t="inlineStr">
        <is>
          <t>4680093968423</t>
        </is>
      </c>
      <c r="F553" s="2">
        <v>2</v>
      </c>
      <c r="G553" s="2">
        <v>0</v>
      </c>
      <c r="H553" s="2">
        <v>999</v>
      </c>
      <c r="I553" s="2" t="inlineStr">
        <is>
          <t>4206</t>
        </is>
      </c>
      <c r="J553" s="4"/>
      <c r="K553" s="2">
        <v>79</v>
      </c>
      <c r="L553" s="6"/>
      <c r="M553" s="2" t="str">
        <f>IF(J553="",ROUND(I553*(1-IF(ISBLANK(L553),K553,L553)/100),2),ROUND(J553*(1-IF(ISBLANK(L553),K553,L553)/100),2))</f>
      </c>
      <c r="N553" s="7" t="str">
        <f>IF(NOT(AND(J553="",L553="")),IF(OR(AND(L553&lt;&gt;"",NOT(ISNUMBER(L553))),IFERROR(MOD(L553,1),1)&gt;0,AND(ISNUMBER(L553),OR(L553&lt;0,L553&gt;95))),"Введите целое число от 0 до 95",IF(OR(AND(J553&lt;&gt;"",NOT(ISNUMBER(J553))),IFERROR(MOD(J553,1),1)&gt;0,AND(ISNUMBER(J553),OR(J553&lt;50,J553&gt;20000000))),"Введите целое число от 50 до 20000000",IF(NOT(ABS(IFERROR(VALUE(LEFT(M553,FIND("-",M553)-1)),M553)*100-(2500+2000000000)/2)&lt;=ABS(2500-2000000000)/2),"Цена со скидкой должна быть от 25 до 20000000",IF(AND(IFERROR(VALUE(LEFT(M553,FIND("-",M553)-1)),M553)*150&lt;=88325,IFERROR(VALUE(LEFT(M553,FIND("-",M553)-1)),M553)*200&gt;88325),"Вы уменьшили цену в несколько раз, товар попадет в карантин цен",IF(IFERROR(VALUE(LEFT(M553,FIND("-",M553)-1)),M553)*200&lt;=88325,"Не сохранили изменения, чтобы защитить от ошибки — новые цены меньше текущих более чем в 2 раза. Снижайте их постепенно",IF(AND(IFERROR(VALUE(I553),0)=0,ISNUMBER(J553),OR(J553&lt;611,ABS(IFERROR(VALUE(LEFT(M553,FIND("-",M553)-1)),M553))*100&lt;61100)),"Проверьте цену товара. Большинство товаров в выбранной категории стоят дороже 611","")))))),"")</f>
      </c>
    </row>
    <row r="554">
      <c r="A554" s="2" t="inlineStr">
        <is>
          <t>Veloria</t>
        </is>
      </c>
      <c r="B554" s="2" t="inlineStr">
        <is>
          <t>Рулонные шторы</t>
        </is>
      </c>
      <c r="C554" s="2">
        <v>423128613</v>
      </c>
      <c r="D554" s="2" t="inlineStr">
        <is>
          <t>420555</t>
        </is>
      </c>
      <c r="E554" s="2" t="inlineStr">
        <is>
          <t>2044121182182</t>
        </is>
      </c>
      <c r="F554" s="2">
        <v>0</v>
      </c>
      <c r="G554" s="2">
        <v>9</v>
      </c>
      <c r="H554" s="2" t="inlineStr">
        <is>
          <t/>
        </is>
      </c>
      <c r="I554" s="2" t="inlineStr">
        <is>
          <t>17168</t>
        </is>
      </c>
      <c r="J554" s="4"/>
      <c r="K554" s="2">
        <v>80</v>
      </c>
      <c r="L554" s="6"/>
      <c r="M554" s="2" t="str">
        <f>IF(J554="",ROUND(I554*(1-IF(ISBLANK(L554),K554,L554)/100),2),ROUND(J554*(1-IF(ISBLANK(L554),K554,L554)/100),2))</f>
      </c>
      <c r="N554" s="7" t="str">
        <f>IF(NOT(AND(J554="",L554="")),IF(OR(AND(L554&lt;&gt;"",NOT(ISNUMBER(L554))),IFERROR(MOD(L554,1),1)&gt;0,AND(ISNUMBER(L554),OR(L554&lt;0,L554&gt;95))),"Введите целое число от 0 до 95",IF(OR(AND(J554&lt;&gt;"",NOT(ISNUMBER(J554))),IFERROR(MOD(J554,1),1)&gt;0,AND(ISNUMBER(J554),OR(J554&lt;50,J554&gt;20000000))),"Введите целое число от 50 до 20000000",IF(NOT(ABS(IFERROR(VALUE(LEFT(M554,FIND("-",M554)-1)),M554)*100-(2500+2000000000)/2)&lt;=ABS(2500-2000000000)/2),"Цена со скидкой должна быть от 25 до 20000000",IF(AND(IFERROR(VALUE(LEFT(M554,FIND("-",M554)-1)),M554)*150&lt;=343359,IFERROR(VALUE(LEFT(M554,FIND("-",M554)-1)),M554)*200&gt;343359),"Вы уменьшили цену в несколько раз, товар попадет в карантин цен",IF(IFERROR(VALUE(LEFT(M554,FIND("-",M554)-1)),M554)*200&lt;=343359,"Не сохранили изменения, чтобы защитить от ошибки — новые цены меньше текущих более чем в 2 раза. Снижайте их постепенно",IF(AND(IFERROR(VALUE(I554),0)=0,ISNUMBER(J554),OR(J554&lt;611,ABS(IFERROR(VALUE(LEFT(M554,FIND("-",M554)-1)),M554))*100&lt;61100)),"Проверьте цену товара. Большинство товаров в выбранной категории стоят дороже 611","")))))),"")</f>
      </c>
    </row>
    <row r="555">
      <c r="A555" s="2" t="inlineStr">
        <is>
          <t>Veloria</t>
        </is>
      </c>
      <c r="B555" s="2" t="inlineStr">
        <is>
          <t>Рулонные шторы</t>
        </is>
      </c>
      <c r="C555" s="2">
        <v>417480013</v>
      </c>
      <c r="D555" s="2" t="inlineStr">
        <is>
          <t>420383</t>
        </is>
      </c>
      <c r="E555" s="2" t="inlineStr">
        <is>
          <t>2043986931973</t>
        </is>
      </c>
      <c r="F555" s="2">
        <v>0</v>
      </c>
      <c r="G555" s="2">
        <v>0</v>
      </c>
      <c r="H555" s="2" t="inlineStr">
        <is>
          <t/>
        </is>
      </c>
      <c r="I555" s="2" t="inlineStr">
        <is>
          <t>5287</t>
        </is>
      </c>
      <c r="J555" s="4"/>
      <c r="K555" s="2">
        <v>65</v>
      </c>
      <c r="L555" s="6"/>
      <c r="M555" s="2" t="str">
        <f>IF(J555="",ROUND(I555*(1-IF(ISBLANK(L555),K555,L555)/100),2),ROUND(J555*(1-IF(ISBLANK(L555),K555,L555)/100),2))</f>
      </c>
      <c r="N555" s="7" t="str">
        <f>IF(NOT(AND(J555="",L555="")),IF(OR(AND(L555&lt;&gt;"",NOT(ISNUMBER(L555))),IFERROR(MOD(L555,1),1)&gt;0,AND(ISNUMBER(L555),OR(L555&lt;0,L555&gt;95))),"Введите целое число от 0 до 95",IF(OR(AND(J555&lt;&gt;"",NOT(ISNUMBER(J555))),IFERROR(MOD(J555,1),1)&gt;0,AND(ISNUMBER(J555),OR(J555&lt;50,J555&gt;20000000))),"Введите целое число от 50 до 20000000",IF(NOT(ABS(IFERROR(VALUE(LEFT(M555,FIND("-",M555)-1)),M555)*100-(2500+2000000000)/2)&lt;=ABS(2500-2000000000)/2),"Цена со скидкой должна быть от 25 до 20000000",IF(AND(IFERROR(VALUE(LEFT(M555,FIND("-",M555)-1)),M555)*150&lt;=185044,IFERROR(VALUE(LEFT(M555,FIND("-",M555)-1)),M555)*200&gt;185044),"Вы уменьшили цену в несколько раз, товар попадет в карантин цен",IF(IFERROR(VALUE(LEFT(M555,FIND("-",M555)-1)),M555)*200&lt;=185044,"Не сохранили изменения, чтобы защитить от ошибки — новые цены меньше текущих более чем в 2 раза. Снижайте их постепенно",IF(AND(IFERROR(VALUE(I555),0)=0,ISNUMBER(J555),OR(J555&lt;611,ABS(IFERROR(VALUE(LEFT(M555,FIND("-",M555)-1)),M555))*100&lt;61100)),"Проверьте цену товара. Большинство товаров в выбранной категории стоят дороже 611","")))))),"")</f>
      </c>
    </row>
    <row r="556">
      <c r="A556" s="2" t="inlineStr">
        <is>
          <t>Veloria</t>
        </is>
      </c>
      <c r="B556" s="2" t="inlineStr">
        <is>
          <t>Рулонные шторы</t>
        </is>
      </c>
      <c r="C556" s="2">
        <v>423120849</v>
      </c>
      <c r="D556" s="2" t="inlineStr">
        <is>
          <t>420551</t>
        </is>
      </c>
      <c r="E556" s="2" t="inlineStr">
        <is>
          <t>2044121127374</t>
        </is>
      </c>
      <c r="F556" s="2">
        <v>0</v>
      </c>
      <c r="G556" s="2">
        <v>7</v>
      </c>
      <c r="H556" s="2" t="inlineStr">
        <is>
          <t/>
        </is>
      </c>
      <c r="I556" s="2" t="inlineStr">
        <is>
          <t>13800</t>
        </is>
      </c>
      <c r="J556" s="4"/>
      <c r="K556" s="2">
        <v>78</v>
      </c>
      <c r="L556" s="6"/>
      <c r="M556" s="2" t="str">
        <f>IF(J556="",ROUND(I556*(1-IF(ISBLANK(L556),K556,L556)/100),2),ROUND(J556*(1-IF(ISBLANK(L556),K556,L556)/100),2))</f>
      </c>
      <c r="N556" s="7" t="str">
        <f>IF(NOT(AND(J556="",L556="")),IF(OR(AND(L556&lt;&gt;"",NOT(ISNUMBER(L556))),IFERROR(MOD(L556,1),1)&gt;0,AND(ISNUMBER(L556),OR(L556&lt;0,L556&gt;95))),"Введите целое число от 0 до 95",IF(OR(AND(J556&lt;&gt;"",NOT(ISNUMBER(J556))),IFERROR(MOD(J556,1),1)&gt;0,AND(ISNUMBER(J556),OR(J556&lt;50,J556&gt;20000000))),"Введите целое число от 50 до 20000000",IF(NOT(ABS(IFERROR(VALUE(LEFT(M556,FIND("-",M556)-1)),M556)*100-(2500+2000000000)/2)&lt;=ABS(2500-2000000000)/2),"Цена со скидкой должна быть от 25 до 20000000",IF(AND(IFERROR(VALUE(LEFT(M556,FIND("-",M556)-1)),M556)*150&lt;=303599,IFERROR(VALUE(LEFT(M556,FIND("-",M556)-1)),M556)*200&gt;303599),"Вы уменьшили цену в несколько раз, товар попадет в карантин цен",IF(IFERROR(VALUE(LEFT(M556,FIND("-",M556)-1)),M556)*200&lt;=303599,"Не сохранили изменения, чтобы защитить от ошибки — новые цены меньше текущих более чем в 2 раза. Снижайте их постепенно",IF(AND(IFERROR(VALUE(I556),0)=0,ISNUMBER(J556),OR(J556&lt;611,ABS(IFERROR(VALUE(LEFT(M556,FIND("-",M556)-1)),M556))*100&lt;61100)),"Проверьте цену товара. Большинство товаров в выбранной категории стоят дороже 611","")))))),"")</f>
      </c>
    </row>
    <row r="557">
      <c r="A557" s="2" t="inlineStr">
        <is>
          <t>Veloria</t>
        </is>
      </c>
      <c r="B557" s="2" t="inlineStr">
        <is>
          <t>Рулонные шторы</t>
        </is>
      </c>
      <c r="C557" s="2">
        <v>423132140</v>
      </c>
      <c r="D557" s="2" t="inlineStr">
        <is>
          <t>420556</t>
        </is>
      </c>
      <c r="E557" s="2" t="inlineStr">
        <is>
          <t>2044121227203</t>
        </is>
      </c>
      <c r="F557" s="2">
        <v>0</v>
      </c>
      <c r="G557" s="2">
        <v>9</v>
      </c>
      <c r="H557" s="2" t="inlineStr">
        <is>
          <t/>
        </is>
      </c>
      <c r="I557" s="2" t="inlineStr">
        <is>
          <t>10940</t>
        </is>
      </c>
      <c r="J557" s="4"/>
      <c r="K557" s="2">
        <v>78</v>
      </c>
      <c r="L557" s="6"/>
      <c r="M557" s="2" t="str">
        <f>IF(J557="",ROUND(I557*(1-IF(ISBLANK(L557),K557,L557)/100),2),ROUND(J557*(1-IF(ISBLANK(L557),K557,L557)/100),2))</f>
      </c>
      <c r="N557" s="7" t="str">
        <f>IF(NOT(AND(J557="",L557="")),IF(OR(AND(L557&lt;&gt;"",NOT(ISNUMBER(L557))),IFERROR(MOD(L557,1),1)&gt;0,AND(ISNUMBER(L557),OR(L557&lt;0,L557&gt;95))),"Введите целое число от 0 до 95",IF(OR(AND(J557&lt;&gt;"",NOT(ISNUMBER(J557))),IFERROR(MOD(J557,1),1)&gt;0,AND(ISNUMBER(J557),OR(J557&lt;50,J557&gt;20000000))),"Введите целое число от 50 до 20000000",IF(NOT(ABS(IFERROR(VALUE(LEFT(M557,FIND("-",M557)-1)),M557)*100-(2500+2000000000)/2)&lt;=ABS(2500-2000000000)/2),"Цена со скидкой должна быть от 25 до 20000000",IF(AND(IFERROR(VALUE(LEFT(M557,FIND("-",M557)-1)),M557)*150&lt;=240679,IFERROR(VALUE(LEFT(M557,FIND("-",M557)-1)),M557)*200&gt;240679),"Вы уменьшили цену в несколько раз, товар попадет в карантин цен",IF(IFERROR(VALUE(LEFT(M557,FIND("-",M557)-1)),M557)*200&lt;=240679,"Не сохранили изменения, чтобы защитить от ошибки — новые цены меньше текущих более чем в 2 раза. Снижайте их постепенно",IF(AND(IFERROR(VALUE(I557),0)=0,ISNUMBER(J557),OR(J557&lt;611,ABS(IFERROR(VALUE(LEFT(M557,FIND("-",M557)-1)),M557))*100&lt;61100)),"Проверьте цену товара. Большинство товаров в выбранной категории стоят дороже 611","")))))),"")</f>
      </c>
    </row>
    <row r="558">
      <c r="A558" s="2" t="inlineStr">
        <is>
          <t/>
        </is>
      </c>
      <c r="B558" s="2" t="inlineStr">
        <is>
          <t>Скатерти</t>
        </is>
      </c>
      <c r="C558" s="2">
        <v>619525822</v>
      </c>
      <c r="D558" s="2" t="inlineStr">
        <is>
          <t>434614</t>
        </is>
      </c>
      <c r="E558" s="2" t="inlineStr">
        <is>
          <t>2047325447330</t>
        </is>
      </c>
      <c r="F558" s="2">
        <v>0</v>
      </c>
      <c r="G558" s="2">
        <v>0</v>
      </c>
      <c r="H558" s="2" t="inlineStr">
        <is>
          <t/>
        </is>
      </c>
      <c r="I558" s="2" t="inlineStr">
        <is>
          <t>3888</t>
        </is>
      </c>
      <c r="J558" s="4"/>
      <c r="K558" s="2">
        <v>78</v>
      </c>
      <c r="L558" s="6"/>
      <c r="M558" s="2" t="str">
        <f>IF(J558="",ROUND(I558*(1-IF(ISBLANK(L558),K558,L558)/100),2),ROUND(J558*(1-IF(ISBLANK(L558),K558,L558)/100),2))</f>
      </c>
      <c r="N558" s="7" t="str">
        <f>IF(NOT(AND(J558="",L558="")),IF(OR(AND(L558&lt;&gt;"",NOT(ISNUMBER(L558))),IFERROR(MOD(L558,1),1)&gt;0,AND(ISNUMBER(L558),OR(L558&lt;0,L558&gt;95))),"Введите целое число от 0 до 95",IF(OR(AND(J558&lt;&gt;"",NOT(ISNUMBER(J558))),IFERROR(MOD(J558,1),1)&gt;0,AND(ISNUMBER(J558),OR(J558&lt;50,J558&gt;20000000))),"Введите целое число от 50 до 20000000",IF(NOT(ABS(IFERROR(VALUE(LEFT(M558,FIND("-",M558)-1)),M558)*100-(2500+2000000000)/2)&lt;=ABS(2500-2000000000)/2),"Цена со скидкой должна быть от 25 до 20000000",IF(AND(IFERROR(VALUE(LEFT(M558,FIND("-",M558)-1)),M558)*150&lt;=85535,IFERROR(VALUE(LEFT(M558,FIND("-",M558)-1)),M558)*200&gt;85535),"Вы уменьшили цену в несколько раз, товар попадет в карантин цен",IF(IFERROR(VALUE(LEFT(M558,FIND("-",M558)-1)),M558)*200&lt;=85535,"Не сохранили изменения, чтобы защитить от ошибки — новые цены меньше текущих более чем в 2 раза. Снижайте их постепенно",IF(AND(IFERROR(VALUE(I558),0)=0,ISNUMBER(J558),OR(J558&lt;385,ABS(IFERROR(VALUE(LEFT(M558,FIND("-",M558)-1)),M558))*100&lt;38500)),"Проверьте цену товара. Большинство товаров в выбранной категории стоят дороже 385","")))))),"")</f>
      </c>
    </row>
    <row r="559">
      <c r="A559" s="2" t="inlineStr">
        <is>
          <t/>
        </is>
      </c>
      <c r="B559" s="2" t="inlineStr">
        <is>
          <t>Скатерти</t>
        </is>
      </c>
      <c r="C559" s="2">
        <v>619525824</v>
      </c>
      <c r="D559" s="2" t="inlineStr">
        <is>
          <t>434606</t>
        </is>
      </c>
      <c r="E559" s="2" t="inlineStr">
        <is>
          <t>2047325447408</t>
        </is>
      </c>
      <c r="F559" s="2">
        <v>0</v>
      </c>
      <c r="G559" s="2">
        <v>0</v>
      </c>
      <c r="H559" s="2" t="inlineStr">
        <is>
          <t/>
        </is>
      </c>
      <c r="I559" s="2" t="inlineStr">
        <is>
          <t>4804</t>
        </is>
      </c>
      <c r="J559" s="4"/>
      <c r="K559" s="2">
        <v>78</v>
      </c>
      <c r="L559" s="6"/>
      <c r="M559" s="2" t="str">
        <f>IF(J559="",ROUND(I559*(1-IF(ISBLANK(L559),K559,L559)/100),2),ROUND(J559*(1-IF(ISBLANK(L559),K559,L559)/100),2))</f>
      </c>
      <c r="N559" s="7" t="str">
        <f>IF(NOT(AND(J559="",L559="")),IF(OR(AND(L559&lt;&gt;"",NOT(ISNUMBER(L559))),IFERROR(MOD(L559,1),1)&gt;0,AND(ISNUMBER(L559),OR(L559&lt;0,L559&gt;95))),"Введите целое число от 0 до 95",IF(OR(AND(J559&lt;&gt;"",NOT(ISNUMBER(J559))),IFERROR(MOD(J559,1),1)&gt;0,AND(ISNUMBER(J559),OR(J559&lt;50,J559&gt;20000000))),"Введите целое число от 50 до 20000000",IF(NOT(ABS(IFERROR(VALUE(LEFT(M559,FIND("-",M559)-1)),M559)*100-(2500+2000000000)/2)&lt;=ABS(2500-2000000000)/2),"Цена со скидкой должна быть от 25 до 20000000",IF(AND(IFERROR(VALUE(LEFT(M559,FIND("-",M559)-1)),M559)*150&lt;=105687,IFERROR(VALUE(LEFT(M559,FIND("-",M559)-1)),M559)*200&gt;105687),"Вы уменьшили цену в несколько раз, товар попадет в карантин цен",IF(IFERROR(VALUE(LEFT(M559,FIND("-",M559)-1)),M559)*200&lt;=105687,"Не сохранили изменения, чтобы защитить от ошибки — новые цены меньше текущих более чем в 2 раза. Снижайте их постепенно",IF(AND(IFERROR(VALUE(I559),0)=0,ISNUMBER(J559),OR(J559&lt;385,ABS(IFERROR(VALUE(LEFT(M559,FIND("-",M559)-1)),M559))*100&lt;38500)),"Проверьте цену товара. Большинство товаров в выбранной категории стоят дороже 385","")))))),"")</f>
      </c>
    </row>
    <row r="560">
      <c r="A560" s="2" t="inlineStr">
        <is>
          <t/>
        </is>
      </c>
      <c r="B560" s="2" t="inlineStr">
        <is>
          <t>Разделочные доски</t>
        </is>
      </c>
      <c r="C560" s="2">
        <v>600652776</v>
      </c>
      <c r="D560" s="2" t="inlineStr">
        <is>
          <t>93627</t>
        </is>
      </c>
      <c r="E560" s="2" t="inlineStr">
        <is>
          <t>2047129195079</t>
        </is>
      </c>
      <c r="F560" s="2">
        <v>0</v>
      </c>
      <c r="G560" s="2">
        <v>0</v>
      </c>
      <c r="H560" s="2" t="inlineStr">
        <is>
          <t/>
        </is>
      </c>
      <c r="I560" s="2" t="inlineStr">
        <is>
          <t>7396</t>
        </is>
      </c>
      <c r="J560" s="4"/>
      <c r="K560" s="2">
        <v>69</v>
      </c>
      <c r="L560" s="6"/>
      <c r="M560" s="2" t="str">
        <f>IF(J560="",ROUND(I560*(1-IF(ISBLANK(L560),K560,L560)/100),2),ROUND(J560*(1-IF(ISBLANK(L560),K560,L560)/100),2))</f>
      </c>
      <c r="N560" s="7" t="str">
        <f>IF(NOT(AND(J560="",L560="")),IF(OR(AND(L560&lt;&gt;"",NOT(ISNUMBER(L560))),IFERROR(MOD(L560,1),1)&gt;0,AND(ISNUMBER(L560),OR(L560&lt;0,L560&gt;95))),"Введите целое число от 0 до 95",IF(OR(AND(J560&lt;&gt;"",NOT(ISNUMBER(J560))),IFERROR(MOD(J560,1),1)&gt;0,AND(ISNUMBER(J560),OR(J560&lt;50,J560&gt;20000000))),"Введите целое число от 50 до 20000000",IF(NOT(ABS(IFERROR(VALUE(LEFT(M560,FIND("-",M560)-1)),M560)*100-(2500+2000000000)/2)&lt;=ABS(2500-2000000000)/2),"Цена со скидкой должна быть от 25 до 20000000",IF(AND(IFERROR(VALUE(LEFT(M560,FIND("-",M560)-1)),M560)*150&lt;=229276,IFERROR(VALUE(LEFT(M560,FIND("-",M560)-1)),M560)*200&gt;229276),"Вы уменьшили цену в несколько раз, товар попадет в карантин цен",IF(IFERROR(VALUE(LEFT(M560,FIND("-",M560)-1)),M560)*200&lt;=229276,"Не сохранили изменения, чтобы защитить от ошибки — новые цены меньше текущих более чем в 2 раза. Снижайте их постепенно",IF(AND(IFERROR(VALUE(I560),0)=0,ISNUMBER(J560),OR(J560&lt;341,ABS(IFERROR(VALUE(LEFT(M560,FIND("-",M560)-1)),M560))*100&lt;34100)),"Проверьте цену товара. Большинство товаров в выбранной категории стоят дороже 341","")))))),"")</f>
      </c>
    </row>
    <row r="561">
      <c r="A561" s="2" t="inlineStr">
        <is>
          <t>Veloria</t>
        </is>
      </c>
      <c r="B561" s="2" t="inlineStr">
        <is>
          <t>Рулонные шторы</t>
        </is>
      </c>
      <c r="C561" s="2">
        <v>423088235</v>
      </c>
      <c r="D561" s="2" t="inlineStr">
        <is>
          <t>420554</t>
        </is>
      </c>
      <c r="E561" s="2" t="inlineStr">
        <is>
          <t>2044120808816</t>
        </is>
      </c>
      <c r="F561" s="2">
        <v>0</v>
      </c>
      <c r="G561" s="2">
        <v>9</v>
      </c>
      <c r="H561" s="2" t="inlineStr">
        <is>
          <t/>
        </is>
      </c>
      <c r="I561" s="2" t="inlineStr">
        <is>
          <t>15760</t>
        </is>
      </c>
      <c r="J561" s="4"/>
      <c r="K561" s="2">
        <v>78</v>
      </c>
      <c r="L561" s="6"/>
      <c r="M561" s="2" t="str">
        <f>IF(J561="",ROUND(I561*(1-IF(ISBLANK(L561),K561,L561)/100),2),ROUND(J561*(1-IF(ISBLANK(L561),K561,L561)/100),2))</f>
      </c>
      <c r="N561" s="7" t="str">
        <f>IF(NOT(AND(J561="",L561="")),IF(OR(AND(L561&lt;&gt;"",NOT(ISNUMBER(L561))),IFERROR(MOD(L561,1),1)&gt;0,AND(ISNUMBER(L561),OR(L561&lt;0,L561&gt;95))),"Введите целое число от 0 до 95",IF(OR(AND(J561&lt;&gt;"",NOT(ISNUMBER(J561))),IFERROR(MOD(J561,1),1)&gt;0,AND(ISNUMBER(J561),OR(J561&lt;50,J561&gt;20000000))),"Введите целое число от 50 до 20000000",IF(NOT(ABS(IFERROR(VALUE(LEFT(M561,FIND("-",M561)-1)),M561)*100-(2500+2000000000)/2)&lt;=ABS(2500-2000000000)/2),"Цена со скидкой должна быть от 25 до 20000000",IF(AND(IFERROR(VALUE(LEFT(M561,FIND("-",M561)-1)),M561)*150&lt;=346719,IFERROR(VALUE(LEFT(M561,FIND("-",M561)-1)),M561)*200&gt;346719),"Вы уменьшили цену в несколько раз, товар попадет в карантин цен",IF(IFERROR(VALUE(LEFT(M561,FIND("-",M561)-1)),M561)*200&lt;=346719,"Не сохранили изменения, чтобы защитить от ошибки — новые цены меньше текущих более чем в 2 раза. Снижайте их постепенно",IF(AND(IFERROR(VALUE(I561),0)=0,ISNUMBER(J561),OR(J561&lt;611,ABS(IFERROR(VALUE(LEFT(M561,FIND("-",M561)-1)),M561))*100&lt;61100)),"Проверьте цену товара. Большинство товаров в выбранной категории стоят дороже 611","")))))),"")</f>
      </c>
    </row>
    <row r="562">
      <c r="A562" s="2" t="inlineStr">
        <is>
          <t/>
        </is>
      </c>
      <c r="B562" s="2" t="inlineStr">
        <is>
          <t>Ножи кухонные</t>
        </is>
      </c>
      <c r="C562" s="2">
        <v>600639367</v>
      </c>
      <c r="D562" s="2" t="inlineStr">
        <is>
          <t>821566</t>
        </is>
      </c>
      <c r="E562" s="2" t="inlineStr">
        <is>
          <t>2047129194621</t>
        </is>
      </c>
      <c r="F562" s="2">
        <v>0</v>
      </c>
      <c r="G562" s="2">
        <v>4</v>
      </c>
      <c r="H562" s="2" t="inlineStr">
        <is>
          <t/>
        </is>
      </c>
      <c r="I562" s="2" t="inlineStr">
        <is>
          <t>28341</t>
        </is>
      </c>
      <c r="J562" s="4"/>
      <c r="K562" s="2">
        <v>80</v>
      </c>
      <c r="L562" s="6"/>
      <c r="M562" s="2" t="str">
        <f>IF(J562="",ROUND(I562*(1-IF(ISBLANK(L562),K562,L562)/100),2),ROUND(J562*(1-IF(ISBLANK(L562),K562,L562)/100),2))</f>
      </c>
      <c r="N562" s="7" t="str">
        <f>IF(NOT(AND(J562="",L562="")),IF(OR(AND(L562&lt;&gt;"",NOT(ISNUMBER(L562))),IFERROR(MOD(L562,1),1)&gt;0,AND(ISNUMBER(L562),OR(L562&lt;0,L562&gt;95))),"Введите целое число от 0 до 95",IF(OR(AND(J562&lt;&gt;"",NOT(ISNUMBER(J562))),IFERROR(MOD(J562,1),1)&gt;0,AND(ISNUMBER(J562),OR(J562&lt;50,J562&gt;20000000))),"Введите целое число от 50 до 20000000",IF(NOT(ABS(IFERROR(VALUE(LEFT(M562,FIND("-",M562)-1)),M562)*100-(2500+2000000000)/2)&lt;=ABS(2500-2000000000)/2),"Цена со скидкой должна быть от 25 до 20000000",IF(AND(IFERROR(VALUE(LEFT(M562,FIND("-",M562)-1)),M562)*150&lt;=566819,IFERROR(VALUE(LEFT(M562,FIND("-",M562)-1)),M562)*200&gt;566819),"Вы уменьшили цену в несколько раз, товар попадет в карантин цен",IF(IFERROR(VALUE(LEFT(M562,FIND("-",M562)-1)),M562)*200&lt;=566819,"Не сохранили изменения, чтобы защитить от ошибки — новые цены меньше текущих более чем в 2 раза. Снижайте их постепенно",IF(AND(IFERROR(VALUE(I562),0)=0,ISNUMBER(J562),OR(J562&lt;318,ABS(IFERROR(VALUE(LEFT(M562,FIND("-",M562)-1)),M562))*100&lt;31800)),"Проверьте цену товара. Большинство товаров в выбранной категории стоят дороже 318","")))))),"")</f>
      </c>
    </row>
    <row r="563">
      <c r="A563" s="2" t="inlineStr">
        <is>
          <t/>
        </is>
      </c>
      <c r="B563" s="2" t="inlineStr">
        <is>
          <t>Разделочные доски</t>
        </is>
      </c>
      <c r="C563" s="2">
        <v>600652780</v>
      </c>
      <c r="D563" s="2" t="inlineStr">
        <is>
          <t>453444</t>
        </is>
      </c>
      <c r="E563" s="2" t="inlineStr">
        <is>
          <t>2047129195109</t>
        </is>
      </c>
      <c r="F563" s="2">
        <v>0</v>
      </c>
      <c r="G563" s="2">
        <v>0</v>
      </c>
      <c r="H563" s="2" t="inlineStr">
        <is>
          <t/>
        </is>
      </c>
      <c r="I563" s="2" t="inlineStr">
        <is>
          <t>8327</t>
        </is>
      </c>
      <c r="J563" s="4"/>
      <c r="K563" s="2">
        <v>65</v>
      </c>
      <c r="L563" s="6"/>
      <c r="M563" s="2" t="str">
        <f>IF(J563="",ROUND(I563*(1-IF(ISBLANK(L563),K563,L563)/100),2),ROUND(J563*(1-IF(ISBLANK(L563),K563,L563)/100),2))</f>
      </c>
      <c r="N563" s="7" t="str">
        <f>IF(NOT(AND(J563="",L563="")),IF(OR(AND(L563&lt;&gt;"",NOT(ISNUMBER(L563))),IFERROR(MOD(L563,1),1)&gt;0,AND(ISNUMBER(L563),OR(L563&lt;0,L563&gt;95))),"Введите целое число от 0 до 95",IF(OR(AND(J563&lt;&gt;"",NOT(ISNUMBER(J563))),IFERROR(MOD(J563,1),1)&gt;0,AND(ISNUMBER(J563),OR(J563&lt;50,J563&gt;20000000))),"Введите целое число от 50 до 20000000",IF(NOT(ABS(IFERROR(VALUE(LEFT(M563,FIND("-",M563)-1)),M563)*100-(2500+2000000000)/2)&lt;=ABS(2500-2000000000)/2),"Цена со скидкой должна быть от 25 до 20000000",IF(AND(IFERROR(VALUE(LEFT(M563,FIND("-",M563)-1)),M563)*150&lt;=291445,IFERROR(VALUE(LEFT(M563,FIND("-",M563)-1)),M563)*200&gt;291445),"Вы уменьшили цену в несколько раз, товар попадет в карантин цен",IF(IFERROR(VALUE(LEFT(M563,FIND("-",M563)-1)),M563)*200&lt;=291445,"Не сохранили изменения, чтобы защитить от ошибки — новые цены меньше текущих более чем в 2 раза. Снижайте их постепенно",IF(AND(IFERROR(VALUE(I563),0)=0,ISNUMBER(J563),OR(J563&lt;341,ABS(IFERROR(VALUE(LEFT(M563,FIND("-",M563)-1)),M563))*100&lt;34100)),"Проверьте цену товара. Большинство товаров в выбранной категории стоят дороже 341","")))))),"")</f>
      </c>
    </row>
    <row r="564">
      <c r="A564" s="2" t="inlineStr">
        <is>
          <t/>
        </is>
      </c>
      <c r="B564" s="2" t="inlineStr">
        <is>
          <t>Разделочные доски</t>
        </is>
      </c>
      <c r="C564" s="2">
        <v>600652772</v>
      </c>
      <c r="D564" s="2" t="inlineStr">
        <is>
          <t>93899</t>
        </is>
      </c>
      <c r="E564" s="2" t="inlineStr">
        <is>
          <t>2047129194393</t>
        </is>
      </c>
      <c r="F564" s="2">
        <v>7</v>
      </c>
      <c r="G564" s="2">
        <v>16</v>
      </c>
      <c r="H564" s="2">
        <v>999</v>
      </c>
      <c r="I564" s="2" t="inlineStr">
        <is>
          <t>9004</t>
        </is>
      </c>
      <c r="J564" s="4"/>
      <c r="K564" s="2">
        <v>79</v>
      </c>
      <c r="L564" s="6"/>
      <c r="M564" s="2" t="str">
        <f>IF(J564="",ROUND(I564*(1-IF(ISBLANK(L564),K564,L564)/100),2),ROUND(J564*(1-IF(ISBLANK(L564),K564,L564)/100),2))</f>
      </c>
      <c r="N564" s="7" t="str">
        <f>IF(NOT(AND(J564="",L564="")),IF(OR(AND(L564&lt;&gt;"",NOT(ISNUMBER(L564))),IFERROR(MOD(L564,1),1)&gt;0,AND(ISNUMBER(L564),OR(L564&lt;0,L564&gt;95))),"Введите целое число от 0 до 95",IF(OR(AND(J564&lt;&gt;"",NOT(ISNUMBER(J564))),IFERROR(MOD(J564,1),1)&gt;0,AND(ISNUMBER(J564),OR(J564&lt;50,J564&gt;20000000))),"Введите целое число от 50 до 20000000",IF(NOT(ABS(IFERROR(VALUE(LEFT(M564,FIND("-",M564)-1)),M564)*100-(2500+2000000000)/2)&lt;=ABS(2500-2000000000)/2),"Цена со скидкой должна быть от 25 до 20000000",IF(AND(IFERROR(VALUE(LEFT(M564,FIND("-",M564)-1)),M564)*150&lt;=189083,IFERROR(VALUE(LEFT(M564,FIND("-",M564)-1)),M564)*200&gt;189083),"Вы уменьшили цену в несколько раз, товар попадет в карантин цен",IF(IFERROR(VALUE(LEFT(M564,FIND("-",M564)-1)),M564)*200&lt;=189083,"Не сохранили изменения, чтобы защитить от ошибки — новые цены меньше текущих более чем в 2 раза. Снижайте их постепенно",IF(AND(IFERROR(VALUE(I564),0)=0,ISNUMBER(J564),OR(J564&lt;341,ABS(IFERROR(VALUE(LEFT(M564,FIND("-",M564)-1)),M564))*100&lt;34100)),"Проверьте цену товара. Большинство товаров в выбранной категории стоят дороже 341","")))))),"")</f>
      </c>
    </row>
    <row r="565">
      <c r="A565" s="2" t="inlineStr">
        <is>
          <t>Veloria</t>
        </is>
      </c>
      <c r="B565" s="2" t="inlineStr">
        <is>
          <t>Рулонные шторы</t>
        </is>
      </c>
      <c r="C565" s="2">
        <v>423138519</v>
      </c>
      <c r="D565" s="2" t="inlineStr">
        <is>
          <t>420541</t>
        </is>
      </c>
      <c r="E565" s="2" t="inlineStr">
        <is>
          <t>2044121285906</t>
        </is>
      </c>
      <c r="F565" s="2">
        <v>0</v>
      </c>
      <c r="G565" s="2">
        <v>9</v>
      </c>
      <c r="H565" s="2" t="inlineStr">
        <is>
          <t/>
        </is>
      </c>
      <c r="I565" s="2" t="inlineStr">
        <is>
          <t>11925</t>
        </is>
      </c>
      <c r="J565" s="4"/>
      <c r="K565" s="2">
        <v>78</v>
      </c>
      <c r="L565" s="6"/>
      <c r="M565" s="2" t="str">
        <f>IF(J565="",ROUND(I565*(1-IF(ISBLANK(L565),K565,L565)/100),2),ROUND(J565*(1-IF(ISBLANK(L565),K565,L565)/100),2))</f>
      </c>
      <c r="N565" s="7" t="str">
        <f>IF(NOT(AND(J565="",L565="")),IF(OR(AND(L565&lt;&gt;"",NOT(ISNUMBER(L565))),IFERROR(MOD(L565,1),1)&gt;0,AND(ISNUMBER(L565),OR(L565&lt;0,L565&gt;95))),"Введите целое число от 0 до 95",IF(OR(AND(J565&lt;&gt;"",NOT(ISNUMBER(J565))),IFERROR(MOD(J565,1),1)&gt;0,AND(ISNUMBER(J565),OR(J565&lt;50,J565&gt;20000000))),"Введите целое число от 50 до 20000000",IF(NOT(ABS(IFERROR(VALUE(LEFT(M565,FIND("-",M565)-1)),M565)*100-(2500+2000000000)/2)&lt;=ABS(2500-2000000000)/2),"Цена со скидкой должна быть от 25 до 20000000",IF(AND(IFERROR(VALUE(LEFT(M565,FIND("-",M565)-1)),M565)*150&lt;=262349,IFERROR(VALUE(LEFT(M565,FIND("-",M565)-1)),M565)*200&gt;262349),"Вы уменьшили цену в несколько раз, товар попадет в карантин цен",IF(IFERROR(VALUE(LEFT(M565,FIND("-",M565)-1)),M565)*200&lt;=262349,"Не сохранили изменения, чтобы защитить от ошибки — новые цены меньше текущих более чем в 2 раза. Снижайте их постепенно",IF(AND(IFERROR(VALUE(I565),0)=0,ISNUMBER(J565),OR(J565&lt;611,ABS(IFERROR(VALUE(LEFT(M565,FIND("-",M565)-1)),M565))*100&lt;61100)),"Проверьте цену товара. Большинство товаров в выбранной категории стоят дороже 611","")))))),"")</f>
      </c>
    </row>
    <row r="566">
      <c r="A566" s="2" t="inlineStr">
        <is>
          <t/>
        </is>
      </c>
      <c r="B566" s="2" t="inlineStr">
        <is>
          <t>Разделочные доски</t>
        </is>
      </c>
      <c r="C566" s="2">
        <v>600652781</v>
      </c>
      <c r="D566" s="2" t="inlineStr">
        <is>
          <t>93555</t>
        </is>
      </c>
      <c r="E566" s="2" t="inlineStr">
        <is>
          <t>2047129195116</t>
        </is>
      </c>
      <c r="F566" s="2">
        <v>9</v>
      </c>
      <c r="G566" s="2">
        <v>0</v>
      </c>
      <c r="H566" s="2">
        <v>999</v>
      </c>
      <c r="I566" s="2" t="inlineStr">
        <is>
          <t>9064</t>
        </is>
      </c>
      <c r="J566" s="4"/>
      <c r="K566" s="2">
        <v>81</v>
      </c>
      <c r="L566" s="6"/>
      <c r="M566" s="2" t="str">
        <f>IF(J566="",ROUND(I566*(1-IF(ISBLANK(L566),K566,L566)/100),2),ROUND(J566*(1-IF(ISBLANK(L566),K566,L566)/100),2))</f>
      </c>
      <c r="N566" s="7" t="str">
        <f>IF(NOT(AND(J566="",L566="")),IF(OR(AND(L566&lt;&gt;"",NOT(ISNUMBER(L566))),IFERROR(MOD(L566,1),1)&gt;0,AND(ISNUMBER(L566),OR(L566&lt;0,L566&gt;95))),"Введите целое число от 0 до 95",IF(OR(AND(J566&lt;&gt;"",NOT(ISNUMBER(J566))),IFERROR(MOD(J566,1),1)&gt;0,AND(ISNUMBER(J566),OR(J566&lt;50,J566&gt;20000000))),"Введите целое число от 50 до 20000000",IF(NOT(ABS(IFERROR(VALUE(LEFT(M566,FIND("-",M566)-1)),M566)*100-(2500+2000000000)/2)&lt;=ABS(2500-2000000000)/2),"Цена со скидкой должна быть от 25 до 20000000",IF(AND(IFERROR(VALUE(LEFT(M566,FIND("-",M566)-1)),M566)*150&lt;=172215,IFERROR(VALUE(LEFT(M566,FIND("-",M566)-1)),M566)*200&gt;172215),"Вы уменьшили цену в несколько раз, товар попадет в карантин цен",IF(IFERROR(VALUE(LEFT(M566,FIND("-",M566)-1)),M566)*200&lt;=172215,"Не сохранили изменения, чтобы защитить от ошибки — новые цены меньше текущих более чем в 2 раза. Снижайте их постепенно",IF(AND(IFERROR(VALUE(I566),0)=0,ISNUMBER(J566),OR(J566&lt;341,ABS(IFERROR(VALUE(LEFT(M566,FIND("-",M566)-1)),M566))*100&lt;34100)),"Проверьте цену товара. Большинство товаров в выбранной категории стоят дороже 341","")))))),"")</f>
      </c>
    </row>
    <row r="567">
      <c r="A567" s="2" t="inlineStr">
        <is>
          <t/>
        </is>
      </c>
      <c r="B567" s="2" t="inlineStr">
        <is>
          <t>Ножи кухонные</t>
        </is>
      </c>
      <c r="C567" s="2">
        <v>600639365</v>
      </c>
      <c r="D567" s="2" t="inlineStr">
        <is>
          <t>820874</t>
        </is>
      </c>
      <c r="E567" s="2" t="inlineStr">
        <is>
          <t>2047129194607</t>
        </is>
      </c>
      <c r="F567" s="2">
        <v>0</v>
      </c>
      <c r="G567" s="2">
        <v>0</v>
      </c>
      <c r="H567" s="2" t="inlineStr">
        <is>
          <t/>
        </is>
      </c>
      <c r="I567" s="2" t="inlineStr">
        <is>
          <t>25643</t>
        </is>
      </c>
      <c r="J567" s="4"/>
      <c r="K567" s="2">
        <v>79</v>
      </c>
      <c r="L567" s="6"/>
      <c r="M567" s="2" t="str">
        <f>IF(J567="",ROUND(I567*(1-IF(ISBLANK(L567),K567,L567)/100),2),ROUND(J567*(1-IF(ISBLANK(L567),K567,L567)/100),2))</f>
      </c>
      <c r="N567" s="7" t="str">
        <f>IF(NOT(AND(J567="",L567="")),IF(OR(AND(L567&lt;&gt;"",NOT(ISNUMBER(L567))),IFERROR(MOD(L567,1),1)&gt;0,AND(ISNUMBER(L567),OR(L567&lt;0,L567&gt;95))),"Введите целое число от 0 до 95",IF(OR(AND(J567&lt;&gt;"",NOT(ISNUMBER(J567))),IFERROR(MOD(J567,1),1)&gt;0,AND(ISNUMBER(J567),OR(J567&lt;50,J567&gt;20000000))),"Введите целое число от 50 до 20000000",IF(NOT(ABS(IFERROR(VALUE(LEFT(M567,FIND("-",M567)-1)),M567)*100-(2500+2000000000)/2)&lt;=ABS(2500-2000000000)/2),"Цена со скидкой должна быть от 25 до 20000000",IF(AND(IFERROR(VALUE(LEFT(M567,FIND("-",M567)-1)),M567)*150&lt;=538502,IFERROR(VALUE(LEFT(M567,FIND("-",M567)-1)),M567)*200&gt;538502),"Вы уменьшили цену в несколько раз, товар попадет в карантин цен",IF(IFERROR(VALUE(LEFT(M567,FIND("-",M567)-1)),M567)*200&lt;=538502,"Не сохранили изменения, чтобы защитить от ошибки — новые цены меньше текущих более чем в 2 раза. Снижайте их постепенно",IF(AND(IFERROR(VALUE(I567),0)=0,ISNUMBER(J567),OR(J567&lt;318,ABS(IFERROR(VALUE(LEFT(M567,FIND("-",M567)-1)),M567))*100&lt;31800)),"Проверьте цену товара. Большинство товаров в выбранной категории стоят дороже 318","")))))),"")</f>
      </c>
    </row>
    <row r="568">
      <c r="A568" s="2" t="inlineStr">
        <is>
          <t/>
        </is>
      </c>
      <c r="B568" s="2" t="inlineStr">
        <is>
          <t>Разделочные доски</t>
        </is>
      </c>
      <c r="C568" s="2">
        <v>600652782</v>
      </c>
      <c r="D568" s="2" t="inlineStr">
        <is>
          <t>81044</t>
        </is>
      </c>
      <c r="E568" s="2" t="inlineStr">
        <is>
          <t>2047129195123</t>
        </is>
      </c>
      <c r="F568" s="2">
        <v>0</v>
      </c>
      <c r="G568" s="2">
        <v>24</v>
      </c>
      <c r="H568" s="2" t="inlineStr">
        <is>
          <t/>
        </is>
      </c>
      <c r="I568" s="2" t="inlineStr">
        <is>
          <t>9604</t>
        </is>
      </c>
      <c r="J568" s="4"/>
      <c r="K568" s="2">
        <v>69</v>
      </c>
      <c r="L568" s="6"/>
      <c r="M568" s="2" t="str">
        <f>IF(J568="",ROUND(I568*(1-IF(ISBLANK(L568),K568,L568)/100),2),ROUND(J568*(1-IF(ISBLANK(L568),K568,L568)/100),2))</f>
      </c>
      <c r="N568" s="7" t="str">
        <f>IF(NOT(AND(J568="",L568="")),IF(OR(AND(L568&lt;&gt;"",NOT(ISNUMBER(L568))),IFERROR(MOD(L568,1),1)&gt;0,AND(ISNUMBER(L568),OR(L568&lt;0,L568&gt;95))),"Введите целое число от 0 до 95",IF(OR(AND(J568&lt;&gt;"",NOT(ISNUMBER(J568))),IFERROR(MOD(J568,1),1)&gt;0,AND(ISNUMBER(J568),OR(J568&lt;50,J568&gt;20000000))),"Введите целое число от 50 до 20000000",IF(NOT(ABS(IFERROR(VALUE(LEFT(M568,FIND("-",M568)-1)),M568)*100-(2500+2000000000)/2)&lt;=ABS(2500-2000000000)/2),"Цена со скидкой должна быть от 25 до 20000000",IF(AND(IFERROR(VALUE(LEFT(M568,FIND("-",M568)-1)),M568)*150&lt;=297724,IFERROR(VALUE(LEFT(M568,FIND("-",M568)-1)),M568)*200&gt;297724),"Вы уменьшили цену в несколько раз, товар попадет в карантин цен",IF(IFERROR(VALUE(LEFT(M568,FIND("-",M568)-1)),M568)*200&lt;=297724,"Не сохранили изменения, чтобы защитить от ошибки — новые цены меньше текущих более чем в 2 раза. Снижайте их постепенно",IF(AND(IFERROR(VALUE(I568),0)=0,ISNUMBER(J568),OR(J568&lt;341,ABS(IFERROR(VALUE(LEFT(M568,FIND("-",M568)-1)),M568))*100&lt;34100)),"Проверьте цену товара. Большинство товаров в выбранной категории стоят дороже 341","")))))),"")</f>
      </c>
    </row>
    <row r="569">
      <c r="A569" s="2" t="inlineStr">
        <is>
          <t/>
        </is>
      </c>
      <c r="B569" s="2" t="inlineStr">
        <is>
          <t>Ножи кухонные</t>
        </is>
      </c>
      <c r="C569" s="2">
        <v>600639356</v>
      </c>
      <c r="D569" s="2" t="inlineStr">
        <is>
          <t>820872</t>
        </is>
      </c>
      <c r="E569" s="2" t="inlineStr">
        <is>
          <t>2047129194379</t>
        </is>
      </c>
      <c r="F569" s="2">
        <v>0</v>
      </c>
      <c r="G569" s="2">
        <v>0</v>
      </c>
      <c r="H569" s="2" t="inlineStr">
        <is>
          <t/>
        </is>
      </c>
      <c r="I569" s="2" t="inlineStr">
        <is>
          <t>24985</t>
        </is>
      </c>
      <c r="J569" s="4"/>
      <c r="K569" s="2">
        <v>65</v>
      </c>
      <c r="L569" s="6"/>
      <c r="M569" s="2" t="str">
        <f>IF(J569="",ROUND(I569*(1-IF(ISBLANK(L569),K569,L569)/100),2),ROUND(J569*(1-IF(ISBLANK(L569),K569,L569)/100),2))</f>
      </c>
      <c r="N569" s="7" t="str">
        <f>IF(NOT(AND(J569="",L569="")),IF(OR(AND(L569&lt;&gt;"",NOT(ISNUMBER(L569))),IFERROR(MOD(L569,1),1)&gt;0,AND(ISNUMBER(L569),OR(L569&lt;0,L569&gt;95))),"Введите целое число от 0 до 95",IF(OR(AND(J569&lt;&gt;"",NOT(ISNUMBER(J569))),IFERROR(MOD(J569,1),1)&gt;0,AND(ISNUMBER(J569),OR(J569&lt;50,J569&gt;20000000))),"Введите целое число от 50 до 20000000",IF(NOT(ABS(IFERROR(VALUE(LEFT(M569,FIND("-",M569)-1)),M569)*100-(2500+2000000000)/2)&lt;=ABS(2500-2000000000)/2),"Цена со скидкой должна быть от 25 до 20000000",IF(AND(IFERROR(VALUE(LEFT(M569,FIND("-",M569)-1)),M569)*150&lt;=874475,IFERROR(VALUE(LEFT(M569,FIND("-",M569)-1)),M569)*200&gt;874475),"Вы уменьшили цену в несколько раз, товар попадет в карантин цен",IF(IFERROR(VALUE(LEFT(M569,FIND("-",M569)-1)),M569)*200&lt;=874475,"Не сохранили изменения, чтобы защитить от ошибки — новые цены меньше текущих более чем в 2 раза. Снижайте их постепенно",IF(AND(IFERROR(VALUE(I569),0)=0,ISNUMBER(J569),OR(J569&lt;318,ABS(IFERROR(VALUE(LEFT(M569,FIND("-",M569)-1)),M569))*100&lt;31800)),"Проверьте цену товара. Большинство товаров в выбранной категории стоят дороже 318","")))))),"")</f>
      </c>
    </row>
    <row r="570">
      <c r="A570" s="2" t="inlineStr">
        <is>
          <t/>
        </is>
      </c>
      <c r="B570" s="2" t="inlineStr">
        <is>
          <t>Скатерти</t>
        </is>
      </c>
      <c r="C570" s="2">
        <v>619525823</v>
      </c>
      <c r="D570" s="2" t="inlineStr">
        <is>
          <t>434616</t>
        </is>
      </c>
      <c r="E570" s="2" t="inlineStr">
        <is>
          <t>2047325447385</t>
        </is>
      </c>
      <c r="F570" s="2">
        <v>0</v>
      </c>
      <c r="G570" s="2">
        <v>0</v>
      </c>
      <c r="H570" s="2" t="inlineStr">
        <is>
          <t/>
        </is>
      </c>
      <c r="I570" s="2" t="inlineStr">
        <is>
          <t>3888</t>
        </is>
      </c>
      <c r="J570" s="4"/>
      <c r="K570" s="2">
        <v>78</v>
      </c>
      <c r="L570" s="6"/>
      <c r="M570" s="2" t="str">
        <f>IF(J570="",ROUND(I570*(1-IF(ISBLANK(L570),K570,L570)/100),2),ROUND(J570*(1-IF(ISBLANK(L570),K570,L570)/100),2))</f>
      </c>
      <c r="N570" s="7" t="str">
        <f>IF(NOT(AND(J570="",L570="")),IF(OR(AND(L570&lt;&gt;"",NOT(ISNUMBER(L570))),IFERROR(MOD(L570,1),1)&gt;0,AND(ISNUMBER(L570),OR(L570&lt;0,L570&gt;95))),"Введите целое число от 0 до 95",IF(OR(AND(J570&lt;&gt;"",NOT(ISNUMBER(J570))),IFERROR(MOD(J570,1),1)&gt;0,AND(ISNUMBER(J570),OR(J570&lt;50,J570&gt;20000000))),"Введите целое число от 50 до 20000000",IF(NOT(ABS(IFERROR(VALUE(LEFT(M570,FIND("-",M570)-1)),M570)*100-(2500+2000000000)/2)&lt;=ABS(2500-2000000000)/2),"Цена со скидкой должна быть от 25 до 20000000",IF(AND(IFERROR(VALUE(LEFT(M570,FIND("-",M570)-1)),M570)*150&lt;=85535,IFERROR(VALUE(LEFT(M570,FIND("-",M570)-1)),M570)*200&gt;85535),"Вы уменьшили цену в несколько раз, товар попадет в карантин цен",IF(IFERROR(VALUE(LEFT(M570,FIND("-",M570)-1)),M570)*200&lt;=85535,"Не сохранили изменения, чтобы защитить от ошибки — новые цены меньше текущих более чем в 2 раза. Снижайте их постепенно",IF(AND(IFERROR(VALUE(I570),0)=0,ISNUMBER(J570),OR(J570&lt;385,ABS(IFERROR(VALUE(LEFT(M570,FIND("-",M570)-1)),M570))*100&lt;38500)),"Проверьте цену товара. Большинство товаров в выбранной категории стоят дороже 385","")))))),"")</f>
      </c>
    </row>
    <row r="571">
      <c r="A571" s="2" t="inlineStr">
        <is>
          <t/>
        </is>
      </c>
      <c r="B571" s="2" t="inlineStr">
        <is>
          <t>Скатерти</t>
        </is>
      </c>
      <c r="C571" s="2">
        <v>619525821</v>
      </c>
      <c r="D571" s="2" t="inlineStr">
        <is>
          <t>434613</t>
        </is>
      </c>
      <c r="E571" s="2" t="inlineStr">
        <is>
          <t>2047325447293</t>
        </is>
      </c>
      <c r="F571" s="2">
        <v>0</v>
      </c>
      <c r="G571" s="2">
        <v>0</v>
      </c>
      <c r="H571" s="2" t="inlineStr">
        <is>
          <t/>
        </is>
      </c>
      <c r="I571" s="2" t="inlineStr">
        <is>
          <t>4520</t>
        </is>
      </c>
      <c r="J571" s="4"/>
      <c r="K571" s="2">
        <v>78</v>
      </c>
      <c r="L571" s="6"/>
      <c r="M571" s="2" t="str">
        <f>IF(J571="",ROUND(I571*(1-IF(ISBLANK(L571),K571,L571)/100),2),ROUND(J571*(1-IF(ISBLANK(L571),K571,L571)/100),2))</f>
      </c>
      <c r="N571" s="7" t="str">
        <f>IF(NOT(AND(J571="",L571="")),IF(OR(AND(L571&lt;&gt;"",NOT(ISNUMBER(L571))),IFERROR(MOD(L571,1),1)&gt;0,AND(ISNUMBER(L571),OR(L571&lt;0,L571&gt;95))),"Введите целое число от 0 до 95",IF(OR(AND(J571&lt;&gt;"",NOT(ISNUMBER(J571))),IFERROR(MOD(J571,1),1)&gt;0,AND(ISNUMBER(J571),OR(J571&lt;50,J571&gt;20000000))),"Введите целое число от 50 до 20000000",IF(NOT(ABS(IFERROR(VALUE(LEFT(M571,FIND("-",M571)-1)),M571)*100-(2500+2000000000)/2)&lt;=ABS(2500-2000000000)/2),"Цена со скидкой должна быть от 25 до 20000000",IF(AND(IFERROR(VALUE(LEFT(M571,FIND("-",M571)-1)),M571)*150&lt;=99439,IFERROR(VALUE(LEFT(M571,FIND("-",M571)-1)),M571)*200&gt;99439),"Вы уменьшили цену в несколько раз, товар попадет в карантин цен",IF(IFERROR(VALUE(LEFT(M571,FIND("-",M571)-1)),M571)*200&lt;=99439,"Не сохранили изменения, чтобы защитить от ошибки — новые цены меньше текущих более чем в 2 раза. Снижайте их постепенно",IF(AND(IFERROR(VALUE(I571),0)=0,ISNUMBER(J571),OR(J571&lt;385,ABS(IFERROR(VALUE(LEFT(M571,FIND("-",M571)-1)),M571))*100&lt;38500)),"Проверьте цену товара. Большинство товаров в выбранной категории стоят дороже 385","")))))),"")</f>
      </c>
    </row>
    <row r="572">
      <c r="A572" s="2" t="inlineStr">
        <is>
          <t/>
        </is>
      </c>
      <c r="B572" s="2" t="inlineStr">
        <is>
          <t>Скатерти</t>
        </is>
      </c>
      <c r="C572" s="2">
        <v>619525827</v>
      </c>
      <c r="D572" s="2" t="inlineStr">
        <is>
          <t>434617</t>
        </is>
      </c>
      <c r="E572" s="2" t="inlineStr">
        <is>
          <t>2047325447460</t>
        </is>
      </c>
      <c r="F572" s="2">
        <v>0</v>
      </c>
      <c r="G572" s="2">
        <v>0</v>
      </c>
      <c r="H572" s="2" t="inlineStr">
        <is>
          <t/>
        </is>
      </c>
      <c r="I572" s="2" t="inlineStr">
        <is>
          <t>4804</t>
        </is>
      </c>
      <c r="J572" s="4"/>
      <c r="K572" s="2">
        <v>78</v>
      </c>
      <c r="L572" s="6"/>
      <c r="M572" s="2" t="str">
        <f>IF(J572="",ROUND(I572*(1-IF(ISBLANK(L572),K572,L572)/100),2),ROUND(J572*(1-IF(ISBLANK(L572),K572,L572)/100),2))</f>
      </c>
      <c r="N572" s="7" t="str">
        <f>IF(NOT(AND(J572="",L572="")),IF(OR(AND(L572&lt;&gt;"",NOT(ISNUMBER(L572))),IFERROR(MOD(L572,1),1)&gt;0,AND(ISNUMBER(L572),OR(L572&lt;0,L572&gt;95))),"Введите целое число от 0 до 95",IF(OR(AND(J572&lt;&gt;"",NOT(ISNUMBER(J572))),IFERROR(MOD(J572,1),1)&gt;0,AND(ISNUMBER(J572),OR(J572&lt;50,J572&gt;20000000))),"Введите целое число от 50 до 20000000",IF(NOT(ABS(IFERROR(VALUE(LEFT(M572,FIND("-",M572)-1)),M572)*100-(2500+2000000000)/2)&lt;=ABS(2500-2000000000)/2),"Цена со скидкой должна быть от 25 до 20000000",IF(AND(IFERROR(VALUE(LEFT(M572,FIND("-",M572)-1)),M572)*150&lt;=105687,IFERROR(VALUE(LEFT(M572,FIND("-",M572)-1)),M572)*200&gt;105687),"Вы уменьшили цену в несколько раз, товар попадет в карантин цен",IF(IFERROR(VALUE(LEFT(M572,FIND("-",M572)-1)),M572)*200&lt;=105687,"Не сохранили изменения, чтобы защитить от ошибки — новые цены меньше текущих более чем в 2 раза. Снижайте их постепенно",IF(AND(IFERROR(VALUE(I572),0)=0,ISNUMBER(J572),OR(J572&lt;385,ABS(IFERROR(VALUE(LEFT(M572,FIND("-",M572)-1)),M572))*100&lt;38500)),"Проверьте цену товара. Большинство товаров в выбранной категории стоят дороже 385","")))))),"")</f>
      </c>
    </row>
    <row r="573">
      <c r="A573" s="2" t="inlineStr">
        <is>
          <t/>
        </is>
      </c>
      <c r="B573" s="2" t="inlineStr">
        <is>
          <t>Скатерти</t>
        </is>
      </c>
      <c r="C573" s="2">
        <v>619525825</v>
      </c>
      <c r="D573" s="2" t="inlineStr">
        <is>
          <t>434610</t>
        </is>
      </c>
      <c r="E573" s="2" t="inlineStr">
        <is>
          <t>2047325447422</t>
        </is>
      </c>
      <c r="F573" s="2">
        <v>0</v>
      </c>
      <c r="G573" s="2">
        <v>0</v>
      </c>
      <c r="H573" s="2" t="inlineStr">
        <is>
          <t/>
        </is>
      </c>
      <c r="I573" s="2" t="inlineStr">
        <is>
          <t>4804</t>
        </is>
      </c>
      <c r="J573" s="4"/>
      <c r="K573" s="2">
        <v>78</v>
      </c>
      <c r="L573" s="6"/>
      <c r="M573" s="2" t="str">
        <f>IF(J573="",ROUND(I573*(1-IF(ISBLANK(L573),K573,L573)/100),2),ROUND(J573*(1-IF(ISBLANK(L573),K573,L573)/100),2))</f>
      </c>
      <c r="N573" s="7" t="str">
        <f>IF(NOT(AND(J573="",L573="")),IF(OR(AND(L573&lt;&gt;"",NOT(ISNUMBER(L573))),IFERROR(MOD(L573,1),1)&gt;0,AND(ISNUMBER(L573),OR(L573&lt;0,L573&gt;95))),"Введите целое число от 0 до 95",IF(OR(AND(J573&lt;&gt;"",NOT(ISNUMBER(J573))),IFERROR(MOD(J573,1),1)&gt;0,AND(ISNUMBER(J573),OR(J573&lt;50,J573&gt;20000000))),"Введите целое число от 50 до 20000000",IF(NOT(ABS(IFERROR(VALUE(LEFT(M573,FIND("-",M573)-1)),M573)*100-(2500+2000000000)/2)&lt;=ABS(2500-2000000000)/2),"Цена со скидкой должна быть от 25 до 20000000",IF(AND(IFERROR(VALUE(LEFT(M573,FIND("-",M573)-1)),M573)*150&lt;=105687,IFERROR(VALUE(LEFT(M573,FIND("-",M573)-1)),M573)*200&gt;105687),"Вы уменьшили цену в несколько раз, товар попадет в карантин цен",IF(IFERROR(VALUE(LEFT(M573,FIND("-",M573)-1)),M573)*200&lt;=105687,"Не сохранили изменения, чтобы защитить от ошибки — новые цены меньше текущих более чем в 2 раза. Снижайте их постепенно",IF(AND(IFERROR(VALUE(I573),0)=0,ISNUMBER(J573),OR(J573&lt;385,ABS(IFERROR(VALUE(LEFT(M573,FIND("-",M573)-1)),M573))*100&lt;38500)),"Проверьте цену товара. Большинство товаров в выбранной категории стоят дороже 385","")))))),"")</f>
      </c>
    </row>
    <row r="574">
      <c r="A574" s="2" t="inlineStr">
        <is>
          <t/>
        </is>
      </c>
      <c r="B574" s="2" t="inlineStr">
        <is>
          <t>Скатерти</t>
        </is>
      </c>
      <c r="C574" s="2">
        <v>619525826</v>
      </c>
      <c r="D574" s="2" t="inlineStr">
        <is>
          <t>434615</t>
        </is>
      </c>
      <c r="E574" s="2" t="inlineStr">
        <is>
          <t>2047325447446</t>
        </is>
      </c>
      <c r="F574" s="2">
        <v>0</v>
      </c>
      <c r="G574" s="2">
        <v>0</v>
      </c>
      <c r="H574" s="2" t="inlineStr">
        <is>
          <t/>
        </is>
      </c>
      <c r="I574" s="2" t="inlineStr">
        <is>
          <t>4804</t>
        </is>
      </c>
      <c r="J574" s="4"/>
      <c r="K574" s="2">
        <v>78</v>
      </c>
      <c r="L574" s="6"/>
      <c r="M574" s="2" t="str">
        <f>IF(J574="",ROUND(I574*(1-IF(ISBLANK(L574),K574,L574)/100),2),ROUND(J574*(1-IF(ISBLANK(L574),K574,L574)/100),2))</f>
      </c>
      <c r="N574" s="7" t="str">
        <f>IF(NOT(AND(J574="",L574="")),IF(OR(AND(L574&lt;&gt;"",NOT(ISNUMBER(L574))),IFERROR(MOD(L574,1),1)&gt;0,AND(ISNUMBER(L574),OR(L574&lt;0,L574&gt;95))),"Введите целое число от 0 до 95",IF(OR(AND(J574&lt;&gt;"",NOT(ISNUMBER(J574))),IFERROR(MOD(J574,1),1)&gt;0,AND(ISNUMBER(J574),OR(J574&lt;50,J574&gt;20000000))),"Введите целое число от 50 до 20000000",IF(NOT(ABS(IFERROR(VALUE(LEFT(M574,FIND("-",M574)-1)),M574)*100-(2500+2000000000)/2)&lt;=ABS(2500-2000000000)/2),"Цена со скидкой должна быть от 25 до 20000000",IF(AND(IFERROR(VALUE(LEFT(M574,FIND("-",M574)-1)),M574)*150&lt;=105687,IFERROR(VALUE(LEFT(M574,FIND("-",M574)-1)),M574)*200&gt;105687),"Вы уменьшили цену в несколько раз, товар попадет в карантин цен",IF(IFERROR(VALUE(LEFT(M574,FIND("-",M574)-1)),M574)*200&lt;=105687,"Не сохранили изменения, чтобы защитить от ошибки — новые цены меньше текущих более чем в 2 раза. Снижайте их постепенно",IF(AND(IFERROR(VALUE(I574),0)=0,ISNUMBER(J574),OR(J574&lt;385,ABS(IFERROR(VALUE(LEFT(M574,FIND("-",M574)-1)),M574))*100&lt;38500)),"Проверьте цену товара. Большинство товаров в выбранной категории стоят дороже 385","")))))),"")</f>
      </c>
    </row>
    <row r="575">
      <c r="A575" s="2" t="inlineStr">
        <is>
          <t/>
        </is>
      </c>
      <c r="B575" s="2" t="inlineStr">
        <is>
          <t>Скатерти</t>
        </is>
      </c>
      <c r="C575" s="2">
        <v>619525812</v>
      </c>
      <c r="D575" s="2" t="inlineStr">
        <is>
          <t>431344</t>
        </is>
      </c>
      <c r="E575" s="2" t="inlineStr">
        <is>
          <t>2047325446982</t>
        </is>
      </c>
      <c r="F575" s="2">
        <v>0</v>
      </c>
      <c r="G575" s="2">
        <v>0</v>
      </c>
      <c r="H575" s="2" t="inlineStr">
        <is>
          <t/>
        </is>
      </c>
      <c r="I575" s="2" t="inlineStr">
        <is>
          <t>7176</t>
        </is>
      </c>
      <c r="J575" s="4"/>
      <c r="K575" s="2">
        <v>65</v>
      </c>
      <c r="L575" s="6"/>
      <c r="M575" s="2" t="str">
        <f>IF(J575="",ROUND(I575*(1-IF(ISBLANK(L575),K575,L575)/100),2),ROUND(J575*(1-IF(ISBLANK(L575),K575,L575)/100),2))</f>
      </c>
      <c r="N575" s="7" t="str">
        <f>IF(NOT(AND(J575="",L575="")),IF(OR(AND(L575&lt;&gt;"",NOT(ISNUMBER(L575))),IFERROR(MOD(L575,1),1)&gt;0,AND(ISNUMBER(L575),OR(L575&lt;0,L575&gt;95))),"Введите целое число от 0 до 95",IF(OR(AND(J575&lt;&gt;"",NOT(ISNUMBER(J575))),IFERROR(MOD(J575,1),1)&gt;0,AND(ISNUMBER(J575),OR(J575&lt;50,J575&gt;20000000))),"Введите целое число от 50 до 20000000",IF(NOT(ABS(IFERROR(VALUE(LEFT(M575,FIND("-",M575)-1)),M575)*100-(2500+2000000000)/2)&lt;=ABS(2500-2000000000)/2),"Цена со скидкой должна быть от 25 до 20000000",IF(AND(IFERROR(VALUE(LEFT(M575,FIND("-",M575)-1)),M575)*150&lt;=251160,IFERROR(VALUE(LEFT(M575,FIND("-",M575)-1)),M575)*200&gt;251160),"Вы уменьшили цену в несколько раз, товар попадет в карантин цен",IF(IFERROR(VALUE(LEFT(M575,FIND("-",M575)-1)),M575)*200&lt;=251160,"Не сохранили изменения, чтобы защитить от ошибки — новые цены меньше текущих более чем в 2 раза. Снижайте их постепенно",IF(AND(IFERROR(VALUE(I575),0)=0,ISNUMBER(J575),OR(J575&lt;385,ABS(IFERROR(VALUE(LEFT(M575,FIND("-",M575)-1)),M575))*100&lt;38500)),"Проверьте цену товара. Большинство товаров в выбранной категории стоят дороже 385","")))))),"")</f>
      </c>
    </row>
    <row r="576">
      <c r="A576" s="2" t="inlineStr">
        <is>
          <t/>
        </is>
      </c>
      <c r="B576" s="2" t="inlineStr">
        <is>
          <t>Скатерти</t>
        </is>
      </c>
      <c r="C576" s="2">
        <v>619525816</v>
      </c>
      <c r="D576" s="2" t="inlineStr">
        <is>
          <t>434605</t>
        </is>
      </c>
      <c r="E576" s="2" t="inlineStr">
        <is>
          <t>2047325447149</t>
        </is>
      </c>
      <c r="F576" s="2">
        <v>0</v>
      </c>
      <c r="G576" s="2">
        <v>0</v>
      </c>
      <c r="H576" s="2" t="inlineStr">
        <is>
          <t/>
        </is>
      </c>
      <c r="I576" s="2" t="inlineStr">
        <is>
          <t>4520</t>
        </is>
      </c>
      <c r="J576" s="4"/>
      <c r="K576" s="2">
        <v>78</v>
      </c>
      <c r="L576" s="6"/>
      <c r="M576" s="2" t="str">
        <f>IF(J576="",ROUND(I576*(1-IF(ISBLANK(L576),K576,L576)/100),2),ROUND(J576*(1-IF(ISBLANK(L576),K576,L576)/100),2))</f>
      </c>
      <c r="N576" s="7" t="str">
        <f>IF(NOT(AND(J576="",L576="")),IF(OR(AND(L576&lt;&gt;"",NOT(ISNUMBER(L576))),IFERROR(MOD(L576,1),1)&gt;0,AND(ISNUMBER(L576),OR(L576&lt;0,L576&gt;95))),"Введите целое число от 0 до 95",IF(OR(AND(J576&lt;&gt;"",NOT(ISNUMBER(J576))),IFERROR(MOD(J576,1),1)&gt;0,AND(ISNUMBER(J576),OR(J576&lt;50,J576&gt;20000000))),"Введите целое число от 50 до 20000000",IF(NOT(ABS(IFERROR(VALUE(LEFT(M576,FIND("-",M576)-1)),M576)*100-(2500+2000000000)/2)&lt;=ABS(2500-2000000000)/2),"Цена со скидкой должна быть от 25 до 20000000",IF(AND(IFERROR(VALUE(LEFT(M576,FIND("-",M576)-1)),M576)*150&lt;=99439,IFERROR(VALUE(LEFT(M576,FIND("-",M576)-1)),M576)*200&gt;99439),"Вы уменьшили цену в несколько раз, товар попадет в карантин цен",IF(IFERROR(VALUE(LEFT(M576,FIND("-",M576)-1)),M576)*200&lt;=99439,"Не сохранили изменения, чтобы защитить от ошибки — новые цены меньше текущих более чем в 2 раза. Снижайте их постепенно",IF(AND(IFERROR(VALUE(I576),0)=0,ISNUMBER(J576),OR(J576&lt;385,ABS(IFERROR(VALUE(LEFT(M576,FIND("-",M576)-1)),M576))*100&lt;38500)),"Проверьте цену товара. Большинство товаров в выбранной категории стоят дороже 385","")))))),"")</f>
      </c>
    </row>
    <row r="577">
      <c r="A577" s="2" t="inlineStr">
        <is>
          <t/>
        </is>
      </c>
      <c r="B577" s="2" t="inlineStr">
        <is>
          <t>Скатерти</t>
        </is>
      </c>
      <c r="C577" s="2">
        <v>619525833</v>
      </c>
      <c r="D577" s="2" t="inlineStr">
        <is>
          <t>431998</t>
        </is>
      </c>
      <c r="E577" s="2" t="inlineStr">
        <is>
          <t>2047325447606</t>
        </is>
      </c>
      <c r="F577" s="2">
        <v>0</v>
      </c>
      <c r="G577" s="2">
        <v>0</v>
      </c>
      <c r="H577" s="2" t="inlineStr">
        <is>
          <t/>
        </is>
      </c>
      <c r="I577" s="2" t="inlineStr">
        <is>
          <t>0</t>
        </is>
      </c>
      <c r="J577" s="4"/>
      <c r="K577" s="2">
        <v>0</v>
      </c>
      <c r="L577" s="6"/>
      <c r="M577" s="2" t="str">
        <f>IF(J577="",ROUND(I577*(1-IF(ISBLANK(L577),K577,L577)/100),2),ROUND(J577*(1-IF(ISBLANK(L577),K577,L577)/100),2))</f>
      </c>
      <c r="N577" s="7" t="str">
        <f>IF(NOT(AND(J577="",L577="")),IF(OR(AND(L577&lt;&gt;"",NOT(ISNUMBER(L577))),IFERROR(MOD(L577,1),1)&gt;0,AND(ISNUMBER(L577),OR(L577&lt;0,L577&gt;95))),"Введите целое число от 0 до 95",IF(OR(AND(J577&lt;&gt;"",NOT(ISNUMBER(J577))),IFERROR(MOD(J577,1),1)&gt;0,AND(ISNUMBER(J577),OR(J577&lt;50,J577&gt;20000000))),"Введите целое число от 50 до 20000000",IF(NOT(ABS(IFERROR(VALUE(LEFT(M577,FIND("-",M577)-1)),M577)*100-(2500+2000000000)/2)&lt;=ABS(2500-2000000000)/2),"Цена со скидкой должна быть от 25 до 20000000",IF(AND(IFERROR(VALUE(LEFT(M577,FIND("-",M577)-1)),M577)*150&lt;=0,IFERROR(VALUE(LEFT(M577,FIND("-",M577)-1)),M577)*200&gt;0),"Вы уменьшили цену в несколько раз, товар попадет в карантин цен",IF(IFERROR(VALUE(LEFT(M577,FIND("-",M577)-1)),M577)*200&lt;=0,"Не сохранили изменения, чтобы защитить от ошибки — новые цены меньше текущих более чем в 2 раза. Снижайте их постепенно",IF(AND(IFERROR(VALUE(I577),0)=0,ISNUMBER(J577),OR(J577&lt;385,ABS(IFERROR(VALUE(LEFT(M577,FIND("-",M577)-1)),M577))*100&lt;38500)),"Проверьте цену товара. Большинство товаров в выбранной категории стоят дороже 385","")))))),"")</f>
      </c>
    </row>
    <row r="578">
      <c r="A578" s="2" t="inlineStr">
        <is>
          <t>Veloria</t>
        </is>
      </c>
      <c r="B578" s="2" t="inlineStr">
        <is>
          <t>Скатерти</t>
        </is>
      </c>
      <c r="C578" s="2">
        <v>727195905</v>
      </c>
      <c r="D578" s="2" t="inlineStr">
        <is>
          <t>434130</t>
        </is>
      </c>
      <c r="E578" s="2" t="inlineStr">
        <is>
          <t>2048060785855</t>
        </is>
      </c>
      <c r="F578" s="2">
        <v>0</v>
      </c>
      <c r="G578" s="2">
        <v>0</v>
      </c>
      <c r="H578" s="2">
        <v>1</v>
      </c>
      <c r="I578" s="2" t="inlineStr">
        <is>
          <t>4616</t>
        </is>
      </c>
      <c r="J578" s="4"/>
      <c r="K578" s="2">
        <v>65</v>
      </c>
      <c r="L578" s="6"/>
      <c r="M578" s="2" t="str">
        <f>IF(J578="",ROUND(I578*(1-IF(ISBLANK(L578),K578,L578)/100),2),ROUND(J578*(1-IF(ISBLANK(L578),K578,L578)/100),2))</f>
      </c>
      <c r="N578" s="7" t="str">
        <f>IF(NOT(AND(J578="",L578="")),IF(OR(AND(L578&lt;&gt;"",NOT(ISNUMBER(L578))),IFERROR(MOD(L578,1),1)&gt;0,AND(ISNUMBER(L578),OR(L578&lt;0,L578&gt;95))),"Введите целое число от 0 до 95",IF(OR(AND(J578&lt;&gt;"",NOT(ISNUMBER(J578))),IFERROR(MOD(J578,1),1)&gt;0,AND(ISNUMBER(J578),OR(J578&lt;50,J578&gt;20000000))),"Введите целое число от 50 до 20000000",IF(NOT(ABS(IFERROR(VALUE(LEFT(M578,FIND("-",M578)-1)),M578)*100-(2500+2000000000)/2)&lt;=ABS(2500-2000000000)/2),"Цена со скидкой должна быть от 25 до 20000000",IF(AND(IFERROR(VALUE(LEFT(M578,FIND("-",M578)-1)),M578)*150&lt;=161560,IFERROR(VALUE(LEFT(M578,FIND("-",M578)-1)),M578)*200&gt;161560),"Вы уменьшили цену в несколько раз, товар попадет в карантин цен",IF(IFERROR(VALUE(LEFT(M578,FIND("-",M578)-1)),M578)*200&lt;=161560,"Не сохранили изменения, чтобы защитить от ошибки — новые цены меньше текущих более чем в 2 раза. Снижайте их постепенно",IF(AND(IFERROR(VALUE(I578),0)=0,ISNUMBER(J578),OR(J578&lt;385,ABS(IFERROR(VALUE(LEFT(M578,FIND("-",M578)-1)),M578))*100&lt;38500)),"Проверьте цену товара. Большинство товаров в выбранной категории стоят дороже 385","")))))),"")</f>
      </c>
    </row>
    <row r="579">
      <c r="A579" s="2" t="inlineStr">
        <is>
          <t/>
        </is>
      </c>
      <c r="B579" s="2" t="inlineStr">
        <is>
          <t>Скатерти</t>
        </is>
      </c>
      <c r="C579" s="2">
        <v>619525828</v>
      </c>
      <c r="D579" s="2" t="inlineStr">
        <is>
          <t>435080</t>
        </is>
      </c>
      <c r="E579" s="2" t="inlineStr">
        <is>
          <t>2047325447477</t>
        </is>
      </c>
      <c r="F579" s="2">
        <v>0</v>
      </c>
      <c r="G579" s="2">
        <v>1</v>
      </c>
      <c r="H579" s="2" t="inlineStr">
        <is>
          <t/>
        </is>
      </c>
      <c r="I579" s="2" t="inlineStr">
        <is>
          <t>9787</t>
        </is>
      </c>
      <c r="J579" s="4"/>
      <c r="K579" s="2">
        <v>78</v>
      </c>
      <c r="L579" s="6"/>
      <c r="M579" s="2" t="str">
        <f>IF(J579="",ROUND(I579*(1-IF(ISBLANK(L579),K579,L579)/100),2),ROUND(J579*(1-IF(ISBLANK(L579),K579,L579)/100),2))</f>
      </c>
      <c r="N579" s="7" t="str">
        <f>IF(NOT(AND(J579="",L579="")),IF(OR(AND(L579&lt;&gt;"",NOT(ISNUMBER(L579))),IFERROR(MOD(L579,1),1)&gt;0,AND(ISNUMBER(L579),OR(L579&lt;0,L579&gt;95))),"Введите целое число от 0 до 95",IF(OR(AND(J579&lt;&gt;"",NOT(ISNUMBER(J579))),IFERROR(MOD(J579,1),1)&gt;0,AND(ISNUMBER(J579),OR(J579&lt;50,J579&gt;20000000))),"Введите целое число от 50 до 20000000",IF(NOT(ABS(IFERROR(VALUE(LEFT(M579,FIND("-",M579)-1)),M579)*100-(2500+2000000000)/2)&lt;=ABS(2500-2000000000)/2),"Цена со скидкой должна быть от 25 до 20000000",IF(AND(IFERROR(VALUE(LEFT(M579,FIND("-",M579)-1)),M579)*150&lt;=215314,IFERROR(VALUE(LEFT(M579,FIND("-",M579)-1)),M579)*200&gt;215314),"Вы уменьшили цену в несколько раз, товар попадет в карантин цен",IF(IFERROR(VALUE(LEFT(M579,FIND("-",M579)-1)),M579)*200&lt;=215314,"Не сохранили изменения, чтобы защитить от ошибки — новые цены меньше текущих более чем в 2 раза. Снижайте их постепенно",IF(AND(IFERROR(VALUE(I579),0)=0,ISNUMBER(J579),OR(J579&lt;385,ABS(IFERROR(VALUE(LEFT(M579,FIND("-",M579)-1)),M579))*100&lt;38500)),"Проверьте цену товара. Большинство товаров в выбранной категории стоят дороже 385","")))))),"")</f>
      </c>
    </row>
    <row r="580">
      <c r="A580" s="2" t="inlineStr">
        <is>
          <t>Veloria</t>
        </is>
      </c>
      <c r="B580" s="2" t="inlineStr">
        <is>
          <t>Скатерти</t>
        </is>
      </c>
      <c r="C580" s="2">
        <v>727195889</v>
      </c>
      <c r="D580" s="2" t="inlineStr">
        <is>
          <t>42725</t>
        </is>
      </c>
      <c r="E580" s="2" t="inlineStr">
        <is>
          <t>2048060785633</t>
        </is>
      </c>
      <c r="F580" s="2">
        <v>0</v>
      </c>
      <c r="G580" s="2">
        <v>13</v>
      </c>
      <c r="H580" s="2" t="inlineStr">
        <is>
          <t/>
        </is>
      </c>
      <c r="I580" s="2" t="inlineStr">
        <is>
          <t>4214</t>
        </is>
      </c>
      <c r="J580" s="4"/>
      <c r="K580" s="2">
        <v>78</v>
      </c>
      <c r="L580" s="6"/>
      <c r="M580" s="2" t="str">
        <f>IF(J580="",ROUND(I580*(1-IF(ISBLANK(L580),K580,L580)/100),2),ROUND(J580*(1-IF(ISBLANK(L580),K580,L580)/100),2))</f>
      </c>
      <c r="N580" s="7" t="str">
        <f>IF(NOT(AND(J580="",L580="")),IF(OR(AND(L580&lt;&gt;"",NOT(ISNUMBER(L580))),IFERROR(MOD(L580,1),1)&gt;0,AND(ISNUMBER(L580),OR(L580&lt;0,L580&gt;95))),"Введите целое число от 0 до 95",IF(OR(AND(J580&lt;&gt;"",NOT(ISNUMBER(J580))),IFERROR(MOD(J580,1),1)&gt;0,AND(ISNUMBER(J580),OR(J580&lt;50,J580&gt;20000000))),"Введите целое число от 50 до 20000000",IF(NOT(ABS(IFERROR(VALUE(LEFT(M580,FIND("-",M580)-1)),M580)*100-(2500+2000000000)/2)&lt;=ABS(2500-2000000000)/2),"Цена со скидкой должна быть от 25 до 20000000",IF(AND(IFERROR(VALUE(LEFT(M580,FIND("-",M580)-1)),M580)*150&lt;=92708,IFERROR(VALUE(LEFT(M580,FIND("-",M580)-1)),M580)*200&gt;92708),"Вы уменьшили цену в несколько раз, товар попадет в карантин цен",IF(IFERROR(VALUE(LEFT(M580,FIND("-",M580)-1)),M580)*200&lt;=92708,"Не сохранили изменения, чтобы защитить от ошибки — новые цены меньше текущих более чем в 2 раза. Снижайте их постепенно",IF(AND(IFERROR(VALUE(I580),0)=0,ISNUMBER(J580),OR(J580&lt;385,ABS(IFERROR(VALUE(LEFT(M580,FIND("-",M580)-1)),M580))*100&lt;38500)),"Проверьте цену товара. Большинство товаров в выбранной категории стоят дороже 385","")))))),"")</f>
      </c>
    </row>
    <row r="581">
      <c r="A581" s="2" t="inlineStr">
        <is>
          <t>Veloria</t>
        </is>
      </c>
      <c r="B581" s="2" t="inlineStr">
        <is>
          <t>Скатерти</t>
        </is>
      </c>
      <c r="C581" s="2">
        <v>727195056</v>
      </c>
      <c r="D581" s="2" t="inlineStr">
        <is>
          <t>435356</t>
        </is>
      </c>
      <c r="E581" s="2" t="inlineStr">
        <is>
          <t>2048060775962</t>
        </is>
      </c>
      <c r="F581" s="2">
        <v>0</v>
      </c>
      <c r="G581" s="2">
        <v>12</v>
      </c>
      <c r="H581" s="2" t="inlineStr">
        <is>
          <t/>
        </is>
      </c>
      <c r="I581" s="2" t="inlineStr">
        <is>
          <t>7006</t>
        </is>
      </c>
      <c r="J581" s="4"/>
      <c r="K581" s="2">
        <v>78</v>
      </c>
      <c r="L581" s="6"/>
      <c r="M581" s="2" t="str">
        <f>IF(J581="",ROUND(I581*(1-IF(ISBLANK(L581),K581,L581)/100),2),ROUND(J581*(1-IF(ISBLANK(L581),K581,L581)/100),2))</f>
      </c>
      <c r="N581" s="7" t="str">
        <f>IF(NOT(AND(J581="",L581="")),IF(OR(AND(L581&lt;&gt;"",NOT(ISNUMBER(L581))),IFERROR(MOD(L581,1),1)&gt;0,AND(ISNUMBER(L581),OR(L581&lt;0,L581&gt;95))),"Введите целое число от 0 до 95",IF(OR(AND(J581&lt;&gt;"",NOT(ISNUMBER(J581))),IFERROR(MOD(J581,1),1)&gt;0,AND(ISNUMBER(J581),OR(J581&lt;50,J581&gt;20000000))),"Введите целое число от 50 до 20000000",IF(NOT(ABS(IFERROR(VALUE(LEFT(M581,FIND("-",M581)-1)),M581)*100-(2500+2000000000)/2)&lt;=ABS(2500-2000000000)/2),"Цена со скидкой должна быть от 25 до 20000000",IF(AND(IFERROR(VALUE(LEFT(M581,FIND("-",M581)-1)),M581)*150&lt;=154131,IFERROR(VALUE(LEFT(M581,FIND("-",M581)-1)),M581)*200&gt;154131),"Вы уменьшили цену в несколько раз, товар попадет в карантин цен",IF(IFERROR(VALUE(LEFT(M581,FIND("-",M581)-1)),M581)*200&lt;=154131,"Не сохранили изменения, чтобы защитить от ошибки — новые цены меньше текущих более чем в 2 раза. Снижайте их постепенно",IF(AND(IFERROR(VALUE(I581),0)=0,ISNUMBER(J581),OR(J581&lt;385,ABS(IFERROR(VALUE(LEFT(M581,FIND("-",M581)-1)),M581))*100&lt;38500)),"Проверьте цену товара. Большинство товаров в выбранной категории стоят дороже 385","")))))),"")</f>
      </c>
    </row>
    <row r="582">
      <c r="A582" s="2" t="inlineStr">
        <is>
          <t/>
        </is>
      </c>
      <c r="B582" s="2" t="inlineStr">
        <is>
          <t>Скатерти</t>
        </is>
      </c>
      <c r="C582" s="2">
        <v>619525813</v>
      </c>
      <c r="D582" s="2" t="inlineStr">
        <is>
          <t>434197</t>
        </is>
      </c>
      <c r="E582" s="2" t="inlineStr">
        <is>
          <t>2047325447040</t>
        </is>
      </c>
      <c r="F582" s="2">
        <v>0</v>
      </c>
      <c r="G582" s="2">
        <v>0</v>
      </c>
      <c r="H582" s="2" t="inlineStr">
        <is>
          <t/>
        </is>
      </c>
      <c r="I582" s="2" t="inlineStr">
        <is>
          <t>7592</t>
        </is>
      </c>
      <c r="J582" s="4"/>
      <c r="K582" s="2">
        <v>69</v>
      </c>
      <c r="L582" s="6"/>
      <c r="M582" s="2" t="str">
        <f>IF(J582="",ROUND(I582*(1-IF(ISBLANK(L582),K582,L582)/100),2),ROUND(J582*(1-IF(ISBLANK(L582),K582,L582)/100),2))</f>
      </c>
      <c r="N582" s="7" t="str">
        <f>IF(NOT(AND(J582="",L582="")),IF(OR(AND(L582&lt;&gt;"",NOT(ISNUMBER(L582))),IFERROR(MOD(L582,1),1)&gt;0,AND(ISNUMBER(L582),OR(L582&lt;0,L582&gt;95))),"Введите целое число от 0 до 95",IF(OR(AND(J582&lt;&gt;"",NOT(ISNUMBER(J582))),IFERROR(MOD(J582,1),1)&gt;0,AND(ISNUMBER(J582),OR(J582&lt;50,J582&gt;20000000))),"Введите целое число от 50 до 20000000",IF(NOT(ABS(IFERROR(VALUE(LEFT(M582,FIND("-",M582)-1)),M582)*100-(2500+2000000000)/2)&lt;=ABS(2500-2000000000)/2),"Цена со скидкой должна быть от 25 до 20000000",IF(AND(IFERROR(VALUE(LEFT(M582,FIND("-",M582)-1)),M582)*150&lt;=235352,IFERROR(VALUE(LEFT(M582,FIND("-",M582)-1)),M582)*200&gt;235352),"Вы уменьшили цену в несколько раз, товар попадет в карантин цен",IF(IFERROR(VALUE(LEFT(M582,FIND("-",M582)-1)),M582)*200&lt;=235352,"Не сохранили изменения, чтобы защитить от ошибки — новые цены меньше текущих более чем в 2 раза. Снижайте их постепенно",IF(AND(IFERROR(VALUE(I582),0)=0,ISNUMBER(J582),OR(J582&lt;385,ABS(IFERROR(VALUE(LEFT(M582,FIND("-",M582)-1)),M582))*100&lt;38500)),"Проверьте цену товара. Большинство товаров в выбранной категории стоят дороже 385","")))))),"")</f>
      </c>
    </row>
    <row r="583">
      <c r="A583" s="2" t="inlineStr">
        <is>
          <t/>
        </is>
      </c>
      <c r="B583" s="2" t="inlineStr">
        <is>
          <t>Разделочные доски</t>
        </is>
      </c>
      <c r="C583" s="2">
        <v>310927589</v>
      </c>
      <c r="D583" s="2" t="inlineStr">
        <is>
          <t>455983</t>
        </is>
      </c>
      <c r="E583" s="2" t="inlineStr">
        <is>
          <t>4680093963718</t>
        </is>
      </c>
      <c r="F583" s="2">
        <v>26</v>
      </c>
      <c r="G583" s="2">
        <v>392</v>
      </c>
      <c r="H583" s="2">
        <v>232</v>
      </c>
      <c r="I583" s="2" t="inlineStr">
        <is>
          <t>2699</t>
        </is>
      </c>
      <c r="J583" s="4"/>
      <c r="K583" s="2">
        <v>77</v>
      </c>
      <c r="L583" s="6"/>
      <c r="M583" s="2" t="str">
        <f>IF(J583="",ROUND(I583*(1-IF(ISBLANK(L583),K583,L583)/100),2),ROUND(J583*(1-IF(ISBLANK(L583),K583,L583)/100),2))</f>
      </c>
      <c r="N583" s="7" t="str">
        <f>IF(NOT(AND(J583="",L583="")),IF(OR(AND(L583&lt;&gt;"",NOT(ISNUMBER(L583))),IFERROR(MOD(L583,1),1)&gt;0,AND(ISNUMBER(L583),OR(L583&lt;0,L583&gt;95))),"Введите целое число от 0 до 95",IF(OR(AND(J583&lt;&gt;"",NOT(ISNUMBER(J583))),IFERROR(MOD(J583,1),1)&gt;0,AND(ISNUMBER(J583),OR(J583&lt;50,J583&gt;20000000))),"Введите целое число от 50 до 20000000",IF(NOT(ABS(IFERROR(VALUE(LEFT(M583,FIND("-",M583)-1)),M583)*100-(2500+2000000000)/2)&lt;=ABS(2500-2000000000)/2),"Цена со скидкой должна быть от 25 до 20000000",IF(AND(IFERROR(VALUE(LEFT(M583,FIND("-",M583)-1)),M583)*150&lt;=62077,IFERROR(VALUE(LEFT(M583,FIND("-",M583)-1)),M583)*200&gt;62077),"Вы уменьшили цену в несколько раз, товар попадет в карантин цен",IF(IFERROR(VALUE(LEFT(M583,FIND("-",M583)-1)),M583)*200&lt;=62077,"Не сохранили изменения, чтобы защитить от ошибки — новые цены меньше текущих более чем в 2 раза. Снижайте их постепенно",IF(AND(IFERROR(VALUE(I583),0)=0,ISNUMBER(J583),OR(J583&lt;341,ABS(IFERROR(VALUE(LEFT(M583,FIND("-",M583)-1)),M583))*100&lt;34100)),"Проверьте цену товара. Большинство товаров в выбранной категории стоят дороже 341","")))))),"")</f>
      </c>
    </row>
    <row r="584">
      <c r="A584" s="2" t="inlineStr">
        <is>
          <t/>
        </is>
      </c>
      <c r="B584" s="2" t="inlineStr">
        <is>
          <t>Скатерти</t>
        </is>
      </c>
      <c r="C584" s="2">
        <v>619525811</v>
      </c>
      <c r="D584" s="2" t="inlineStr">
        <is>
          <t>432016</t>
        </is>
      </c>
      <c r="E584" s="2" t="inlineStr">
        <is>
          <t>2047325446951</t>
        </is>
      </c>
      <c r="F584" s="2">
        <v>0</v>
      </c>
      <c r="G584" s="2">
        <v>0</v>
      </c>
      <c r="H584" s="2" t="inlineStr">
        <is>
          <t/>
        </is>
      </c>
      <c r="I584" s="2" t="inlineStr">
        <is>
          <t>7498</t>
        </is>
      </c>
      <c r="J584" s="4"/>
      <c r="K584" s="2">
        <v>78</v>
      </c>
      <c r="L584" s="6"/>
      <c r="M584" s="2" t="str">
        <f>IF(J584="",ROUND(I584*(1-IF(ISBLANK(L584),K584,L584)/100),2),ROUND(J584*(1-IF(ISBLANK(L584),K584,L584)/100),2))</f>
      </c>
      <c r="N584" s="7" t="str">
        <f>IF(NOT(AND(J584="",L584="")),IF(OR(AND(L584&lt;&gt;"",NOT(ISNUMBER(L584))),IFERROR(MOD(L584,1),1)&gt;0,AND(ISNUMBER(L584),OR(L584&lt;0,L584&gt;95))),"Введите целое число от 0 до 95",IF(OR(AND(J584&lt;&gt;"",NOT(ISNUMBER(J584))),IFERROR(MOD(J584,1),1)&gt;0,AND(ISNUMBER(J584),OR(J584&lt;50,J584&gt;20000000))),"Введите целое число от 50 до 20000000",IF(NOT(ABS(IFERROR(VALUE(LEFT(M584,FIND("-",M584)-1)),M584)*100-(2500+2000000000)/2)&lt;=ABS(2500-2000000000)/2),"Цена со скидкой должна быть от 25 до 20000000",IF(AND(IFERROR(VALUE(LEFT(M584,FIND("-",M584)-1)),M584)*150&lt;=164955,IFERROR(VALUE(LEFT(M584,FIND("-",M584)-1)),M584)*200&gt;164955),"Вы уменьшили цену в несколько раз, товар попадет в карантин цен",IF(IFERROR(VALUE(LEFT(M584,FIND("-",M584)-1)),M584)*200&lt;=164955,"Не сохранили изменения, чтобы защитить от ошибки — новые цены меньше текущих более чем в 2 раза. Снижайте их постепенно",IF(AND(IFERROR(VALUE(I584),0)=0,ISNUMBER(J584),OR(J584&lt;385,ABS(IFERROR(VALUE(LEFT(M584,FIND("-",M584)-1)),M584))*100&lt;38500)),"Проверьте цену товара. Большинство товаров в выбранной категории стоят дороже 385","")))))),"")</f>
      </c>
    </row>
    <row r="585">
      <c r="A585" s="2" t="inlineStr">
        <is>
          <t>Veloria</t>
        </is>
      </c>
      <c r="B585" s="2" t="inlineStr">
        <is>
          <t>Скатерти</t>
        </is>
      </c>
      <c r="C585" s="2">
        <v>727195882</v>
      </c>
      <c r="D585" s="2" t="inlineStr">
        <is>
          <t>84862</t>
        </is>
      </c>
      <c r="E585" s="2" t="inlineStr">
        <is>
          <t>2414433060179</t>
        </is>
      </c>
      <c r="F585" s="2">
        <v>3</v>
      </c>
      <c r="G585" s="2">
        <v>0</v>
      </c>
      <c r="H585" s="2">
        <v>999</v>
      </c>
      <c r="I585" s="2" t="inlineStr">
        <is>
          <t>4420</t>
        </is>
      </c>
      <c r="J585" s="4"/>
      <c r="K585" s="2">
        <v>80</v>
      </c>
      <c r="L585" s="6"/>
      <c r="M585" s="2" t="str">
        <f>IF(J585="",ROUND(I585*(1-IF(ISBLANK(L585),K585,L585)/100),2),ROUND(J585*(1-IF(ISBLANK(L585),K585,L585)/100),2))</f>
      </c>
      <c r="N585" s="7" t="str">
        <f>IF(NOT(AND(J585="",L585="")),IF(OR(AND(L585&lt;&gt;"",NOT(ISNUMBER(L585))),IFERROR(MOD(L585,1),1)&gt;0,AND(ISNUMBER(L585),OR(L585&lt;0,L585&gt;95))),"Введите целое число от 0 до 95",IF(OR(AND(J585&lt;&gt;"",NOT(ISNUMBER(J585))),IFERROR(MOD(J585,1),1)&gt;0,AND(ISNUMBER(J585),OR(J585&lt;50,J585&gt;20000000))),"Введите целое число от 50 до 20000000",IF(NOT(ABS(IFERROR(VALUE(LEFT(M585,FIND("-",M585)-1)),M585)*100-(2500+2000000000)/2)&lt;=ABS(2500-2000000000)/2),"Цена со скидкой должна быть от 25 до 20000000",IF(AND(IFERROR(VALUE(LEFT(M585,FIND("-",M585)-1)),M585)*150&lt;=88399,IFERROR(VALUE(LEFT(M585,FIND("-",M585)-1)),M585)*200&gt;88399),"Вы уменьшили цену в несколько раз, товар попадет в карантин цен",IF(IFERROR(VALUE(LEFT(M585,FIND("-",M585)-1)),M585)*200&lt;=88399,"Не сохранили изменения, чтобы защитить от ошибки — новые цены меньше текущих более чем в 2 раза. Снижайте их постепенно",IF(AND(IFERROR(VALUE(I585),0)=0,ISNUMBER(J585),OR(J585&lt;385,ABS(IFERROR(VALUE(LEFT(M585,FIND("-",M585)-1)),M585))*100&lt;38500)),"Проверьте цену товара. Большинство товаров в выбранной категории стоят дороже 385","")))))),"")</f>
      </c>
    </row>
    <row r="586">
      <c r="A586" s="2" t="inlineStr">
        <is>
          <t/>
        </is>
      </c>
      <c r="B586" s="2" t="inlineStr">
        <is>
          <t>Скатерти</t>
        </is>
      </c>
      <c r="C586" s="2">
        <v>619525830</v>
      </c>
      <c r="D586" s="2" t="inlineStr">
        <is>
          <t>432002</t>
        </is>
      </c>
      <c r="E586" s="2" t="inlineStr">
        <is>
          <t>2047325447521</t>
        </is>
      </c>
      <c r="F586" s="2">
        <v>0</v>
      </c>
      <c r="G586" s="2">
        <v>0</v>
      </c>
      <c r="H586" s="2" t="inlineStr">
        <is>
          <t/>
        </is>
      </c>
      <c r="I586" s="2" t="inlineStr">
        <is>
          <t>8353</t>
        </is>
      </c>
      <c r="J586" s="4"/>
      <c r="K586" s="2">
        <v>77</v>
      </c>
      <c r="L586" s="6"/>
      <c r="M586" s="2" t="str">
        <f>IF(J586="",ROUND(I586*(1-IF(ISBLANK(L586),K586,L586)/100),2),ROUND(J586*(1-IF(ISBLANK(L586),K586,L586)/100),2))</f>
      </c>
      <c r="N586" s="7" t="str">
        <f>IF(NOT(AND(J586="",L586="")),IF(OR(AND(L586&lt;&gt;"",NOT(ISNUMBER(L586))),IFERROR(MOD(L586,1),1)&gt;0,AND(ISNUMBER(L586),OR(L586&lt;0,L586&gt;95))),"Введите целое число от 0 до 95",IF(OR(AND(J586&lt;&gt;"",NOT(ISNUMBER(J586))),IFERROR(MOD(J586,1),1)&gt;0,AND(ISNUMBER(J586),OR(J586&lt;50,J586&gt;20000000))),"Введите целое число от 50 до 20000000",IF(NOT(ABS(IFERROR(VALUE(LEFT(M586,FIND("-",M586)-1)),M586)*100-(2500+2000000000)/2)&lt;=ABS(2500-2000000000)/2),"Цена со скидкой должна быть от 25 до 20000000",IF(AND(IFERROR(VALUE(LEFT(M586,FIND("-",M586)-1)),M586)*150&lt;=192118,IFERROR(VALUE(LEFT(M586,FIND("-",M586)-1)),M586)*200&gt;192118),"Вы уменьшили цену в несколько раз, товар попадет в карантин цен",IF(IFERROR(VALUE(LEFT(M586,FIND("-",M586)-1)),M586)*200&lt;=192118,"Не сохранили изменения, чтобы защитить от ошибки — новые цены меньше текущих более чем в 2 раза. Снижайте их постепенно",IF(AND(IFERROR(VALUE(I586),0)=0,ISNUMBER(J586),OR(J586&lt;385,ABS(IFERROR(VALUE(LEFT(M586,FIND("-",M586)-1)),M586))*100&lt;38500)),"Проверьте цену товара. Большинство товаров в выбранной категории стоят дороже 385","")))))),"")</f>
      </c>
    </row>
    <row r="587">
      <c r="A587" s="2" t="inlineStr">
        <is>
          <t/>
        </is>
      </c>
      <c r="B587" s="2" t="inlineStr">
        <is>
          <t>Скатерти</t>
        </is>
      </c>
      <c r="C587" s="2">
        <v>619525834</v>
      </c>
      <c r="D587" s="2" t="inlineStr">
        <is>
          <t>431346</t>
        </is>
      </c>
      <c r="E587" s="2" t="inlineStr">
        <is>
          <t>2047325447613</t>
        </is>
      </c>
      <c r="F587" s="2">
        <v>0</v>
      </c>
      <c r="G587" s="2">
        <v>0</v>
      </c>
      <c r="H587" s="2" t="inlineStr">
        <is>
          <t/>
        </is>
      </c>
      <c r="I587" s="2" t="inlineStr">
        <is>
          <t>0</t>
        </is>
      </c>
      <c r="J587" s="4"/>
      <c r="K587" s="2">
        <v>0</v>
      </c>
      <c r="L587" s="6"/>
      <c r="M587" s="2" t="str">
        <f>IF(J587="",ROUND(I587*(1-IF(ISBLANK(L587),K587,L587)/100),2),ROUND(J587*(1-IF(ISBLANK(L587),K587,L587)/100),2))</f>
      </c>
      <c r="N587" s="7" t="str">
        <f>IF(NOT(AND(J587="",L587="")),IF(OR(AND(L587&lt;&gt;"",NOT(ISNUMBER(L587))),IFERROR(MOD(L587,1),1)&gt;0,AND(ISNUMBER(L587),OR(L587&lt;0,L587&gt;95))),"Введите целое число от 0 до 95",IF(OR(AND(J587&lt;&gt;"",NOT(ISNUMBER(J587))),IFERROR(MOD(J587,1),1)&gt;0,AND(ISNUMBER(J587),OR(J587&lt;50,J587&gt;20000000))),"Введите целое число от 50 до 20000000",IF(NOT(ABS(IFERROR(VALUE(LEFT(M587,FIND("-",M587)-1)),M587)*100-(2500+2000000000)/2)&lt;=ABS(2500-2000000000)/2),"Цена со скидкой должна быть от 25 до 20000000",IF(AND(IFERROR(VALUE(LEFT(M587,FIND("-",M587)-1)),M587)*150&lt;=0,IFERROR(VALUE(LEFT(M587,FIND("-",M587)-1)),M587)*200&gt;0),"Вы уменьшили цену в несколько раз, товар попадет в карантин цен",IF(IFERROR(VALUE(LEFT(M587,FIND("-",M587)-1)),M587)*200&lt;=0,"Не сохранили изменения, чтобы защитить от ошибки — новые цены меньше текущих более чем в 2 раза. Снижайте их постепенно",IF(AND(IFERROR(VALUE(I587),0)=0,ISNUMBER(J587),OR(J587&lt;385,ABS(IFERROR(VALUE(LEFT(M587,FIND("-",M587)-1)),M587))*100&lt;38500)),"Проверьте цену товара. Большинство товаров в выбранной категории стоят дороже 385","")))))),"")</f>
      </c>
    </row>
    <row r="588">
      <c r="A588" s="2" t="inlineStr">
        <is>
          <t>Veloria</t>
        </is>
      </c>
      <c r="B588" s="2" t="inlineStr">
        <is>
          <t>Скатерти</t>
        </is>
      </c>
      <c r="C588" s="2">
        <v>727195901</v>
      </c>
      <c r="D588" s="2" t="inlineStr">
        <is>
          <t>434802</t>
        </is>
      </c>
      <c r="E588" s="2" t="inlineStr">
        <is>
          <t>2048060785800</t>
        </is>
      </c>
      <c r="F588" s="2">
        <v>0</v>
      </c>
      <c r="G588" s="2">
        <v>0</v>
      </c>
      <c r="H588" s="2" t="inlineStr">
        <is>
          <t/>
        </is>
      </c>
      <c r="I588" s="2" t="inlineStr">
        <is>
          <t>6412</t>
        </is>
      </c>
      <c r="J588" s="4"/>
      <c r="K588" s="2">
        <v>78</v>
      </c>
      <c r="L588" s="6"/>
      <c r="M588" s="2" t="str">
        <f>IF(J588="",ROUND(I588*(1-IF(ISBLANK(L588),K588,L588)/100),2),ROUND(J588*(1-IF(ISBLANK(L588),K588,L588)/100),2))</f>
      </c>
      <c r="N588" s="7" t="str">
        <f>IF(NOT(AND(J588="",L588="")),IF(OR(AND(L588&lt;&gt;"",NOT(ISNUMBER(L588))),IFERROR(MOD(L588,1),1)&gt;0,AND(ISNUMBER(L588),OR(L588&lt;0,L588&gt;95))),"Введите целое число от 0 до 95",IF(OR(AND(J588&lt;&gt;"",NOT(ISNUMBER(J588))),IFERROR(MOD(J588,1),1)&gt;0,AND(ISNUMBER(J588),OR(J588&lt;50,J588&gt;20000000))),"Введите целое число от 50 до 20000000",IF(NOT(ABS(IFERROR(VALUE(LEFT(M588,FIND("-",M588)-1)),M588)*100-(2500+2000000000)/2)&lt;=ABS(2500-2000000000)/2),"Цена со скидкой должна быть от 25 до 20000000",IF(AND(IFERROR(VALUE(LEFT(M588,FIND("-",M588)-1)),M588)*150&lt;=141064,IFERROR(VALUE(LEFT(M588,FIND("-",M588)-1)),M588)*200&gt;141064),"Вы уменьшили цену в несколько раз, товар попадет в карантин цен",IF(IFERROR(VALUE(LEFT(M588,FIND("-",M588)-1)),M588)*200&lt;=141064,"Не сохранили изменения, чтобы защитить от ошибки — новые цены меньше текущих более чем в 2 раза. Снижайте их постепенно",IF(AND(IFERROR(VALUE(I588),0)=0,ISNUMBER(J588),OR(J588&lt;385,ABS(IFERROR(VALUE(LEFT(M588,FIND("-",M588)-1)),M588))*100&lt;38500)),"Проверьте цену товара. Большинство товаров в выбранной категории стоят дороже 385","")))))),"")</f>
      </c>
    </row>
    <row r="589">
      <c r="A589" s="2" t="inlineStr">
        <is>
          <t/>
        </is>
      </c>
      <c r="B589" s="2" t="inlineStr">
        <is>
          <t>Скатерти</t>
        </is>
      </c>
      <c r="C589" s="2">
        <v>619525829</v>
      </c>
      <c r="D589" s="2" t="inlineStr">
        <is>
          <t>42102</t>
        </is>
      </c>
      <c r="E589" s="2" t="inlineStr">
        <is>
          <t>2047325447484</t>
        </is>
      </c>
      <c r="F589" s="2">
        <v>0</v>
      </c>
      <c r="G589" s="2">
        <v>0</v>
      </c>
      <c r="H589" s="2" t="inlineStr">
        <is>
          <t/>
        </is>
      </c>
      <c r="I589" s="2" t="inlineStr">
        <is>
          <t>8144</t>
        </is>
      </c>
      <c r="J589" s="4"/>
      <c r="K589" s="2">
        <v>78</v>
      </c>
      <c r="L589" s="6"/>
      <c r="M589" s="2" t="str">
        <f>IF(J589="",ROUND(I589*(1-IF(ISBLANK(L589),K589,L589)/100),2),ROUND(J589*(1-IF(ISBLANK(L589),K589,L589)/100),2))</f>
      </c>
      <c r="N589" s="7" t="str">
        <f>IF(NOT(AND(J589="",L589="")),IF(OR(AND(L589&lt;&gt;"",NOT(ISNUMBER(L589))),IFERROR(MOD(L589,1),1)&gt;0,AND(ISNUMBER(L589),OR(L589&lt;0,L589&gt;95))),"Введите целое число от 0 до 95",IF(OR(AND(J589&lt;&gt;"",NOT(ISNUMBER(J589))),IFERROR(MOD(J589,1),1)&gt;0,AND(ISNUMBER(J589),OR(J589&lt;50,J589&gt;20000000))),"Введите целое число от 50 до 20000000",IF(NOT(ABS(IFERROR(VALUE(LEFT(M589,FIND("-",M589)-1)),M589)*100-(2500+2000000000)/2)&lt;=ABS(2500-2000000000)/2),"Цена со скидкой должна быть от 25 до 20000000",IF(AND(IFERROR(VALUE(LEFT(M589,FIND("-",M589)-1)),M589)*150&lt;=179167,IFERROR(VALUE(LEFT(M589,FIND("-",M589)-1)),M589)*200&gt;179167),"Вы уменьшили цену в несколько раз, товар попадет в карантин цен",IF(IFERROR(VALUE(LEFT(M589,FIND("-",M589)-1)),M589)*200&lt;=179167,"Не сохранили изменения, чтобы защитить от ошибки — новые цены меньше текущих более чем в 2 раза. Снижайте их постепенно",IF(AND(IFERROR(VALUE(I589),0)=0,ISNUMBER(J589),OR(J589&lt;385,ABS(IFERROR(VALUE(LEFT(M589,FIND("-",M589)-1)),M589))*100&lt;38500)),"Проверьте цену товара. Большинство товаров в выбранной категории стоят дороже 385","")))))),"")</f>
      </c>
    </row>
    <row r="590">
      <c r="A590" s="2" t="inlineStr">
        <is>
          <t>Veloria</t>
        </is>
      </c>
      <c r="B590" s="2" t="inlineStr">
        <is>
          <t>Скатерти</t>
        </is>
      </c>
      <c r="C590" s="2">
        <v>727195060</v>
      </c>
      <c r="D590" s="2" t="inlineStr">
        <is>
          <t>434203</t>
        </is>
      </c>
      <c r="E590" s="2" t="inlineStr">
        <is>
          <t>2048060776020</t>
        </is>
      </c>
      <c r="F590" s="2">
        <v>0</v>
      </c>
      <c r="G590" s="2">
        <v>42</v>
      </c>
      <c r="H590" s="2" t="inlineStr">
        <is>
          <t/>
        </is>
      </c>
      <c r="I590" s="2" t="inlineStr">
        <is>
          <t>6377</t>
        </is>
      </c>
      <c r="J590" s="4"/>
      <c r="K590" s="2">
        <v>78</v>
      </c>
      <c r="L590" s="6"/>
      <c r="M590" s="2" t="str">
        <f>IF(J590="",ROUND(I590*(1-IF(ISBLANK(L590),K590,L590)/100),2),ROUND(J590*(1-IF(ISBLANK(L590),K590,L590)/100),2))</f>
      </c>
      <c r="N590" s="7" t="str">
        <f>IF(NOT(AND(J590="",L590="")),IF(OR(AND(L590&lt;&gt;"",NOT(ISNUMBER(L590))),IFERROR(MOD(L590,1),1)&gt;0,AND(ISNUMBER(L590),OR(L590&lt;0,L590&gt;95))),"Введите целое число от 0 до 95",IF(OR(AND(J590&lt;&gt;"",NOT(ISNUMBER(J590))),IFERROR(MOD(J590,1),1)&gt;0,AND(ISNUMBER(J590),OR(J590&lt;50,J590&gt;20000000))),"Введите целое число от 50 до 20000000",IF(NOT(ABS(IFERROR(VALUE(LEFT(M590,FIND("-",M590)-1)),M590)*100-(2500+2000000000)/2)&lt;=ABS(2500-2000000000)/2),"Цена со скидкой должна быть от 25 до 20000000",IF(AND(IFERROR(VALUE(LEFT(M590,FIND("-",M590)-1)),M590)*150&lt;=140293,IFERROR(VALUE(LEFT(M590,FIND("-",M590)-1)),M590)*200&gt;140293),"Вы уменьшили цену в несколько раз, товар попадет в карантин цен",IF(IFERROR(VALUE(LEFT(M590,FIND("-",M590)-1)),M590)*200&lt;=140293,"Не сохранили изменения, чтобы защитить от ошибки — новые цены меньше текущих более чем в 2 раза. Снижайте их постепенно",IF(AND(IFERROR(VALUE(I590),0)=0,ISNUMBER(J590),OR(J590&lt;385,ABS(IFERROR(VALUE(LEFT(M590,FIND("-",M590)-1)),M590))*100&lt;38500)),"Проверьте цену товара. Большинство товаров в выбранной категории стоят дороже 385","")))))),"")</f>
      </c>
    </row>
    <row r="591">
      <c r="A591" s="2" t="inlineStr">
        <is>
          <t>Veloria</t>
        </is>
      </c>
      <c r="B591" s="2" t="inlineStr">
        <is>
          <t>Скатерти</t>
        </is>
      </c>
      <c r="C591" s="2">
        <v>727195895</v>
      </c>
      <c r="D591" s="2" t="inlineStr">
        <is>
          <t>420321</t>
        </is>
      </c>
      <c r="E591" s="2" t="inlineStr">
        <is>
          <t>2048060785718</t>
        </is>
      </c>
      <c r="F591" s="2" t="inlineStr">
        <is>
          <t/>
        </is>
      </c>
      <c r="G591" s="2" t="inlineStr">
        <is>
          <t/>
        </is>
      </c>
      <c r="H591" s="2" t="inlineStr">
        <is>
          <t/>
        </is>
      </c>
      <c r="I591" s="2" t="inlineStr">
        <is>
          <t>11337</t>
        </is>
      </c>
      <c r="J591" s="4"/>
      <c r="K591" s="2">
        <v>65</v>
      </c>
      <c r="L591" s="6"/>
      <c r="M591" s="2" t="str">
        <f>IF(J591="",ROUND(I591*(1-IF(ISBLANK(L591),K591,L591)/100),2),ROUND(J591*(1-IF(ISBLANK(L591),K591,L591)/100),2))</f>
      </c>
      <c r="N591" s="7" t="str">
        <f>IF(NOT(AND(J591="",L591="")),IF(OR(AND(L591&lt;&gt;"",NOT(ISNUMBER(L591))),IFERROR(MOD(L591,1),1)&gt;0,AND(ISNUMBER(L591),OR(L591&lt;0,L591&gt;95))),"Введите целое число от 0 до 95",IF(OR(AND(J591&lt;&gt;"",NOT(ISNUMBER(J591))),IFERROR(MOD(J591,1),1)&gt;0,AND(ISNUMBER(J591),OR(J591&lt;50,J591&gt;20000000))),"Введите целое число от 50 до 20000000",IF(NOT(ABS(IFERROR(VALUE(LEFT(M591,FIND("-",M591)-1)),M591)*100-(2500+2000000000)/2)&lt;=ABS(2500-2000000000)/2),"Цена со скидкой должна быть от 25 до 20000000",IF(AND(IFERROR(VALUE(LEFT(M591,FIND("-",M591)-1)),M591)*150&lt;=396795,IFERROR(VALUE(LEFT(M591,FIND("-",M591)-1)),M591)*200&gt;396795),"Вы уменьшили цену в несколько раз, товар попадет в карантин цен",IF(IFERROR(VALUE(LEFT(M591,FIND("-",M591)-1)),M591)*200&lt;=396795,"Не сохранили изменения, чтобы защитить от ошибки — новые цены меньше текущих более чем в 2 раза. Снижайте их постепенно",IF(AND(IFERROR(VALUE(I591),0)=0,ISNUMBER(J591),OR(J591&lt;385,ABS(IFERROR(VALUE(LEFT(M591,FIND("-",M591)-1)),M591))*100&lt;38500)),"Проверьте цену товара. Большинство товаров в выбранной категории стоят дороже 385","")))))),"")</f>
      </c>
    </row>
    <row r="592">
      <c r="A592" s="2" t="inlineStr">
        <is>
          <t/>
        </is>
      </c>
      <c r="B592" s="2" t="inlineStr">
        <is>
          <t>Скатерти</t>
        </is>
      </c>
      <c r="C592" s="2">
        <v>619525814</v>
      </c>
      <c r="D592" s="2" t="inlineStr">
        <is>
          <t>433274</t>
        </is>
      </c>
      <c r="E592" s="2" t="inlineStr">
        <is>
          <t>2047325447071</t>
        </is>
      </c>
      <c r="F592" s="2">
        <v>0</v>
      </c>
      <c r="G592" s="2">
        <v>3</v>
      </c>
      <c r="H592" s="2" t="inlineStr">
        <is>
          <t/>
        </is>
      </c>
      <c r="I592" s="2" t="inlineStr">
        <is>
          <t>7827</t>
        </is>
      </c>
      <c r="J592" s="4"/>
      <c r="K592" s="2">
        <v>78</v>
      </c>
      <c r="L592" s="6"/>
      <c r="M592" s="2" t="str">
        <f>IF(J592="",ROUND(I592*(1-IF(ISBLANK(L592),K592,L592)/100),2),ROUND(J592*(1-IF(ISBLANK(L592),K592,L592)/100),2))</f>
      </c>
      <c r="N592" s="7" t="str">
        <f>IF(NOT(AND(J592="",L592="")),IF(OR(AND(L592&lt;&gt;"",NOT(ISNUMBER(L592))),IFERROR(MOD(L592,1),1)&gt;0,AND(ISNUMBER(L592),OR(L592&lt;0,L592&gt;95))),"Введите целое число от 0 до 95",IF(OR(AND(J592&lt;&gt;"",NOT(ISNUMBER(J592))),IFERROR(MOD(J592,1),1)&gt;0,AND(ISNUMBER(J592),OR(J592&lt;50,J592&gt;20000000))),"Введите целое число от 50 до 20000000",IF(NOT(ABS(IFERROR(VALUE(LEFT(M592,FIND("-",M592)-1)),M592)*100-(2500+2000000000)/2)&lt;=ABS(2500-2000000000)/2),"Цена со скидкой должна быть от 25 до 20000000",IF(AND(IFERROR(VALUE(LEFT(M592,FIND("-",M592)-1)),M592)*150&lt;=172193,IFERROR(VALUE(LEFT(M592,FIND("-",M592)-1)),M592)*200&gt;172193),"Вы уменьшили цену в несколько раз, товар попадет в карантин цен",IF(IFERROR(VALUE(LEFT(M592,FIND("-",M592)-1)),M592)*200&lt;=172193,"Не сохранили изменения, чтобы защитить от ошибки — новые цены меньше текущих более чем в 2 раза. Снижайте их постепенно",IF(AND(IFERROR(VALUE(I592),0)=0,ISNUMBER(J592),OR(J592&lt;385,ABS(IFERROR(VALUE(LEFT(M592,FIND("-",M592)-1)),M592))*100&lt;38500)),"Проверьте цену товара. Большинство товаров в выбранной категории стоят дороже 385","")))))),"")</f>
      </c>
    </row>
    <row r="593">
      <c r="A593" s="2" t="inlineStr">
        <is>
          <t/>
        </is>
      </c>
      <c r="B593" s="2" t="inlineStr">
        <is>
          <t>Скатерти</t>
        </is>
      </c>
      <c r="C593" s="2">
        <v>619525832</v>
      </c>
      <c r="D593" s="2" t="inlineStr">
        <is>
          <t>434803</t>
        </is>
      </c>
      <c r="E593" s="2" t="inlineStr">
        <is>
          <t>2047325447576</t>
        </is>
      </c>
      <c r="F593" s="2">
        <v>0</v>
      </c>
      <c r="G593" s="2">
        <v>0</v>
      </c>
      <c r="H593" s="2" t="inlineStr">
        <is>
          <t/>
        </is>
      </c>
      <c r="I593" s="2" t="inlineStr">
        <is>
          <t>6304</t>
        </is>
      </c>
      <c r="J593" s="4"/>
      <c r="K593" s="2">
        <v>78</v>
      </c>
      <c r="L593" s="6"/>
      <c r="M593" s="2" t="str">
        <f>IF(J593="",ROUND(I593*(1-IF(ISBLANK(L593),K593,L593)/100),2),ROUND(J593*(1-IF(ISBLANK(L593),K593,L593)/100),2))</f>
      </c>
      <c r="N593" s="7" t="str">
        <f>IF(NOT(AND(J593="",L593="")),IF(OR(AND(L593&lt;&gt;"",NOT(ISNUMBER(L593))),IFERROR(MOD(L593,1),1)&gt;0,AND(ISNUMBER(L593),OR(L593&lt;0,L593&gt;95))),"Введите целое число от 0 до 95",IF(OR(AND(J593&lt;&gt;"",NOT(ISNUMBER(J593))),IFERROR(MOD(J593,1),1)&gt;0,AND(ISNUMBER(J593),OR(J593&lt;50,J593&gt;20000000))),"Введите целое число от 50 до 20000000",IF(NOT(ABS(IFERROR(VALUE(LEFT(M593,FIND("-",M593)-1)),M593)*100-(2500+2000000000)/2)&lt;=ABS(2500-2000000000)/2),"Цена со скидкой должна быть от 25 до 20000000",IF(AND(IFERROR(VALUE(LEFT(M593,FIND("-",M593)-1)),M593)*150&lt;=138688,IFERROR(VALUE(LEFT(M593,FIND("-",M593)-1)),M593)*200&gt;138688),"Вы уменьшили цену в несколько раз, товар попадет в карантин цен",IF(IFERROR(VALUE(LEFT(M593,FIND("-",M593)-1)),M593)*200&lt;=138688,"Не сохранили изменения, чтобы защитить от ошибки — новые цены меньше текущих более чем в 2 раза. Снижайте их постепенно",IF(AND(IFERROR(VALUE(I593),0)=0,ISNUMBER(J593),OR(J593&lt;385,ABS(IFERROR(VALUE(LEFT(M593,FIND("-",M593)-1)),M593))*100&lt;38500)),"Проверьте цену товара. Большинство товаров в выбранной категории стоят дороже 385","")))))),"")</f>
      </c>
    </row>
    <row r="594">
      <c r="A594" s="2" t="inlineStr">
        <is>
          <t>Veloria</t>
        </is>
      </c>
      <c r="B594" s="2" t="inlineStr">
        <is>
          <t>Скатерти</t>
        </is>
      </c>
      <c r="C594" s="2">
        <v>727195886</v>
      </c>
      <c r="D594" s="2" t="inlineStr">
        <is>
          <t>456180</t>
        </is>
      </c>
      <c r="E594" s="2" t="inlineStr">
        <is>
          <t>2048060785602</t>
        </is>
      </c>
      <c r="F594" s="2" t="inlineStr">
        <is>
          <t/>
        </is>
      </c>
      <c r="G594" s="2" t="inlineStr">
        <is>
          <t/>
        </is>
      </c>
      <c r="H594" s="2" t="inlineStr">
        <is>
          <t/>
        </is>
      </c>
      <c r="I594" s="2" t="inlineStr">
        <is>
          <t>5894</t>
        </is>
      </c>
      <c r="J594" s="4"/>
      <c r="K594" s="2">
        <v>65</v>
      </c>
      <c r="L594" s="6"/>
      <c r="M594" s="2" t="str">
        <f>IF(J594="",ROUND(I594*(1-IF(ISBLANK(L594),K594,L594)/100),2),ROUND(J594*(1-IF(ISBLANK(L594),K594,L594)/100),2))</f>
      </c>
      <c r="N594" s="7" t="str">
        <f>IF(NOT(AND(J594="",L594="")),IF(OR(AND(L594&lt;&gt;"",NOT(ISNUMBER(L594))),IFERROR(MOD(L594,1),1)&gt;0,AND(ISNUMBER(L594),OR(L594&lt;0,L594&gt;95))),"Введите целое число от 0 до 95",IF(OR(AND(J594&lt;&gt;"",NOT(ISNUMBER(J594))),IFERROR(MOD(J594,1),1)&gt;0,AND(ISNUMBER(J594),OR(J594&lt;50,J594&gt;20000000))),"Введите целое число от 50 до 20000000",IF(NOT(ABS(IFERROR(VALUE(LEFT(M594,FIND("-",M594)-1)),M594)*100-(2500+2000000000)/2)&lt;=ABS(2500-2000000000)/2),"Цена со скидкой должна быть от 25 до 20000000",IF(AND(IFERROR(VALUE(LEFT(M594,FIND("-",M594)-1)),M594)*150&lt;=206290,IFERROR(VALUE(LEFT(M594,FIND("-",M594)-1)),M594)*200&gt;206290),"Вы уменьшили цену в несколько раз, товар попадет в карантин цен",IF(IFERROR(VALUE(LEFT(M594,FIND("-",M594)-1)),M594)*200&lt;=206290,"Не сохранили изменения, чтобы защитить от ошибки — новые цены меньше текущих более чем в 2 раза. Снижайте их постепенно",IF(AND(IFERROR(VALUE(I594),0)=0,ISNUMBER(J594),OR(J594&lt;385,ABS(IFERROR(VALUE(LEFT(M594,FIND("-",M594)-1)),M594))*100&lt;38500)),"Проверьте цену товара. Большинство товаров в выбранной категории стоят дороже 385","")))))),"")</f>
      </c>
    </row>
    <row r="595">
      <c r="A595" s="2" t="inlineStr">
        <is>
          <t/>
        </is>
      </c>
      <c r="B595" s="2" t="inlineStr">
        <is>
          <t>Швабры</t>
        </is>
      </c>
      <c r="C595" s="2">
        <v>618348463</v>
      </c>
      <c r="D595" s="2" t="inlineStr">
        <is>
          <t>514222</t>
        </is>
      </c>
      <c r="E595" s="2" t="inlineStr">
        <is>
          <t>2047308101525</t>
        </is>
      </c>
      <c r="F595" s="2">
        <v>0</v>
      </c>
      <c r="G595" s="2">
        <v>28</v>
      </c>
      <c r="H595" s="2" t="inlineStr">
        <is>
          <t/>
        </is>
      </c>
      <c r="I595" s="2" t="inlineStr">
        <is>
          <t>19439</t>
        </is>
      </c>
      <c r="J595" s="4"/>
      <c r="K595" s="2">
        <v>69</v>
      </c>
      <c r="L595" s="6"/>
      <c r="M595" s="2" t="str">
        <f>IF(J595="",ROUND(I595*(1-IF(ISBLANK(L595),K595,L595)/100),2),ROUND(J595*(1-IF(ISBLANK(L595),K595,L595)/100),2))</f>
      </c>
      <c r="N595" s="7" t="str">
        <f>IF(NOT(AND(J595="",L595="")),IF(OR(AND(L595&lt;&gt;"",NOT(ISNUMBER(L595))),IFERROR(MOD(L595,1),1)&gt;0,AND(ISNUMBER(L595),OR(L595&lt;0,L595&gt;95))),"Введите целое число от 0 до 95",IF(OR(AND(J595&lt;&gt;"",NOT(ISNUMBER(J595))),IFERROR(MOD(J595,1),1)&gt;0,AND(ISNUMBER(J595),OR(J595&lt;50,J595&gt;20000000))),"Введите целое число от 50 до 20000000",IF(NOT(ABS(IFERROR(VALUE(LEFT(M595,FIND("-",M595)-1)),M595)*100-(2500+2000000000)/2)&lt;=ABS(2500-2000000000)/2),"Цена со скидкой должна быть от 25 до 20000000",IF(AND(IFERROR(VALUE(LEFT(M595,FIND("-",M595)-1)),M595)*150&lt;=602609,IFERROR(VALUE(LEFT(M595,FIND("-",M595)-1)),M595)*200&gt;602609),"Вы уменьшили цену в несколько раз, товар попадет в карантин цен",IF(IFERROR(VALUE(LEFT(M595,FIND("-",M595)-1)),M595)*200&lt;=602609,"Не сохранили изменения, чтобы защитить от ошибки — новые цены меньше текущих более чем в 2 раза. Снижайте их постепенно",IF(AND(IFERROR(VALUE(I595),0)=0,ISNUMBER(J595),OR(J595&lt;448,ABS(IFERROR(VALUE(LEFT(M595,FIND("-",M595)-1)),M595))*100&lt;44800)),"Проверьте цену товара. Большинство товаров в выбранной категории стоят дороже 448","")))))),"")</f>
      </c>
    </row>
    <row r="596">
      <c r="A596" s="2" t="inlineStr">
        <is>
          <t/>
        </is>
      </c>
      <c r="B596" s="2" t="inlineStr">
        <is>
          <t>Швабры</t>
        </is>
      </c>
      <c r="C596" s="2">
        <v>618348450</v>
      </c>
      <c r="D596" s="2" t="inlineStr">
        <is>
          <t>401384</t>
        </is>
      </c>
      <c r="E596" s="2" t="inlineStr">
        <is>
          <t>2047308101310</t>
        </is>
      </c>
      <c r="F596" s="2">
        <v>17</v>
      </c>
      <c r="G596" s="2">
        <v>9</v>
      </c>
      <c r="H596" s="2">
        <v>537</v>
      </c>
      <c r="I596" s="2" t="inlineStr">
        <is>
          <t>7232</t>
        </is>
      </c>
      <c r="J596" s="4"/>
      <c r="K596" s="2">
        <v>80</v>
      </c>
      <c r="L596" s="6"/>
      <c r="M596" s="2" t="str">
        <f>IF(J596="",ROUND(I596*(1-IF(ISBLANK(L596),K596,L596)/100),2),ROUND(J596*(1-IF(ISBLANK(L596),K596,L596)/100),2))</f>
      </c>
      <c r="N596" s="7" t="str">
        <f>IF(NOT(AND(J596="",L596="")),IF(OR(AND(L596&lt;&gt;"",NOT(ISNUMBER(L596))),IFERROR(MOD(L596,1),1)&gt;0,AND(ISNUMBER(L596),OR(L596&lt;0,L596&gt;95))),"Введите целое число от 0 до 95",IF(OR(AND(J596&lt;&gt;"",NOT(ISNUMBER(J596))),IFERROR(MOD(J596,1),1)&gt;0,AND(ISNUMBER(J596),OR(J596&lt;50,J596&gt;20000000))),"Введите целое число от 50 до 20000000",IF(NOT(ABS(IFERROR(VALUE(LEFT(M596,FIND("-",M596)-1)),M596)*100-(2500+2000000000)/2)&lt;=ABS(2500-2000000000)/2),"Цена со скидкой должна быть от 25 до 20000000",IF(AND(IFERROR(VALUE(LEFT(M596,FIND("-",M596)-1)),M596)*150&lt;=144639,IFERROR(VALUE(LEFT(M596,FIND("-",M596)-1)),M596)*200&gt;144639),"Вы уменьшили цену в несколько раз, товар попадет в карантин цен",IF(IFERROR(VALUE(LEFT(M596,FIND("-",M596)-1)),M596)*200&lt;=144639,"Не сохранили изменения, чтобы защитить от ошибки — новые цены меньше текущих более чем в 2 раза. Снижайте их постепенно",IF(AND(IFERROR(VALUE(I596),0)=0,ISNUMBER(J596),OR(J596&lt;448,ABS(IFERROR(VALUE(LEFT(M596,FIND("-",M596)-1)),M596))*100&lt;44800)),"Проверьте цену товара. Большинство товаров в выбранной категории стоят дороже 448","")))))),"")</f>
      </c>
    </row>
    <row r="597">
      <c r="A597" s="2" t="inlineStr">
        <is>
          <t>Veloria</t>
        </is>
      </c>
      <c r="B597" s="2" t="inlineStr">
        <is>
          <t>Скатерти</t>
        </is>
      </c>
      <c r="C597" s="2">
        <v>727195892</v>
      </c>
      <c r="D597" s="2" t="inlineStr">
        <is>
          <t>42933</t>
        </is>
      </c>
      <c r="E597" s="2" t="inlineStr">
        <is>
          <t>2048060785664</t>
        </is>
      </c>
      <c r="F597" s="2">
        <v>1</v>
      </c>
      <c r="G597" s="2">
        <v>0</v>
      </c>
      <c r="H597" s="2">
        <v>999</v>
      </c>
      <c r="I597" s="2" t="inlineStr">
        <is>
          <t>4224</t>
        </is>
      </c>
      <c r="J597" s="4"/>
      <c r="K597" s="2">
        <v>81</v>
      </c>
      <c r="L597" s="6"/>
      <c r="M597" s="2" t="str">
        <f>IF(J597="",ROUND(I597*(1-IF(ISBLANK(L597),K597,L597)/100),2),ROUND(J597*(1-IF(ISBLANK(L597),K597,L597)/100),2))</f>
      </c>
      <c r="N597" s="7" t="str">
        <f>IF(NOT(AND(J597="",L597="")),IF(OR(AND(L597&lt;&gt;"",NOT(ISNUMBER(L597))),IFERROR(MOD(L597,1),1)&gt;0,AND(ISNUMBER(L597),OR(L597&lt;0,L597&gt;95))),"Введите целое число от 0 до 95",IF(OR(AND(J597&lt;&gt;"",NOT(ISNUMBER(J597))),IFERROR(MOD(J597,1),1)&gt;0,AND(ISNUMBER(J597),OR(J597&lt;50,J597&gt;20000000))),"Введите целое число от 50 до 20000000",IF(NOT(ABS(IFERROR(VALUE(LEFT(M597,FIND("-",M597)-1)),M597)*100-(2500+2000000000)/2)&lt;=ABS(2500-2000000000)/2),"Цена со скидкой должна быть от 25 до 20000000",IF(AND(IFERROR(VALUE(LEFT(M597,FIND("-",M597)-1)),M597)*150&lt;=80255,IFERROR(VALUE(LEFT(M597,FIND("-",M597)-1)),M597)*200&gt;80255),"Вы уменьшили цену в несколько раз, товар попадет в карантин цен",IF(IFERROR(VALUE(LEFT(M597,FIND("-",M597)-1)),M597)*200&lt;=80255,"Не сохранили изменения, чтобы защитить от ошибки — новые цены меньше текущих более чем в 2 раза. Снижайте их постепенно",IF(AND(IFERROR(VALUE(I597),0)=0,ISNUMBER(J597),OR(J597&lt;385,ABS(IFERROR(VALUE(LEFT(M597,FIND("-",M597)-1)),M597))*100&lt;38500)),"Проверьте цену товара. Большинство товаров в выбранной категории стоят дороже 385","")))))),"")</f>
      </c>
    </row>
    <row r="598">
      <c r="A598" s="2" t="inlineStr">
        <is>
          <t/>
        </is>
      </c>
      <c r="B598" s="2" t="inlineStr">
        <is>
          <t>Швабры</t>
        </is>
      </c>
      <c r="C598" s="2">
        <v>618348461</v>
      </c>
      <c r="D598" s="2" t="inlineStr">
        <is>
          <t>512718</t>
        </is>
      </c>
      <c r="E598" s="2" t="inlineStr">
        <is>
          <t>2047308101495</t>
        </is>
      </c>
      <c r="F598" s="2">
        <v>3</v>
      </c>
      <c r="G598" s="2">
        <v>0</v>
      </c>
      <c r="H598" s="2">
        <v>999</v>
      </c>
      <c r="I598" s="2" t="inlineStr">
        <is>
          <t>21364</t>
        </is>
      </c>
      <c r="J598" s="4"/>
      <c r="K598" s="2">
        <v>81</v>
      </c>
      <c r="L598" s="6"/>
      <c r="M598" s="2" t="str">
        <f>IF(J598="",ROUND(I598*(1-IF(ISBLANK(L598),K598,L598)/100),2),ROUND(J598*(1-IF(ISBLANK(L598),K598,L598)/100),2))</f>
      </c>
      <c r="N598" s="7" t="str">
        <f>IF(NOT(AND(J598="",L598="")),IF(OR(AND(L598&lt;&gt;"",NOT(ISNUMBER(L598))),IFERROR(MOD(L598,1),1)&gt;0,AND(ISNUMBER(L598),OR(L598&lt;0,L598&gt;95))),"Введите целое число от 0 до 95",IF(OR(AND(J598&lt;&gt;"",NOT(ISNUMBER(J598))),IFERROR(MOD(J598,1),1)&gt;0,AND(ISNUMBER(J598),OR(J598&lt;50,J598&gt;20000000))),"Введите целое число от 50 до 20000000",IF(NOT(ABS(IFERROR(VALUE(LEFT(M598,FIND("-",M598)-1)),M598)*100-(2500+2000000000)/2)&lt;=ABS(2500-2000000000)/2),"Цена со скидкой должна быть от 25 до 20000000",IF(AND(IFERROR(VALUE(LEFT(M598,FIND("-",M598)-1)),M598)*150&lt;=405915,IFERROR(VALUE(LEFT(M598,FIND("-",M598)-1)),M598)*200&gt;405915),"Вы уменьшили цену в несколько раз, товар попадет в карантин цен",IF(IFERROR(VALUE(LEFT(M598,FIND("-",M598)-1)),M598)*200&lt;=405915,"Не сохранили изменения, чтобы защитить от ошибки — новые цены меньше текущих более чем в 2 раза. Снижайте их постепенно",IF(AND(IFERROR(VALUE(I598),0)=0,ISNUMBER(J598),OR(J598&lt;448,ABS(IFERROR(VALUE(LEFT(M598,FIND("-",M598)-1)),M598))*100&lt;44800)),"Проверьте цену товара. Большинство товаров в выбранной категории стоят дороже 448","")))))),"")</f>
      </c>
    </row>
    <row r="599">
      <c r="A599" s="2" t="inlineStr">
        <is>
          <t/>
        </is>
      </c>
      <c r="B599" s="2" t="inlineStr">
        <is>
          <t>Швабры</t>
        </is>
      </c>
      <c r="C599" s="2">
        <v>618348451</v>
      </c>
      <c r="D599" s="2" t="inlineStr">
        <is>
          <t>513822</t>
        </is>
      </c>
      <c r="E599" s="2" t="inlineStr">
        <is>
          <t>2047308101389</t>
        </is>
      </c>
      <c r="F599" s="2">
        <v>0</v>
      </c>
      <c r="G599" s="2">
        <v>0</v>
      </c>
      <c r="H599" s="2" t="inlineStr">
        <is>
          <t/>
        </is>
      </c>
      <c r="I599" s="2" t="inlineStr">
        <is>
          <t>24735</t>
        </is>
      </c>
      <c r="J599" s="4"/>
      <c r="K599" s="2">
        <v>65</v>
      </c>
      <c r="L599" s="6"/>
      <c r="M599" s="2" t="str">
        <f>IF(J599="",ROUND(I599*(1-IF(ISBLANK(L599),K599,L599)/100),2),ROUND(J599*(1-IF(ISBLANK(L599),K599,L599)/100),2))</f>
      </c>
      <c r="N599" s="7" t="str">
        <f>IF(NOT(AND(J599="",L599="")),IF(OR(AND(L599&lt;&gt;"",NOT(ISNUMBER(L599))),IFERROR(MOD(L599,1),1)&gt;0,AND(ISNUMBER(L599),OR(L599&lt;0,L599&gt;95))),"Введите целое число от 0 до 95",IF(OR(AND(J599&lt;&gt;"",NOT(ISNUMBER(J599))),IFERROR(MOD(J599,1),1)&gt;0,AND(ISNUMBER(J599),OR(J599&lt;50,J599&gt;20000000))),"Введите целое число от 50 до 20000000",IF(NOT(ABS(IFERROR(VALUE(LEFT(M599,FIND("-",M599)-1)),M599)*100-(2500+2000000000)/2)&lt;=ABS(2500-2000000000)/2),"Цена со скидкой должна быть от 25 до 20000000",IF(AND(IFERROR(VALUE(LEFT(M599,FIND("-",M599)-1)),M599)*150&lt;=865725,IFERROR(VALUE(LEFT(M599,FIND("-",M599)-1)),M599)*200&gt;865725),"Вы уменьшили цену в несколько раз, товар попадет в карантин цен",IF(IFERROR(VALUE(LEFT(M599,FIND("-",M599)-1)),M599)*200&lt;=865725,"Не сохранили изменения, чтобы защитить от ошибки — новые цены меньше текущих более чем в 2 раза. Снижайте их постепенно",IF(AND(IFERROR(VALUE(I599),0)=0,ISNUMBER(J599),OR(J599&lt;448,ABS(IFERROR(VALUE(LEFT(M599,FIND("-",M599)-1)),M599))*100&lt;44800)),"Проверьте цену товара. Большинство товаров в выбранной категории стоят дороже 448","")))))),"")</f>
      </c>
    </row>
    <row r="600">
      <c r="A600" s="2" t="inlineStr">
        <is>
          <t/>
        </is>
      </c>
      <c r="B600" s="2" t="inlineStr">
        <is>
          <t>Елки искусственные</t>
        </is>
      </c>
      <c r="C600" s="2">
        <v>616129815</v>
      </c>
      <c r="D600" s="2" t="inlineStr">
        <is>
          <t>992701</t>
        </is>
      </c>
      <c r="E600" s="2" t="inlineStr">
        <is>
          <t>2047285467058</t>
        </is>
      </c>
      <c r="F600" s="2">
        <v>0</v>
      </c>
      <c r="G600" s="2">
        <v>19</v>
      </c>
      <c r="H600" s="2" t="inlineStr">
        <is>
          <t/>
        </is>
      </c>
      <c r="I600" s="2" t="inlineStr">
        <is>
          <t>10606</t>
        </is>
      </c>
      <c r="J600" s="4"/>
      <c r="K600" s="2">
        <v>78</v>
      </c>
      <c r="L600" s="6"/>
      <c r="M600" s="2" t="str">
        <f>IF(J600="",ROUND(I600*(1-IF(ISBLANK(L600),K600,L600)/100),2),ROUND(J600*(1-IF(ISBLANK(L600),K600,L600)/100),2))</f>
      </c>
      <c r="N600" s="7" t="str">
        <f>IF(NOT(AND(J600="",L600="")),IF(OR(AND(L600&lt;&gt;"",NOT(ISNUMBER(L600))),IFERROR(MOD(L600,1),1)&gt;0,AND(ISNUMBER(L600),OR(L600&lt;0,L600&gt;95))),"Введите целое число от 0 до 95",IF(OR(AND(J600&lt;&gt;"",NOT(ISNUMBER(J600))),IFERROR(MOD(J600,1),1)&gt;0,AND(ISNUMBER(J600),OR(J600&lt;50,J600&gt;20000000))),"Введите целое число от 50 до 20000000",IF(NOT(ABS(IFERROR(VALUE(LEFT(M600,FIND("-",M600)-1)),M600)*100-(2500+2000000000)/2)&lt;=ABS(2500-2000000000)/2),"Цена со скидкой должна быть от 25 до 20000000",IF(AND(IFERROR(VALUE(LEFT(M600,FIND("-",M600)-1)),M600)*150&lt;=233331,IFERROR(VALUE(LEFT(M600,FIND("-",M600)-1)),M600)*200&gt;233331),"Вы уменьшили цену в несколько раз, товар попадет в карантин цен",IF(IFERROR(VALUE(LEFT(M600,FIND("-",M600)-1)),M600)*200&lt;=233331,"Не сохранили изменения, чтобы защитить от ошибки — новые цены меньше текущих более чем в 2 раза. Снижайте их постепенно",IF(AND(IFERROR(VALUE(I600),0)=0,ISNUMBER(J600),OR(J600&lt;269,ABS(IFERROR(VALUE(LEFT(M600,FIND("-",M600)-1)),M600))*100&lt;26900)),"Проверьте цену товара. Большинство товаров в выбранной категории стоят дороже 269","")))))),"")</f>
      </c>
    </row>
    <row r="601">
      <c r="A601" s="2" t="inlineStr">
        <is>
          <t/>
        </is>
      </c>
      <c r="B601" s="2" t="inlineStr">
        <is>
          <t>Елки искусственные</t>
        </is>
      </c>
      <c r="C601" s="2">
        <v>616129818</v>
      </c>
      <c r="D601" s="2" t="inlineStr">
        <is>
          <t>992534</t>
        </is>
      </c>
      <c r="E601" s="2" t="inlineStr">
        <is>
          <t>2047285467102</t>
        </is>
      </c>
      <c r="F601" s="2">
        <v>1</v>
      </c>
      <c r="G601" s="2">
        <v>4</v>
      </c>
      <c r="H601" s="2">
        <v>999</v>
      </c>
      <c r="I601" s="2" t="inlineStr">
        <is>
          <t>9895</t>
        </is>
      </c>
      <c r="J601" s="4"/>
      <c r="K601" s="2">
        <v>87</v>
      </c>
      <c r="L601" s="6"/>
      <c r="M601" s="2" t="str">
        <f>IF(J601="",ROUND(I601*(1-IF(ISBLANK(L601),K601,L601)/100),2),ROUND(J601*(1-IF(ISBLANK(L601),K601,L601)/100),2))</f>
      </c>
      <c r="N601" s="7" t="str">
        <f>IF(NOT(AND(J601="",L601="")),IF(OR(AND(L601&lt;&gt;"",NOT(ISNUMBER(L601))),IFERROR(MOD(L601,1),1)&gt;0,AND(ISNUMBER(L601),OR(L601&lt;0,L601&gt;95))),"Введите целое число от 0 до 95",IF(OR(AND(J601&lt;&gt;"",NOT(ISNUMBER(J601))),IFERROR(MOD(J601,1),1)&gt;0,AND(ISNUMBER(J601),OR(J601&lt;50,J601&gt;20000000))),"Введите целое число от 50 до 20000000",IF(NOT(ABS(IFERROR(VALUE(LEFT(M601,FIND("-",M601)-1)),M601)*100-(2500+2000000000)/2)&lt;=ABS(2500-2000000000)/2),"Цена со скидкой должна быть от 25 до 20000000",IF(AND(IFERROR(VALUE(LEFT(M601,FIND("-",M601)-1)),M601)*150&lt;=128635,IFERROR(VALUE(LEFT(M601,FIND("-",M601)-1)),M601)*200&gt;128635),"Вы уменьшили цену в несколько раз, товар попадет в карантин цен",IF(IFERROR(VALUE(LEFT(M601,FIND("-",M601)-1)),M601)*200&lt;=128635,"Не сохранили изменения, чтобы защитить от ошибки — новые цены меньше текущих более чем в 2 раза. Снижайте их постепенно",IF(AND(IFERROR(VALUE(I601),0)=0,ISNUMBER(J601),OR(J601&lt;269,ABS(IFERROR(VALUE(LEFT(M601,FIND("-",M601)-1)),M601))*100&lt;26900)),"Проверьте цену товара. Большинство товаров в выбранной категории стоят дороже 269","")))))),"")</f>
      </c>
    </row>
    <row r="602">
      <c r="A602" s="2" t="inlineStr">
        <is>
          <t/>
        </is>
      </c>
      <c r="B602" s="2" t="inlineStr">
        <is>
          <t>Швабры</t>
        </is>
      </c>
      <c r="C602" s="2">
        <v>618348467</v>
      </c>
      <c r="D602" s="2" t="inlineStr">
        <is>
          <t>513835</t>
        </is>
      </c>
      <c r="E602" s="2" t="inlineStr">
        <is>
          <t>2047308101563</t>
        </is>
      </c>
      <c r="F602" s="2">
        <v>0</v>
      </c>
      <c r="G602" s="2">
        <v>0</v>
      </c>
      <c r="H602" s="2" t="inlineStr">
        <is>
          <t/>
        </is>
      </c>
      <c r="I602" s="2" t="inlineStr">
        <is>
          <t>10084</t>
        </is>
      </c>
      <c r="J602" s="4"/>
      <c r="K602" s="2">
        <v>78</v>
      </c>
      <c r="L602" s="6"/>
      <c r="M602" s="2" t="str">
        <f>IF(J602="",ROUND(I602*(1-IF(ISBLANK(L602),K602,L602)/100),2),ROUND(J602*(1-IF(ISBLANK(L602),K602,L602)/100),2))</f>
      </c>
      <c r="N602" s="7" t="str">
        <f>IF(NOT(AND(J602="",L602="")),IF(OR(AND(L602&lt;&gt;"",NOT(ISNUMBER(L602))),IFERROR(MOD(L602,1),1)&gt;0,AND(ISNUMBER(L602),OR(L602&lt;0,L602&gt;95))),"Введите целое число от 0 до 95",IF(OR(AND(J602&lt;&gt;"",NOT(ISNUMBER(J602))),IFERROR(MOD(J602,1),1)&gt;0,AND(ISNUMBER(J602),OR(J602&lt;50,J602&gt;20000000))),"Введите целое число от 50 до 20000000",IF(NOT(ABS(IFERROR(VALUE(LEFT(M602,FIND("-",M602)-1)),M602)*100-(2500+2000000000)/2)&lt;=ABS(2500-2000000000)/2),"Цена со скидкой должна быть от 25 до 20000000",IF(AND(IFERROR(VALUE(LEFT(M602,FIND("-",M602)-1)),M602)*150&lt;=221847,IFERROR(VALUE(LEFT(M602,FIND("-",M602)-1)),M602)*200&gt;221847),"Вы уменьшили цену в несколько раз, товар попадет в карантин цен",IF(IFERROR(VALUE(LEFT(M602,FIND("-",M602)-1)),M602)*200&lt;=221847,"Не сохранили изменения, чтобы защитить от ошибки — новые цены меньше текущих более чем в 2 раза. Снижайте их постепенно",IF(AND(IFERROR(VALUE(I602),0)=0,ISNUMBER(J602),OR(J602&lt;448,ABS(IFERROR(VALUE(LEFT(M602,FIND("-",M602)-1)),M602))*100&lt;44800)),"Проверьте цену товара. Большинство товаров в выбранной категории стоят дороже 448","")))))),"")</f>
      </c>
    </row>
    <row r="603">
      <c r="A603" s="2" t="inlineStr">
        <is>
          <t/>
        </is>
      </c>
      <c r="B603" s="2" t="inlineStr">
        <is>
          <t>Елки искусственные</t>
        </is>
      </c>
      <c r="C603" s="2">
        <v>616129820</v>
      </c>
      <c r="D603" s="2" t="inlineStr">
        <is>
          <t>992684</t>
        </is>
      </c>
      <c r="E603" s="2" t="inlineStr">
        <is>
          <t>2047285467133</t>
        </is>
      </c>
      <c r="F603" s="2">
        <v>0</v>
      </c>
      <c r="G603" s="2">
        <v>10</v>
      </c>
      <c r="H603" s="2" t="inlineStr">
        <is>
          <t/>
        </is>
      </c>
      <c r="I603" s="2" t="inlineStr">
        <is>
          <t>25695</t>
        </is>
      </c>
      <c r="J603" s="4"/>
      <c r="K603" s="2">
        <v>78</v>
      </c>
      <c r="L603" s="6"/>
      <c r="M603" s="2" t="str">
        <f>IF(J603="",ROUND(I603*(1-IF(ISBLANK(L603),K603,L603)/100),2),ROUND(J603*(1-IF(ISBLANK(L603),K603,L603)/100),2))</f>
      </c>
      <c r="N603" s="7" t="str">
        <f>IF(NOT(AND(J603="",L603="")),IF(OR(AND(L603&lt;&gt;"",NOT(ISNUMBER(L603))),IFERROR(MOD(L603,1),1)&gt;0,AND(ISNUMBER(L603),OR(L603&lt;0,L603&gt;95))),"Введите целое число от 0 до 95",IF(OR(AND(J603&lt;&gt;"",NOT(ISNUMBER(J603))),IFERROR(MOD(J603,1),1)&gt;0,AND(ISNUMBER(J603),OR(J603&lt;50,J603&gt;20000000))),"Введите целое число от 50 до 20000000",IF(NOT(ABS(IFERROR(VALUE(LEFT(M603,FIND("-",M603)-1)),M603)*100-(2500+2000000000)/2)&lt;=ABS(2500-2000000000)/2),"Цена со скидкой должна быть от 25 до 20000000",IF(AND(IFERROR(VALUE(LEFT(M603,FIND("-",M603)-1)),M603)*150&lt;=565290,IFERROR(VALUE(LEFT(M603,FIND("-",M603)-1)),M603)*200&gt;565290),"Вы уменьшили цену в несколько раз, товар попадет в карантин цен",IF(IFERROR(VALUE(LEFT(M603,FIND("-",M603)-1)),M603)*200&lt;=565290,"Не сохранили изменения, чтобы защитить от ошибки — новые цены меньше текущих более чем в 2 раза. Снижайте их постепенно",IF(AND(IFERROR(VALUE(I603),0)=0,ISNUMBER(J603),OR(J603&lt;269,ABS(IFERROR(VALUE(LEFT(M603,FIND("-",M603)-1)),M603))*100&lt;26900)),"Проверьте цену товара. Большинство товаров в выбранной категории стоят дороже 269","")))))),"")</f>
      </c>
    </row>
    <row r="604">
      <c r="A604" s="2" t="inlineStr">
        <is>
          <t/>
        </is>
      </c>
      <c r="B604" s="2" t="inlineStr">
        <is>
          <t>Елки искусственные</t>
        </is>
      </c>
      <c r="C604" s="2">
        <v>616129812</v>
      </c>
      <c r="D604" s="2" t="inlineStr">
        <is>
          <t>991787</t>
        </is>
      </c>
      <c r="E604" s="2" t="inlineStr">
        <is>
          <t>2047285467027</t>
        </is>
      </c>
      <c r="F604" s="2">
        <v>0</v>
      </c>
      <c r="G604" s="2">
        <v>20</v>
      </c>
      <c r="H604" s="2" t="inlineStr">
        <is>
          <t/>
        </is>
      </c>
      <c r="I604" s="2" t="inlineStr">
        <is>
          <t>4455</t>
        </is>
      </c>
      <c r="J604" s="4"/>
      <c r="K604" s="2">
        <v>78</v>
      </c>
      <c r="L604" s="6"/>
      <c r="M604" s="2" t="str">
        <f>IF(J604="",ROUND(I604*(1-IF(ISBLANK(L604),K604,L604)/100),2),ROUND(J604*(1-IF(ISBLANK(L604),K604,L604)/100),2))</f>
      </c>
      <c r="N604" s="7" t="str">
        <f>IF(NOT(AND(J604="",L604="")),IF(OR(AND(L604&lt;&gt;"",NOT(ISNUMBER(L604))),IFERROR(MOD(L604,1),1)&gt;0,AND(ISNUMBER(L604),OR(L604&lt;0,L604&gt;95))),"Введите целое число от 0 до 95",IF(OR(AND(J604&lt;&gt;"",NOT(ISNUMBER(J604))),IFERROR(MOD(J604,1),1)&gt;0,AND(ISNUMBER(J604),OR(J604&lt;50,J604&gt;20000000))),"Введите целое число от 50 до 20000000",IF(NOT(ABS(IFERROR(VALUE(LEFT(M604,FIND("-",M604)-1)),M604)*100-(2500+2000000000)/2)&lt;=ABS(2500-2000000000)/2),"Цена со скидкой должна быть от 25 до 20000000",IF(AND(IFERROR(VALUE(LEFT(M604,FIND("-",M604)-1)),M604)*150&lt;=98009,IFERROR(VALUE(LEFT(M604,FIND("-",M604)-1)),M604)*200&gt;98009),"Вы уменьшили цену в несколько раз, товар попадет в карантин цен",IF(IFERROR(VALUE(LEFT(M604,FIND("-",M604)-1)),M604)*200&lt;=98009,"Не сохранили изменения, чтобы защитить от ошибки — новые цены меньше текущих более чем в 2 раза. Снижайте их постепенно",IF(AND(IFERROR(VALUE(I604),0)=0,ISNUMBER(J604),OR(J604&lt;269,ABS(IFERROR(VALUE(LEFT(M604,FIND("-",M604)-1)),M604))*100&lt;26900)),"Проверьте цену товара. Большинство товаров в выбранной категории стоят дороже 269","")))))),"")</f>
      </c>
    </row>
    <row r="605">
      <c r="A605" s="2" t="inlineStr">
        <is>
          <t/>
        </is>
      </c>
      <c r="B605" s="2" t="inlineStr">
        <is>
          <t>Елки искусственные</t>
        </is>
      </c>
      <c r="C605" s="2">
        <v>616129813</v>
      </c>
      <c r="D605" s="2" t="inlineStr">
        <is>
          <t>992152</t>
        </is>
      </c>
      <c r="E605" s="2" t="inlineStr">
        <is>
          <t>2047285467034</t>
        </is>
      </c>
      <c r="F605" s="2">
        <v>0</v>
      </c>
      <c r="G605" s="2">
        <v>16</v>
      </c>
      <c r="H605" s="2" t="inlineStr">
        <is>
          <t/>
        </is>
      </c>
      <c r="I605" s="2" t="inlineStr">
        <is>
          <t>6447</t>
        </is>
      </c>
      <c r="J605" s="4"/>
      <c r="K605" s="2">
        <v>78</v>
      </c>
      <c r="L605" s="6"/>
      <c r="M605" s="2" t="str">
        <f>IF(J605="",ROUND(I605*(1-IF(ISBLANK(L605),K605,L605)/100),2),ROUND(J605*(1-IF(ISBLANK(L605),K605,L605)/100),2))</f>
      </c>
      <c r="N605" s="7" t="str">
        <f>IF(NOT(AND(J605="",L605="")),IF(OR(AND(L605&lt;&gt;"",NOT(ISNUMBER(L605))),IFERROR(MOD(L605,1),1)&gt;0,AND(ISNUMBER(L605),OR(L605&lt;0,L605&gt;95))),"Введите целое число от 0 до 95",IF(OR(AND(J605&lt;&gt;"",NOT(ISNUMBER(J605))),IFERROR(MOD(J605,1),1)&gt;0,AND(ISNUMBER(J605),OR(J605&lt;50,J605&gt;20000000))),"Введите целое число от 50 до 20000000",IF(NOT(ABS(IFERROR(VALUE(LEFT(M605,FIND("-",M605)-1)),M605)*100-(2500+2000000000)/2)&lt;=ABS(2500-2000000000)/2),"Цена со скидкой должна быть от 25 до 20000000",IF(AND(IFERROR(VALUE(LEFT(M605,FIND("-",M605)-1)),M605)*150&lt;=141834,IFERROR(VALUE(LEFT(M605,FIND("-",M605)-1)),M605)*200&gt;141834),"Вы уменьшили цену в несколько раз, товар попадет в карантин цен",IF(IFERROR(VALUE(LEFT(M605,FIND("-",M605)-1)),M605)*200&lt;=141834,"Не сохранили изменения, чтобы защитить от ошибки — новые цены меньше текущих более чем в 2 раза. Снижайте их постепенно",IF(AND(IFERROR(VALUE(I605),0)=0,ISNUMBER(J605),OR(J605&lt;269,ABS(IFERROR(VALUE(LEFT(M605,FIND("-",M605)-1)),M605))*100&lt;26900)),"Проверьте цену товара. Большинство товаров в выбранной категории стоят дороже 269","")))))),"")</f>
      </c>
    </row>
    <row r="606">
      <c r="A606" s="2" t="inlineStr">
        <is>
          <t/>
        </is>
      </c>
      <c r="B606" s="2" t="inlineStr">
        <is>
          <t>Шторы для ванной</t>
        </is>
      </c>
      <c r="C606" s="2">
        <v>619534041</v>
      </c>
      <c r="D606" s="2" t="inlineStr">
        <is>
          <t>420520</t>
        </is>
      </c>
      <c r="E606" s="2" t="inlineStr">
        <is>
          <t>2047325545166</t>
        </is>
      </c>
      <c r="F606" s="2">
        <v>0</v>
      </c>
      <c r="G606" s="2">
        <v>0</v>
      </c>
      <c r="H606" s="2" t="inlineStr">
        <is>
          <t/>
        </is>
      </c>
      <c r="I606" s="2" t="inlineStr">
        <is>
          <t>6064</t>
        </is>
      </c>
      <c r="J606" s="4"/>
      <c r="K606" s="2">
        <v>65</v>
      </c>
      <c r="L606" s="6"/>
      <c r="M606" s="2" t="str">
        <f>IF(J606="",ROUND(I606*(1-IF(ISBLANK(L606),K606,L606)/100),2),ROUND(J606*(1-IF(ISBLANK(L606),K606,L606)/100),2))</f>
      </c>
      <c r="N606" s="7" t="str">
        <f>IF(NOT(AND(J606="",L606="")),IF(OR(AND(L606&lt;&gt;"",NOT(ISNUMBER(L606))),IFERROR(MOD(L606,1),1)&gt;0,AND(ISNUMBER(L606),OR(L606&lt;0,L606&gt;95))),"Введите целое число от 0 до 95",IF(OR(AND(J606&lt;&gt;"",NOT(ISNUMBER(J606))),IFERROR(MOD(J606,1),1)&gt;0,AND(ISNUMBER(J606),OR(J606&lt;50,J606&gt;20000000))),"Введите целое число от 50 до 20000000",IF(NOT(ABS(IFERROR(VALUE(LEFT(M606,FIND("-",M606)-1)),M606)*100-(2500+2000000000)/2)&lt;=ABS(2500-2000000000)/2),"Цена со скидкой должна быть от 25 до 20000000",IF(AND(IFERROR(VALUE(LEFT(M606,FIND("-",M606)-1)),M606)*150&lt;=212240,IFERROR(VALUE(LEFT(M606,FIND("-",M606)-1)),M606)*200&gt;212240),"Вы уменьшили цену в несколько раз, товар попадет в карантин цен",IF(IFERROR(VALUE(LEFT(M606,FIND("-",M606)-1)),M606)*200&lt;=212240,"Не сохранили изменения, чтобы защитить от ошибки — новые цены меньше текущих более чем в 2 раза. Снижайте их постепенно",IF(AND(IFERROR(VALUE(I606),0)=0,ISNUMBER(J606),OR(J606&lt;491,ABS(IFERROR(VALUE(LEFT(M606,FIND("-",M606)-1)),M606))*100&lt;49100)),"Проверьте цену товара. Большинство товаров в выбранной категории стоят дороже 491","")))))),"")</f>
      </c>
    </row>
    <row r="607">
      <c r="A607" s="2" t="inlineStr">
        <is>
          <t/>
        </is>
      </c>
      <c r="B607" s="2" t="inlineStr">
        <is>
          <t>Елки искусственные</t>
        </is>
      </c>
      <c r="C607" s="2">
        <v>616129811</v>
      </c>
      <c r="D607" s="2" t="inlineStr">
        <is>
          <t>992531</t>
        </is>
      </c>
      <c r="E607" s="2" t="inlineStr">
        <is>
          <t>2047285467003</t>
        </is>
      </c>
      <c r="F607" s="2">
        <v>0</v>
      </c>
      <c r="G607" s="2">
        <v>14</v>
      </c>
      <c r="H607" s="2" t="inlineStr">
        <is>
          <t/>
        </is>
      </c>
      <c r="I607" s="2" t="inlineStr">
        <is>
          <t>4597</t>
        </is>
      </c>
      <c r="J607" s="4"/>
      <c r="K607" s="2">
        <v>78</v>
      </c>
      <c r="L607" s="6"/>
      <c r="M607" s="2" t="str">
        <f>IF(J607="",ROUND(I607*(1-IF(ISBLANK(L607),K607,L607)/100),2),ROUND(J607*(1-IF(ISBLANK(L607),K607,L607)/100),2))</f>
      </c>
      <c r="N607" s="7" t="str">
        <f>IF(NOT(AND(J607="",L607="")),IF(OR(AND(L607&lt;&gt;"",NOT(ISNUMBER(L607))),IFERROR(MOD(L607,1),1)&gt;0,AND(ISNUMBER(L607),OR(L607&lt;0,L607&gt;95))),"Введите целое число от 0 до 95",IF(OR(AND(J607&lt;&gt;"",NOT(ISNUMBER(J607))),IFERROR(MOD(J607,1),1)&gt;0,AND(ISNUMBER(J607),OR(J607&lt;50,J607&gt;20000000))),"Введите целое число от 50 до 20000000",IF(NOT(ABS(IFERROR(VALUE(LEFT(M607,FIND("-",M607)-1)),M607)*100-(2500+2000000000)/2)&lt;=ABS(2500-2000000000)/2),"Цена со скидкой должна быть от 25 до 20000000",IF(AND(IFERROR(VALUE(LEFT(M607,FIND("-",M607)-1)),M607)*150&lt;=101133,IFERROR(VALUE(LEFT(M607,FIND("-",M607)-1)),M607)*200&gt;101133),"Вы уменьшили цену в несколько раз, товар попадет в карантин цен",IF(IFERROR(VALUE(LEFT(M607,FIND("-",M607)-1)),M607)*200&lt;=101133,"Не сохранили изменения, чтобы защитить от ошибки — новые цены меньше текущих более чем в 2 раза. Снижайте их постепенно",IF(AND(IFERROR(VALUE(I607),0)=0,ISNUMBER(J607),OR(J607&lt;269,ABS(IFERROR(VALUE(LEFT(M607,FIND("-",M607)-1)),M607))*100&lt;26900)),"Проверьте цену товара. Большинство товаров в выбранной категории стоят дороже 269","")))))),"")</f>
      </c>
    </row>
    <row r="608">
      <c r="A608" s="2" t="inlineStr">
        <is>
          <t/>
        </is>
      </c>
      <c r="B608" s="2" t="inlineStr">
        <is>
          <t>Елки искусственные</t>
        </is>
      </c>
      <c r="C608" s="2">
        <v>616129819</v>
      </c>
      <c r="D608" s="2" t="inlineStr">
        <is>
          <t>992685</t>
        </is>
      </c>
      <c r="E608" s="2" t="inlineStr">
        <is>
          <t>2047285467119</t>
        </is>
      </c>
      <c r="F608" s="2">
        <v>0</v>
      </c>
      <c r="G608" s="2">
        <v>18</v>
      </c>
      <c r="H608" s="2" t="inlineStr">
        <is>
          <t/>
        </is>
      </c>
      <c r="I608" s="2" t="inlineStr">
        <is>
          <t>14785</t>
        </is>
      </c>
      <c r="J608" s="4"/>
      <c r="K608" s="2">
        <v>78</v>
      </c>
      <c r="L608" s="6"/>
      <c r="M608" s="2" t="str">
        <f>IF(J608="",ROUND(I608*(1-IF(ISBLANK(L608),K608,L608)/100),2),ROUND(J608*(1-IF(ISBLANK(L608),K608,L608)/100),2))</f>
      </c>
      <c r="N608" s="7" t="str">
        <f>IF(NOT(AND(J608="",L608="")),IF(OR(AND(L608&lt;&gt;"",NOT(ISNUMBER(L608))),IFERROR(MOD(L608,1),1)&gt;0,AND(ISNUMBER(L608),OR(L608&lt;0,L608&gt;95))),"Введите целое число от 0 до 95",IF(OR(AND(J608&lt;&gt;"",NOT(ISNUMBER(J608))),IFERROR(MOD(J608,1),1)&gt;0,AND(ISNUMBER(J608),OR(J608&lt;50,J608&gt;20000000))),"Введите целое число от 50 до 20000000",IF(NOT(ABS(IFERROR(VALUE(LEFT(M608,FIND("-",M608)-1)),M608)*100-(2500+2000000000)/2)&lt;=ABS(2500-2000000000)/2),"Цена со скидкой должна быть от 25 до 20000000",IF(AND(IFERROR(VALUE(LEFT(M608,FIND("-",M608)-1)),M608)*150&lt;=325270,IFERROR(VALUE(LEFT(M608,FIND("-",M608)-1)),M608)*200&gt;325270),"Вы уменьшили цену в несколько раз, товар попадет в карантин цен",IF(IFERROR(VALUE(LEFT(M608,FIND("-",M608)-1)),M608)*200&lt;=325270,"Не сохранили изменения, чтобы защитить от ошибки — новые цены меньше текущих более чем в 2 раза. Снижайте их постепенно",IF(AND(IFERROR(VALUE(I608),0)=0,ISNUMBER(J608),OR(J608&lt;269,ABS(IFERROR(VALUE(LEFT(M608,FIND("-",M608)-1)),M608))*100&lt;26900)),"Проверьте цену товара. Большинство товаров в выбранной категории стоят дороже 269","")))))),"")</f>
      </c>
    </row>
    <row r="609">
      <c r="A609" s="2" t="inlineStr">
        <is>
          <t/>
        </is>
      </c>
      <c r="B609" s="2" t="inlineStr">
        <is>
          <t>Ложки столовые</t>
        </is>
      </c>
      <c r="C609" s="2">
        <v>619262140</v>
      </c>
      <c r="D609" s="2" t="inlineStr">
        <is>
          <t>81814</t>
        </is>
      </c>
      <c r="E609" s="2" t="inlineStr">
        <is>
          <t>2047320891466</t>
        </is>
      </c>
      <c r="F609" s="2">
        <v>37</v>
      </c>
      <c r="G609" s="2">
        <v>0</v>
      </c>
      <c r="H609" s="2">
        <v>999</v>
      </c>
      <c r="I609" s="2" t="inlineStr">
        <is>
          <t>3040</t>
        </is>
      </c>
      <c r="J609" s="4"/>
      <c r="K609" s="2">
        <v>83</v>
      </c>
      <c r="L609" s="6"/>
      <c r="M609" s="2" t="str">
        <f>IF(J609="",ROUND(I609*(1-IF(ISBLANK(L609),K609,L609)/100),2),ROUND(J609*(1-IF(ISBLANK(L609),K609,L609)/100),2))</f>
      </c>
      <c r="N609" s="7" t="str">
        <f>IF(NOT(AND(J609="",L609="")),IF(OR(AND(L609&lt;&gt;"",NOT(ISNUMBER(L609))),IFERROR(MOD(L609,1),1)&gt;0,AND(ISNUMBER(L609),OR(L609&lt;0,L609&gt;95))),"Введите целое число от 0 до 95",IF(OR(AND(J609&lt;&gt;"",NOT(ISNUMBER(J609))),IFERROR(MOD(J609,1),1)&gt;0,AND(ISNUMBER(J609),OR(J609&lt;50,J609&gt;20000000))),"Введите целое число от 50 до 20000000",IF(NOT(ABS(IFERROR(VALUE(LEFT(M609,FIND("-",M609)-1)),M609)*100-(2500+2000000000)/2)&lt;=ABS(2500-2000000000)/2),"Цена со скидкой должна быть от 25 до 20000000",IF(AND(IFERROR(VALUE(LEFT(M609,FIND("-",M609)-1)),M609)*150&lt;=51680,IFERROR(VALUE(LEFT(M609,FIND("-",M609)-1)),M609)*200&gt;51680),"Вы уменьшили цену в несколько раз, товар попадет в карантин цен",IF(IFERROR(VALUE(LEFT(M609,FIND("-",M609)-1)),M609)*200&lt;=51680,"Не сохранили изменения, чтобы защитить от ошибки — новые цены меньше текущих более чем в 2 раза. Снижайте их постепенно",IF(AND(IFERROR(VALUE(I609),0)=0,ISNUMBER(J609),OR(J609&lt;306,ABS(IFERROR(VALUE(LEFT(M609,FIND("-",M609)-1)),M609))*100&lt;30600)),"Проверьте цену товара. Большинство товаров в выбранной категории стоят дороже 306","")))))),"")</f>
      </c>
    </row>
    <row r="610">
      <c r="A610" s="2" t="inlineStr">
        <is>
          <t/>
        </is>
      </c>
      <c r="B610" s="2" t="inlineStr">
        <is>
          <t>Ложки столовые</t>
        </is>
      </c>
      <c r="C610" s="2">
        <v>619262142</v>
      </c>
      <c r="D610" s="2" t="inlineStr">
        <is>
          <t>81817</t>
        </is>
      </c>
      <c r="E610" s="2" t="inlineStr">
        <is>
          <t>2047320891497</t>
        </is>
      </c>
      <c r="F610" s="2">
        <v>34</v>
      </c>
      <c r="G610" s="2">
        <v>0</v>
      </c>
      <c r="H610" s="2">
        <v>999</v>
      </c>
      <c r="I610" s="2" t="inlineStr">
        <is>
          <t>2476</t>
        </is>
      </c>
      <c r="J610" s="4"/>
      <c r="K610" s="2">
        <v>83</v>
      </c>
      <c r="L610" s="6"/>
      <c r="M610" s="2" t="str">
        <f>IF(J610="",ROUND(I610*(1-IF(ISBLANK(L610),K610,L610)/100),2),ROUND(J610*(1-IF(ISBLANK(L610),K610,L610)/100),2))</f>
      </c>
      <c r="N610" s="7" t="str">
        <f>IF(NOT(AND(J610="",L610="")),IF(OR(AND(L610&lt;&gt;"",NOT(ISNUMBER(L610))),IFERROR(MOD(L610,1),1)&gt;0,AND(ISNUMBER(L610),OR(L610&lt;0,L610&gt;95))),"Введите целое число от 0 до 95",IF(OR(AND(J610&lt;&gt;"",NOT(ISNUMBER(J610))),IFERROR(MOD(J610,1),1)&gt;0,AND(ISNUMBER(J610),OR(J610&lt;50,J610&gt;20000000))),"Введите целое число от 50 до 20000000",IF(NOT(ABS(IFERROR(VALUE(LEFT(M610,FIND("-",M610)-1)),M610)*100-(2500+2000000000)/2)&lt;=ABS(2500-2000000000)/2),"Цена со скидкой должна быть от 25 до 20000000",IF(AND(IFERROR(VALUE(LEFT(M610,FIND("-",M610)-1)),M610)*150&lt;=42092,IFERROR(VALUE(LEFT(M610,FIND("-",M610)-1)),M610)*200&gt;42092),"Вы уменьшили цену в несколько раз, товар попадет в карантин цен",IF(IFERROR(VALUE(LEFT(M610,FIND("-",M610)-1)),M610)*200&lt;=42092,"Не сохранили изменения, чтобы защитить от ошибки — новые цены меньше текущих более чем в 2 раза. Снижайте их постепенно",IF(AND(IFERROR(VALUE(I610),0)=0,ISNUMBER(J610),OR(J610&lt;306,ABS(IFERROR(VALUE(LEFT(M610,FIND("-",M610)-1)),M610))*100&lt;30600)),"Проверьте цену товара. Большинство товаров в выбранной категории стоят дороже 306","")))))),"")</f>
      </c>
    </row>
    <row r="611">
      <c r="A611" s="2" t="inlineStr">
        <is>
          <t/>
        </is>
      </c>
      <c r="B611" s="2" t="inlineStr">
        <is>
          <t>Сумки хозяйственные</t>
        </is>
      </c>
      <c r="C611" s="2">
        <v>607797382</v>
      </c>
      <c r="D611" s="2" t="inlineStr">
        <is>
          <t>523552</t>
        </is>
      </c>
      <c r="E611" s="2" t="inlineStr">
        <is>
          <t>2047198412923</t>
        </is>
      </c>
      <c r="F611" s="2">
        <v>0</v>
      </c>
      <c r="G611" s="2">
        <v>0</v>
      </c>
      <c r="H611" s="2" t="inlineStr">
        <is>
          <t/>
        </is>
      </c>
      <c r="I611" s="2" t="inlineStr">
        <is>
          <t>2889</t>
        </is>
      </c>
      <c r="J611" s="4"/>
      <c r="K611" s="2">
        <v>65</v>
      </c>
      <c r="L611" s="6"/>
      <c r="M611" s="2" t="str">
        <f>IF(J611="",ROUND(I611*(1-IF(ISBLANK(L611),K611,L611)/100),2),ROUND(J611*(1-IF(ISBLANK(L611),K611,L611)/100),2))</f>
      </c>
      <c r="N611" s="7" t="str">
        <f>IF(NOT(AND(J611="",L611="")),IF(OR(AND(L611&lt;&gt;"",NOT(ISNUMBER(L611))),IFERROR(MOD(L611,1),1)&gt;0,AND(ISNUMBER(L611),OR(L611&lt;0,L611&gt;95))),"Введите целое число от 0 до 95",IF(OR(AND(J611&lt;&gt;"",NOT(ISNUMBER(J611))),IFERROR(MOD(J611,1),1)&gt;0,AND(ISNUMBER(J611),OR(J611&lt;50,J611&gt;20000000))),"Введите целое число от 50 до 20000000",IF(NOT(ABS(IFERROR(VALUE(LEFT(M611,FIND("-",M611)-1)),M611)*100-(2500+2000000000)/2)&lt;=ABS(2500-2000000000)/2),"Цена со скидкой должна быть от 25 до 20000000",IF(AND(IFERROR(VALUE(LEFT(M611,FIND("-",M611)-1)),M611)*150&lt;=101115,IFERROR(VALUE(LEFT(M611,FIND("-",M611)-1)),M611)*200&gt;101115),"Вы уменьшили цену в несколько раз, товар попадет в карантин цен",IF(IFERROR(VALUE(LEFT(M611,FIND("-",M611)-1)),M611)*200&lt;=101115,"Не сохранили изменения, чтобы защитить от ошибки — новые цены меньше текущих более чем в 2 раза. Снижайте их постепенно",IF(AND(IFERROR(VALUE(I611),0)=0,ISNUMBER(J611),OR(J611&lt;281,ABS(IFERROR(VALUE(LEFT(M611,FIND("-",M611)-1)),M611))*100&lt;28100)),"Проверьте цену товара. Большинство товаров в выбранной категории стоят дороже 281","")))))),"")</f>
      </c>
    </row>
    <row r="612">
      <c r="A612" s="2" t="inlineStr">
        <is>
          <t/>
        </is>
      </c>
      <c r="B612" s="2" t="inlineStr">
        <is>
          <t>Кастрюли</t>
        </is>
      </c>
      <c r="C612" s="2">
        <v>729144057</v>
      </c>
      <c r="D612" s="2" t="inlineStr">
        <is>
          <t>20373</t>
        </is>
      </c>
      <c r="E612" s="2" t="inlineStr">
        <is>
          <t>2048079091114</t>
        </is>
      </c>
      <c r="F612" s="2">
        <v>5</v>
      </c>
      <c r="G612" s="2">
        <v>1</v>
      </c>
      <c r="H612" s="2">
        <v>999</v>
      </c>
      <c r="I612" s="2" t="inlineStr">
        <is>
          <t>17804</t>
        </is>
      </c>
      <c r="J612" s="4"/>
      <c r="K612" s="2">
        <v>80</v>
      </c>
      <c r="L612" s="6"/>
      <c r="M612" s="2" t="str">
        <f>IF(J612="",ROUND(I612*(1-IF(ISBLANK(L612),K612,L612)/100),2),ROUND(J612*(1-IF(ISBLANK(L612),K612,L612)/100),2))</f>
      </c>
      <c r="N612" s="7" t="str">
        <f>IF(NOT(AND(J612="",L612="")),IF(OR(AND(L612&lt;&gt;"",NOT(ISNUMBER(L612))),IFERROR(MOD(L612,1),1)&gt;0,AND(ISNUMBER(L612),OR(L612&lt;0,L612&gt;95))),"Введите целое число от 0 до 95",IF(OR(AND(J612&lt;&gt;"",NOT(ISNUMBER(J612))),IFERROR(MOD(J612,1),1)&gt;0,AND(ISNUMBER(J612),OR(J612&lt;50,J612&gt;20000000))),"Введите целое число от 50 до 20000000",IF(NOT(ABS(IFERROR(VALUE(LEFT(M612,FIND("-",M612)-1)),M612)*100-(2500+2000000000)/2)&lt;=ABS(2500-2000000000)/2),"Цена со скидкой должна быть от 25 до 20000000",IF(AND(IFERROR(VALUE(LEFT(M612,FIND("-",M612)-1)),M612)*150&lt;=356079,IFERROR(VALUE(LEFT(M612,FIND("-",M612)-1)),M612)*200&gt;356079),"Вы уменьшили цену в несколько раз, товар попадет в карантин цен",IF(IFERROR(VALUE(LEFT(M612,FIND("-",M612)-1)),M612)*200&lt;=356079,"Не сохранили изменения, чтобы защитить от ошибки — новые цены меньше текущих более чем в 2 раза. Снижайте их постепенно",IF(AND(IFERROR(VALUE(I612),0)=0,ISNUMBER(J612),OR(J612&lt;523,ABS(IFERROR(VALUE(LEFT(M612,FIND("-",M612)-1)),M612))*100&lt;52300)),"Проверьте цену товара. Большинство товаров в выбранной категории стоят дороже 523","")))))),"")</f>
      </c>
    </row>
    <row r="613">
      <c r="A613" s="2" t="inlineStr">
        <is>
          <t/>
        </is>
      </c>
      <c r="B613" s="2" t="inlineStr">
        <is>
          <t>Шторы для ванной</t>
        </is>
      </c>
      <c r="C613" s="2">
        <v>619534042</v>
      </c>
      <c r="D613" s="2" t="inlineStr">
        <is>
          <t>420535</t>
        </is>
      </c>
      <c r="E613" s="2" t="inlineStr">
        <is>
          <t>2047325545203</t>
        </is>
      </c>
      <c r="F613" s="2">
        <v>0</v>
      </c>
      <c r="G613" s="2">
        <v>2</v>
      </c>
      <c r="H613" s="2" t="inlineStr">
        <is>
          <t/>
        </is>
      </c>
      <c r="I613" s="2" t="inlineStr">
        <is>
          <t>7083</t>
        </is>
      </c>
      <c r="J613" s="4"/>
      <c r="K613" s="2">
        <v>80</v>
      </c>
      <c r="L613" s="6"/>
      <c r="M613" s="2" t="str">
        <f>IF(J613="",ROUND(I613*(1-IF(ISBLANK(L613),K613,L613)/100),2),ROUND(J613*(1-IF(ISBLANK(L613),K613,L613)/100),2))</f>
      </c>
      <c r="N613" s="7" t="str">
        <f>IF(NOT(AND(J613="",L613="")),IF(OR(AND(L613&lt;&gt;"",NOT(ISNUMBER(L613))),IFERROR(MOD(L613,1),1)&gt;0,AND(ISNUMBER(L613),OR(L613&lt;0,L613&gt;95))),"Введите целое число от 0 до 95",IF(OR(AND(J613&lt;&gt;"",NOT(ISNUMBER(J613))),IFERROR(MOD(J613,1),1)&gt;0,AND(ISNUMBER(J613),OR(J613&lt;50,J613&gt;20000000))),"Введите целое число от 50 до 20000000",IF(NOT(ABS(IFERROR(VALUE(LEFT(M613,FIND("-",M613)-1)),M613)*100-(2500+2000000000)/2)&lt;=ABS(2500-2000000000)/2),"Цена со скидкой должна быть от 25 до 20000000",IF(AND(IFERROR(VALUE(LEFT(M613,FIND("-",M613)-1)),M613)*150&lt;=141659,IFERROR(VALUE(LEFT(M613,FIND("-",M613)-1)),M613)*200&gt;141659),"Вы уменьшили цену в несколько раз, товар попадет в карантин цен",IF(IFERROR(VALUE(LEFT(M613,FIND("-",M613)-1)),M613)*200&lt;=141659,"Не сохранили изменения, чтобы защитить от ошибки — новые цены меньше текущих более чем в 2 раза. Снижайте их постепенно",IF(AND(IFERROR(VALUE(I613),0)=0,ISNUMBER(J613),OR(J613&lt;491,ABS(IFERROR(VALUE(LEFT(M613,FIND("-",M613)-1)),M613))*100&lt;49100)),"Проверьте цену товара. Большинство товаров в выбранной категории стоят дороже 491","")))))),"")</f>
      </c>
    </row>
    <row r="614">
      <c r="A614" s="2" t="inlineStr">
        <is>
          <t/>
        </is>
      </c>
      <c r="B614" s="2" t="inlineStr">
        <is>
          <t>Фруктовницы</t>
        </is>
      </c>
      <c r="C614" s="2">
        <v>729467927</v>
      </c>
      <c r="D614" s="2" t="inlineStr">
        <is>
          <t>076416</t>
        </is>
      </c>
      <c r="E614" s="2" t="inlineStr">
        <is>
          <t>2048082442613</t>
        </is>
      </c>
      <c r="F614" s="2" t="inlineStr">
        <is>
          <t/>
        </is>
      </c>
      <c r="G614" s="2" t="inlineStr">
        <is>
          <t/>
        </is>
      </c>
      <c r="H614" s="2" t="inlineStr">
        <is>
          <t/>
        </is>
      </c>
      <c r="I614" s="2" t="inlineStr">
        <is>
          <t>0</t>
        </is>
      </c>
      <c r="J614" s="4"/>
      <c r="K614" s="2">
        <v>0</v>
      </c>
      <c r="L614" s="6"/>
      <c r="M614" s="2" t="str">
        <f>IF(J614="",ROUND(I614*(1-IF(ISBLANK(L614),K614,L614)/100),2),ROUND(J614*(1-IF(ISBLANK(L614),K614,L614)/100),2))</f>
      </c>
      <c r="N614" s="7" t="str">
        <f>IF(NOT(AND(J614="",L614="")),IF(OR(AND(L614&lt;&gt;"",NOT(ISNUMBER(L614))),IFERROR(MOD(L614,1),1)&gt;0,AND(ISNUMBER(L614),OR(L614&lt;0,L614&gt;95))),"Введите целое число от 0 до 95",IF(OR(AND(J614&lt;&gt;"",NOT(ISNUMBER(J614))),IFERROR(MOD(J614,1),1)&gt;0,AND(ISNUMBER(J614),OR(J614&lt;50,J614&gt;20000000))),"Введите целое число от 50 до 20000000",IF(NOT(ABS(IFERROR(VALUE(LEFT(M614,FIND("-",M614)-1)),M614)*100-(2500+2000000000)/2)&lt;=ABS(2500-2000000000)/2),"Цена со скидкой должна быть от 25 до 20000000",IF(AND(IFERROR(VALUE(LEFT(M614,FIND("-",M614)-1)),M614)*150&lt;=0,IFERROR(VALUE(LEFT(M614,FIND("-",M614)-1)),M614)*200&gt;0),"Вы уменьшили цену в несколько раз, товар попадет в карантин цен",IF(IFERROR(VALUE(LEFT(M614,FIND("-",M614)-1)),M614)*200&lt;=0,"Не сохранили изменения, чтобы защитить от ошибки — новые цены меньше текущих более чем в 2 раза. Снижайте их постепенно",IF(AND(IFERROR(VALUE(I614),0)=0,ISNUMBER(J614),OR(J614&lt;286,ABS(IFERROR(VALUE(LEFT(M614,FIND("-",M614)-1)),M614))*100&lt;28600)),"Проверьте цену товара. Большинство товаров в выбранной категории стоят дороже 286","")))))),"")</f>
      </c>
    </row>
    <row r="615">
      <c r="A615" s="2" t="inlineStr">
        <is>
          <t/>
        </is>
      </c>
      <c r="B615" s="2" t="inlineStr">
        <is>
          <t>Сумки хозяйственные</t>
        </is>
      </c>
      <c r="C615" s="2">
        <v>607797390</v>
      </c>
      <c r="D615" s="2" t="inlineStr">
        <is>
          <t>52502</t>
        </is>
      </c>
      <c r="E615" s="2" t="inlineStr">
        <is>
          <t>2047198413029</t>
        </is>
      </c>
      <c r="F615" s="2">
        <v>0</v>
      </c>
      <c r="G615" s="2">
        <v>26</v>
      </c>
      <c r="H615" s="2" t="inlineStr">
        <is>
          <t/>
        </is>
      </c>
      <c r="I615" s="2" t="inlineStr">
        <is>
          <t>4632</t>
        </is>
      </c>
      <c r="J615" s="4"/>
      <c r="K615" s="2">
        <v>78</v>
      </c>
      <c r="L615" s="6"/>
      <c r="M615" s="2" t="str">
        <f>IF(J615="",ROUND(I615*(1-IF(ISBLANK(L615),K615,L615)/100),2),ROUND(J615*(1-IF(ISBLANK(L615),K615,L615)/100),2))</f>
      </c>
      <c r="N615" s="7" t="str">
        <f>IF(NOT(AND(J615="",L615="")),IF(OR(AND(L615&lt;&gt;"",NOT(ISNUMBER(L615))),IFERROR(MOD(L615,1),1)&gt;0,AND(ISNUMBER(L615),OR(L615&lt;0,L615&gt;95))),"Введите целое число от 0 до 95",IF(OR(AND(J615&lt;&gt;"",NOT(ISNUMBER(J615))),IFERROR(MOD(J615,1),1)&gt;0,AND(ISNUMBER(J615),OR(J615&lt;50,J615&gt;20000000))),"Введите целое число от 50 до 20000000",IF(NOT(ABS(IFERROR(VALUE(LEFT(M615,FIND("-",M615)-1)),M615)*100-(2500+2000000000)/2)&lt;=ABS(2500-2000000000)/2),"Цена со скидкой должна быть от 25 до 20000000",IF(AND(IFERROR(VALUE(LEFT(M615,FIND("-",M615)-1)),M615)*150&lt;=101903,IFERROR(VALUE(LEFT(M615,FIND("-",M615)-1)),M615)*200&gt;101903),"Вы уменьшили цену в несколько раз, товар попадет в карантин цен",IF(IFERROR(VALUE(LEFT(M615,FIND("-",M615)-1)),M615)*200&lt;=101903,"Не сохранили изменения, чтобы защитить от ошибки — новые цены меньше текущих более чем в 2 раза. Снижайте их постепенно",IF(AND(IFERROR(VALUE(I615),0)=0,ISNUMBER(J615),OR(J615&lt;281,ABS(IFERROR(VALUE(LEFT(M615,FIND("-",M615)-1)),M615))*100&lt;28100)),"Проверьте цену товара. Большинство товаров в выбранной категории стоят дороже 281","")))))),"")</f>
      </c>
    </row>
    <row r="616">
      <c r="A616" s="2" t="inlineStr">
        <is>
          <t/>
        </is>
      </c>
      <c r="B616" s="2" t="inlineStr">
        <is>
          <t>Тарелки</t>
        </is>
      </c>
      <c r="C616" s="2">
        <v>252891010</v>
      </c>
      <c r="D616" s="2" t="inlineStr">
        <is>
          <t>121735</t>
        </is>
      </c>
      <c r="E616" s="2" t="inlineStr">
        <is>
          <t>2040936807135</t>
        </is>
      </c>
      <c r="F616" s="2">
        <v>0</v>
      </c>
      <c r="G616" s="2">
        <v>0</v>
      </c>
      <c r="H616" s="2">
        <v>1</v>
      </c>
      <c r="I616" s="2" t="inlineStr">
        <is>
          <t>4614</t>
        </is>
      </c>
      <c r="J616" s="4"/>
      <c r="K616" s="2">
        <v>65</v>
      </c>
      <c r="L616" s="6"/>
      <c r="M616" s="2" t="str">
        <f>IF(J616="",ROUND(I616*(1-IF(ISBLANK(L616),K616,L616)/100),2),ROUND(J616*(1-IF(ISBLANK(L616),K616,L616)/100),2))</f>
      </c>
      <c r="N616" s="7" t="str">
        <f>IF(NOT(AND(J616="",L616="")),IF(OR(AND(L616&lt;&gt;"",NOT(ISNUMBER(L616))),IFERROR(MOD(L616,1),1)&gt;0,AND(ISNUMBER(L616),OR(L616&lt;0,L616&gt;95))),"Введите целое число от 0 до 95",IF(OR(AND(J616&lt;&gt;"",NOT(ISNUMBER(J616))),IFERROR(MOD(J616,1),1)&gt;0,AND(ISNUMBER(J616),OR(J616&lt;50,J616&gt;20000000))),"Введите целое число от 50 до 20000000",IF(NOT(ABS(IFERROR(VALUE(LEFT(M616,FIND("-",M616)-1)),M616)*100-(2500+2000000000)/2)&lt;=ABS(2500-2000000000)/2),"Цена со скидкой должна быть от 25 до 20000000",IF(AND(IFERROR(VALUE(LEFT(M616,FIND("-",M616)-1)),M616)*150&lt;=161490,IFERROR(VALUE(LEFT(M616,FIND("-",M616)-1)),M616)*200&gt;161490),"Вы уменьшили цену в несколько раз, товар попадет в карантин цен",IF(IFERROR(VALUE(LEFT(M616,FIND("-",M616)-1)),M616)*200&lt;=161490,"Не сохранили изменения, чтобы защитить от ошибки — новые цены меньше текущих более чем в 2 раза. Снижайте их постепенно",IF(AND(IFERROR(VALUE(I616),0)=0,ISNUMBER(J616),OR(J616&lt;413,ABS(IFERROR(VALUE(LEFT(M616,FIND("-",M616)-1)),M616))*100&lt;41300)),"Проверьте цену товара. Большинство товаров в выбранной категории стоят дороже 413","")))))),"")</f>
      </c>
    </row>
    <row r="617">
      <c r="A617" s="2" t="inlineStr">
        <is>
          <t/>
        </is>
      </c>
      <c r="B617" s="2" t="inlineStr">
        <is>
          <t>Утюги</t>
        </is>
      </c>
      <c r="C617" s="2">
        <v>600650806</v>
      </c>
      <c r="D617" s="2" t="inlineStr">
        <is>
          <t>192387</t>
        </is>
      </c>
      <c r="E617" s="2" t="inlineStr">
        <is>
          <t>2047129358979</t>
        </is>
      </c>
      <c r="F617" s="2">
        <v>0</v>
      </c>
      <c r="G617" s="2">
        <v>0</v>
      </c>
      <c r="H617" s="2" t="inlineStr">
        <is>
          <t/>
        </is>
      </c>
      <c r="I617" s="2" t="inlineStr">
        <is>
          <t>14276</t>
        </is>
      </c>
      <c r="J617" s="4"/>
      <c r="K617" s="2">
        <v>78</v>
      </c>
      <c r="L617" s="6"/>
      <c r="M617" s="2" t="str">
        <f>IF(J617="",ROUND(I617*(1-IF(ISBLANK(L617),K617,L617)/100),2),ROUND(J617*(1-IF(ISBLANK(L617),K617,L617)/100),2))</f>
      </c>
      <c r="N617" s="7" t="str">
        <f>IF(NOT(AND(J617="",L617="")),IF(OR(AND(L617&lt;&gt;"",NOT(ISNUMBER(L617))),IFERROR(MOD(L617,1),1)&gt;0,AND(ISNUMBER(L617),OR(L617&lt;0,L617&gt;95))),"Введите целое число от 0 до 95",IF(OR(AND(J617&lt;&gt;"",NOT(ISNUMBER(J617))),IFERROR(MOD(J617,1),1)&gt;0,AND(ISNUMBER(J617),OR(J617&lt;50,J617&gt;20000000))),"Введите целое число от 50 до 20000000",IF(NOT(ABS(IFERROR(VALUE(LEFT(M617,FIND("-",M617)-1)),M617)*100-(2500+2000000000)/2)&lt;=ABS(2500-2000000000)/2),"Цена со скидкой должна быть от 25 до 20000000",IF(AND(IFERROR(VALUE(LEFT(M617,FIND("-",M617)-1)),M617)*150&lt;=314072,IFERROR(VALUE(LEFT(M617,FIND("-",M617)-1)),M617)*200&gt;314072),"Вы уменьшили цену в несколько раз, товар попадет в карантин цен",IF(IFERROR(VALUE(LEFT(M617,FIND("-",M617)-1)),M617)*200&lt;=314072,"Не сохранили изменения, чтобы защитить от ошибки — новые цены меньше текущих более чем в 2 раза. Снижайте их постепенно",IF(AND(IFERROR(VALUE(I617),0)=0,ISNUMBER(J617),OR(J617&lt;403,ABS(IFERROR(VALUE(LEFT(M617,FIND("-",M617)-1)),M617))*100&lt;40300)),"Проверьте цену товара. Большинство товаров в выбранной категории стоят дороже 403","")))))),"")</f>
      </c>
    </row>
    <row r="618">
      <c r="A618" s="2" t="inlineStr">
        <is>
          <t>Laly Бижутерия</t>
        </is>
      </c>
      <c r="B618" s="2" t="inlineStr">
        <is>
          <t>Комплекты украшений</t>
        </is>
      </c>
      <c r="C618" s="2">
        <v>273942112</v>
      </c>
      <c r="D618" s="2" t="inlineStr">
        <is>
          <t>55775</t>
        </is>
      </c>
      <c r="E618" s="2" t="inlineStr">
        <is>
          <t>4670294453491</t>
        </is>
      </c>
      <c r="F618" s="2">
        <v>527</v>
      </c>
      <c r="G618" s="2">
        <v>3</v>
      </c>
      <c r="H618" s="2">
        <v>999</v>
      </c>
      <c r="I618" s="2" t="inlineStr">
        <is>
          <t>3774</t>
        </is>
      </c>
      <c r="J618" s="4"/>
      <c r="K618" s="2">
        <v>85</v>
      </c>
      <c r="L618" s="6"/>
      <c r="M618" s="2" t="str">
        <f>IF(J618="",ROUND(I618*(1-IF(ISBLANK(L618),K618,L618)/100),2),ROUND(J618*(1-IF(ISBLANK(L618),K618,L618)/100),2))</f>
      </c>
      <c r="N618" s="7" t="str">
        <f>IF(NOT(AND(J618="",L618="")),IF(OR(AND(L618&lt;&gt;"",NOT(ISNUMBER(L618))),IFERROR(MOD(L618,1),1)&gt;0,AND(ISNUMBER(L618),OR(L618&lt;0,L618&gt;95))),"Введите целое число от 0 до 95",IF(OR(AND(J618&lt;&gt;"",NOT(ISNUMBER(J618))),IFERROR(MOD(J618,1),1)&gt;0,AND(ISNUMBER(J618),OR(J618&lt;50,J618&gt;20000000))),"Введите целое число от 50 до 20000000",IF(NOT(ABS(IFERROR(VALUE(LEFT(M618,FIND("-",M618)-1)),M618)*100-(2500+2000000000)/2)&lt;=ABS(2500-2000000000)/2),"Цена со скидкой должна быть от 25 до 20000000",IF(AND(IFERROR(VALUE(LEFT(M618,FIND("-",M618)-1)),M618)*150&lt;=56610,IFERROR(VALUE(LEFT(M618,FIND("-",M618)-1)),M618)*200&gt;56610),"Вы уменьшили цену в несколько раз, товар попадет в карантин цен",IF(IFERROR(VALUE(LEFT(M618,FIND("-",M618)-1)),M618)*200&lt;=56610,"Не сохранили изменения, чтобы защитить от ошибки — новые цены меньше текущих более чем в 2 раза. Снижайте их постепенно",IF(AND(IFERROR(VALUE(I618),0)=0,ISNUMBER(J618),OR(J618&lt;341,ABS(IFERROR(VALUE(LEFT(M618,FIND("-",M618)-1)),M618))*100&lt;34100)),"Проверьте цену товара. Большинство товаров в выбранной категории стоят дороже 341","")))))),"")</f>
      </c>
    </row>
    <row r="619">
      <c r="A619" s="2" t="inlineStr">
        <is>
          <t/>
        </is>
      </c>
      <c r="B619" s="2" t="inlineStr">
        <is>
          <t>Ложки столовые</t>
        </is>
      </c>
      <c r="C619" s="2">
        <v>619262137</v>
      </c>
      <c r="D619" s="2" t="inlineStr">
        <is>
          <t>81813</t>
        </is>
      </c>
      <c r="E619" s="2" t="inlineStr">
        <is>
          <t>2047320891404</t>
        </is>
      </c>
      <c r="F619" s="2">
        <v>0</v>
      </c>
      <c r="G619" s="2">
        <v>0</v>
      </c>
      <c r="H619" s="2" t="inlineStr">
        <is>
          <t/>
        </is>
      </c>
      <c r="I619" s="2" t="inlineStr">
        <is>
          <t>2986</t>
        </is>
      </c>
      <c r="J619" s="4"/>
      <c r="K619" s="2">
        <v>65</v>
      </c>
      <c r="L619" s="6"/>
      <c r="M619" s="2" t="str">
        <f>IF(J619="",ROUND(I619*(1-IF(ISBLANK(L619),K619,L619)/100),2),ROUND(J619*(1-IF(ISBLANK(L619),K619,L619)/100),2))</f>
      </c>
      <c r="N619" s="7" t="str">
        <f>IF(NOT(AND(J619="",L619="")),IF(OR(AND(L619&lt;&gt;"",NOT(ISNUMBER(L619))),IFERROR(MOD(L619,1),1)&gt;0,AND(ISNUMBER(L619),OR(L619&lt;0,L619&gt;95))),"Введите целое число от 0 до 95",IF(OR(AND(J619&lt;&gt;"",NOT(ISNUMBER(J619))),IFERROR(MOD(J619,1),1)&gt;0,AND(ISNUMBER(J619),OR(J619&lt;50,J619&gt;20000000))),"Введите целое число от 50 до 20000000",IF(NOT(ABS(IFERROR(VALUE(LEFT(M619,FIND("-",M619)-1)),M619)*100-(2500+2000000000)/2)&lt;=ABS(2500-2000000000)/2),"Цена со скидкой должна быть от 25 до 20000000",IF(AND(IFERROR(VALUE(LEFT(M619,FIND("-",M619)-1)),M619)*150&lt;=104509,IFERROR(VALUE(LEFT(M619,FIND("-",M619)-1)),M619)*200&gt;104509),"Вы уменьшили цену в несколько раз, товар попадет в карантин цен",IF(IFERROR(VALUE(LEFT(M619,FIND("-",M619)-1)),M619)*200&lt;=104509,"Не сохранили изменения, чтобы защитить от ошибки — новые цены меньше текущих более чем в 2 раза. Снижайте их постепенно",IF(AND(IFERROR(VALUE(I619),0)=0,ISNUMBER(J619),OR(J619&lt;306,ABS(IFERROR(VALUE(LEFT(M619,FIND("-",M619)-1)),M619))*100&lt;30600)),"Проверьте цену товара. Большинство товаров в выбранной категории стоят дороже 306","")))))),"")</f>
      </c>
    </row>
    <row r="620">
      <c r="A620" s="2" t="inlineStr">
        <is>
          <t/>
        </is>
      </c>
      <c r="B620" s="2" t="inlineStr">
        <is>
          <t>Ложки столовые</t>
        </is>
      </c>
      <c r="C620" s="2">
        <v>619262138</v>
      </c>
      <c r="D620" s="2" t="inlineStr">
        <is>
          <t>81811</t>
        </is>
      </c>
      <c r="E620" s="2" t="inlineStr">
        <is>
          <t>2047320891435</t>
        </is>
      </c>
      <c r="F620" s="2">
        <v>0</v>
      </c>
      <c r="G620" s="2">
        <v>0</v>
      </c>
      <c r="H620" s="2" t="inlineStr">
        <is>
          <t/>
        </is>
      </c>
      <c r="I620" s="2" t="inlineStr">
        <is>
          <t>2920</t>
        </is>
      </c>
      <c r="J620" s="4"/>
      <c r="K620" s="2">
        <v>65</v>
      </c>
      <c r="L620" s="6"/>
      <c r="M620" s="2" t="str">
        <f>IF(J620="",ROUND(I620*(1-IF(ISBLANK(L620),K620,L620)/100),2),ROUND(J620*(1-IF(ISBLANK(L620),K620,L620)/100),2))</f>
      </c>
      <c r="N620" s="7" t="str">
        <f>IF(NOT(AND(J620="",L620="")),IF(OR(AND(L620&lt;&gt;"",NOT(ISNUMBER(L620))),IFERROR(MOD(L620,1),1)&gt;0,AND(ISNUMBER(L620),OR(L620&lt;0,L620&gt;95))),"Введите целое число от 0 до 95",IF(OR(AND(J620&lt;&gt;"",NOT(ISNUMBER(J620))),IFERROR(MOD(J620,1),1)&gt;0,AND(ISNUMBER(J620),OR(J620&lt;50,J620&gt;20000000))),"Введите целое число от 50 до 20000000",IF(NOT(ABS(IFERROR(VALUE(LEFT(M620,FIND("-",M620)-1)),M620)*100-(2500+2000000000)/2)&lt;=ABS(2500-2000000000)/2),"Цена со скидкой должна быть от 25 до 20000000",IF(AND(IFERROR(VALUE(LEFT(M620,FIND("-",M620)-1)),M620)*150&lt;=102199,IFERROR(VALUE(LEFT(M620,FIND("-",M620)-1)),M620)*200&gt;102199),"Вы уменьшили цену в несколько раз, товар попадет в карантин цен",IF(IFERROR(VALUE(LEFT(M620,FIND("-",M620)-1)),M620)*200&lt;=102199,"Не сохранили изменения, чтобы защитить от ошибки — новые цены меньше текущих более чем в 2 раза. Снижайте их постепенно",IF(AND(IFERROR(VALUE(I620),0)=0,ISNUMBER(J620),OR(J620&lt;306,ABS(IFERROR(VALUE(LEFT(M620,FIND("-",M620)-1)),M620))*100&lt;30600)),"Проверьте цену товара. Большинство товаров в выбранной категории стоят дороже 306","")))))),"")</f>
      </c>
    </row>
    <row r="621">
      <c r="A621" s="2" t="inlineStr">
        <is>
          <t/>
        </is>
      </c>
      <c r="B621" s="2" t="inlineStr">
        <is>
          <t>Кастрюли</t>
        </is>
      </c>
      <c r="C621" s="2">
        <v>729144043</v>
      </c>
      <c r="D621" s="2" t="inlineStr">
        <is>
          <t>283586</t>
        </is>
      </c>
      <c r="E621" s="2" t="inlineStr">
        <is>
          <t>2048079090445</t>
        </is>
      </c>
      <c r="F621" s="2">
        <v>4</v>
      </c>
      <c r="G621" s="2">
        <v>8</v>
      </c>
      <c r="H621" s="2">
        <v>999</v>
      </c>
      <c r="I621" s="2" t="inlineStr">
        <is>
          <t>11957</t>
        </is>
      </c>
      <c r="J621" s="4"/>
      <c r="K621" s="2">
        <v>80</v>
      </c>
      <c r="L621" s="6"/>
      <c r="M621" s="2" t="str">
        <f>IF(J621="",ROUND(I621*(1-IF(ISBLANK(L621),K621,L621)/100),2),ROUND(J621*(1-IF(ISBLANK(L621),K621,L621)/100),2))</f>
      </c>
      <c r="N621" s="7" t="str">
        <f>IF(NOT(AND(J621="",L621="")),IF(OR(AND(L621&lt;&gt;"",NOT(ISNUMBER(L621))),IFERROR(MOD(L621,1),1)&gt;0,AND(ISNUMBER(L621),OR(L621&lt;0,L621&gt;95))),"Введите целое число от 0 до 95",IF(OR(AND(J621&lt;&gt;"",NOT(ISNUMBER(J621))),IFERROR(MOD(J621,1),1)&gt;0,AND(ISNUMBER(J621),OR(J621&lt;50,J621&gt;20000000))),"Введите целое число от 50 до 20000000",IF(NOT(ABS(IFERROR(VALUE(LEFT(M621,FIND("-",M621)-1)),M621)*100-(2500+2000000000)/2)&lt;=ABS(2500-2000000000)/2),"Цена со скидкой должна быть от 25 до 20000000",IF(AND(IFERROR(VALUE(LEFT(M621,FIND("-",M621)-1)),M621)*150&lt;=239139,IFERROR(VALUE(LEFT(M621,FIND("-",M621)-1)),M621)*200&gt;239139),"Вы уменьшили цену в несколько раз, товар попадет в карантин цен",IF(IFERROR(VALUE(LEFT(M621,FIND("-",M621)-1)),M621)*200&lt;=239139,"Не сохранили изменения, чтобы защитить от ошибки — новые цены меньше текущих более чем в 2 раза. Снижайте их постепенно",IF(AND(IFERROR(VALUE(I621),0)=0,ISNUMBER(J621),OR(J621&lt;523,ABS(IFERROR(VALUE(LEFT(M621,FIND("-",M621)-1)),M621))*100&lt;52300)),"Проверьте цену товара. Большинство товаров в выбранной категории стоят дороже 523","")))))),"")</f>
      </c>
    </row>
    <row r="622">
      <c r="A622" s="2" t="inlineStr">
        <is>
          <t>Laly Бижутерия</t>
        </is>
      </c>
      <c r="B622" s="2" t="inlineStr">
        <is>
          <t>Броши</t>
        </is>
      </c>
      <c r="C622" s="2">
        <v>273917372</v>
      </c>
      <c r="D622" s="2" t="inlineStr">
        <is>
          <t>55794</t>
        </is>
      </c>
      <c r="E622" s="2" t="inlineStr">
        <is>
          <t>4670294453620</t>
        </is>
      </c>
      <c r="F622" s="2">
        <v>74</v>
      </c>
      <c r="G622" s="2">
        <v>6</v>
      </c>
      <c r="H622" s="2">
        <v>57</v>
      </c>
      <c r="I622" s="2" t="inlineStr">
        <is>
          <t>1350</t>
        </is>
      </c>
      <c r="J622" s="4"/>
      <c r="K622" s="2">
        <v>84</v>
      </c>
      <c r="L622" s="6"/>
      <c r="M622" s="2" t="str">
        <f>IF(J622="",ROUND(I622*(1-IF(ISBLANK(L622),K622,L622)/100),2),ROUND(J622*(1-IF(ISBLANK(L622),K622,L622)/100),2))</f>
      </c>
      <c r="N622" s="7" t="str">
        <f>IF(NOT(AND(J622="",L622="")),IF(OR(AND(L622&lt;&gt;"",NOT(ISNUMBER(L622))),IFERROR(MOD(L622,1),1)&gt;0,AND(ISNUMBER(L622),OR(L622&lt;0,L622&gt;95))),"Введите целое число от 0 до 95",IF(OR(AND(J622&lt;&gt;"",NOT(ISNUMBER(J622))),IFERROR(MOD(J622,1),1)&gt;0,AND(ISNUMBER(J622),OR(J622&lt;50,J622&gt;20000000))),"Введите целое число от 50 до 20000000",IF(NOT(ABS(IFERROR(VALUE(LEFT(M622,FIND("-",M622)-1)),M622)*100-(2500+2000000000)/2)&lt;=ABS(2500-2000000000)/2),"Цена со скидкой должна быть от 25 до 20000000",IF(AND(IFERROR(VALUE(LEFT(M622,FIND("-",M622)-1)),M622)*150&lt;=21600,IFERROR(VALUE(LEFT(M622,FIND("-",M622)-1)),M622)*200&gt;21600),"Вы уменьшили цену в несколько раз, товар попадет в карантин цен",IF(IFERROR(VALUE(LEFT(M622,FIND("-",M622)-1)),M622)*200&lt;=21600,"Не сохранили изменения, чтобы защитить от ошибки — новые цены меньше текущих более чем в 2 раза. Снижайте их постепенно",IF(AND(IFERROR(VALUE(I622),0)=0,ISNUMBER(J622),OR(J622&lt;198,ABS(IFERROR(VALUE(LEFT(M622,FIND("-",M622)-1)),M622))*100&lt;19800)),"Проверьте цену товара. Большинство товаров в выбранной категории стоят дороже 198","")))))),"")</f>
      </c>
    </row>
    <row r="623">
      <c r="A623" s="2" t="inlineStr">
        <is>
          <t>Laly Бижутерия</t>
        </is>
      </c>
      <c r="B623" s="2" t="inlineStr">
        <is>
          <t>Подвески бижутерные</t>
        </is>
      </c>
      <c r="C623" s="2">
        <v>264661794</v>
      </c>
      <c r="D623" s="2" t="inlineStr">
        <is>
          <t>55759</t>
        </is>
      </c>
      <c r="E623" s="2" t="inlineStr">
        <is>
          <t>4670294453330</t>
        </is>
      </c>
      <c r="F623" s="2">
        <v>0</v>
      </c>
      <c r="G623" s="2">
        <v>0</v>
      </c>
      <c r="H623" s="2">
        <v>16</v>
      </c>
      <c r="I623" s="2" t="inlineStr">
        <is>
          <t>2021</t>
        </is>
      </c>
      <c r="J623" s="4"/>
      <c r="K623" s="2">
        <v>79</v>
      </c>
      <c r="L623" s="6"/>
      <c r="M623" s="2" t="str">
        <f>IF(J623="",ROUND(I623*(1-IF(ISBLANK(L623),K623,L623)/100),2),ROUND(J623*(1-IF(ISBLANK(L623),K623,L623)/100),2))</f>
      </c>
      <c r="N623" s="7" t="str">
        <f>IF(NOT(AND(J623="",L623="")),IF(OR(AND(L623&lt;&gt;"",NOT(ISNUMBER(L623))),IFERROR(MOD(L623,1),1)&gt;0,AND(ISNUMBER(L623),OR(L623&lt;0,L623&gt;95))),"Введите целое число от 0 до 95",IF(OR(AND(J623&lt;&gt;"",NOT(ISNUMBER(J623))),IFERROR(MOD(J623,1),1)&gt;0,AND(ISNUMBER(J623),OR(J623&lt;50,J623&gt;20000000))),"Введите целое число от 50 до 20000000",IF(NOT(ABS(IFERROR(VALUE(LEFT(M623,FIND("-",M623)-1)),M623)*100-(2500+2000000000)/2)&lt;=ABS(2500-2000000000)/2),"Цена со скидкой должна быть от 25 до 20000000",IF(AND(IFERROR(VALUE(LEFT(M623,FIND("-",M623)-1)),M623)*150&lt;=42440,IFERROR(VALUE(LEFT(M623,FIND("-",M623)-1)),M623)*200&gt;42440),"Вы уменьшили цену в несколько раз, товар попадет в карантин цен",IF(IFERROR(VALUE(LEFT(M623,FIND("-",M623)-1)),M623)*200&lt;=42440,"Не сохранили изменения, чтобы защитить от ошибки — новые цены меньше текущих более чем в 2 раза. Снижайте их постепенно",IF(AND(IFERROR(VALUE(I623),0)=0,ISNUMBER(J623),OR(J623&lt;212,ABS(IFERROR(VALUE(LEFT(M623,FIND("-",M623)-1)),M623))*100&lt;21200)),"Проверьте цену товара. Большинство товаров в выбранной категории стоят дороже 212","")))))),"")</f>
      </c>
    </row>
    <row r="624">
      <c r="A624" s="2" t="inlineStr">
        <is>
          <t>Laly Бижутерия</t>
        </is>
      </c>
      <c r="B624" s="2" t="inlineStr">
        <is>
          <t>Комплекты украшений</t>
        </is>
      </c>
      <c r="C624" s="2">
        <v>273942113</v>
      </c>
      <c r="D624" s="2" t="inlineStr">
        <is>
          <t>55789</t>
        </is>
      </c>
      <c r="E624" s="2" t="inlineStr">
        <is>
          <t>4670294453576</t>
        </is>
      </c>
      <c r="F624" s="2">
        <v>22</v>
      </c>
      <c r="G624" s="2">
        <v>1</v>
      </c>
      <c r="H624" s="2">
        <v>668</v>
      </c>
      <c r="I624" s="2" t="inlineStr">
        <is>
          <t>1541</t>
        </is>
      </c>
      <c r="J624" s="4"/>
      <c r="K624" s="2">
        <v>83</v>
      </c>
      <c r="L624" s="6"/>
      <c r="M624" s="2" t="str">
        <f>IF(J624="",ROUND(I624*(1-IF(ISBLANK(L624),K624,L624)/100),2),ROUND(J624*(1-IF(ISBLANK(L624),K624,L624)/100),2))</f>
      </c>
      <c r="N624" s="7" t="str">
        <f>IF(NOT(AND(J624="",L624="")),IF(OR(AND(L624&lt;&gt;"",NOT(ISNUMBER(L624))),IFERROR(MOD(L624,1),1)&gt;0,AND(ISNUMBER(L624),OR(L624&lt;0,L624&gt;95))),"Введите целое число от 0 до 95",IF(OR(AND(J624&lt;&gt;"",NOT(ISNUMBER(J624))),IFERROR(MOD(J624,1),1)&gt;0,AND(ISNUMBER(J624),OR(J624&lt;50,J624&gt;20000000))),"Введите целое число от 50 до 20000000",IF(NOT(ABS(IFERROR(VALUE(LEFT(M624,FIND("-",M624)-1)),M624)*100-(2500+2000000000)/2)&lt;=ABS(2500-2000000000)/2),"Цена со скидкой должна быть от 25 до 20000000",IF(AND(IFERROR(VALUE(LEFT(M624,FIND("-",M624)-1)),M624)*150&lt;=26197,IFERROR(VALUE(LEFT(M624,FIND("-",M624)-1)),M624)*200&gt;26197),"Вы уменьшили цену в несколько раз, товар попадет в карантин цен",IF(IFERROR(VALUE(LEFT(M624,FIND("-",M624)-1)),M624)*200&lt;=26197,"Не сохранили изменения, чтобы защитить от ошибки — новые цены меньше текущих более чем в 2 раза. Снижайте их постепенно",IF(AND(IFERROR(VALUE(I624),0)=0,ISNUMBER(J624),OR(J624&lt;341,ABS(IFERROR(VALUE(LEFT(M624,FIND("-",M624)-1)),M624))*100&lt;34100)),"Проверьте цену товара. Большинство товаров в выбранной категории стоят дороже 341","")))))),"")</f>
      </c>
    </row>
    <row r="625">
      <c r="A625" s="2" t="inlineStr">
        <is>
          <t/>
        </is>
      </c>
      <c r="B625" s="2" t="inlineStr">
        <is>
          <t>Перчатки хозяйственные</t>
        </is>
      </c>
      <c r="C625" s="2">
        <v>618362530</v>
      </c>
      <c r="D625" s="2" t="inlineStr">
        <is>
          <t>790423</t>
        </is>
      </c>
      <c r="E625" s="2" t="inlineStr">
        <is>
          <t>2047308267504</t>
        </is>
      </c>
      <c r="F625" s="2">
        <v>0</v>
      </c>
      <c r="G625" s="2">
        <v>0</v>
      </c>
      <c r="H625" s="2" t="inlineStr">
        <is>
          <t/>
        </is>
      </c>
      <c r="I625" s="2" t="inlineStr">
        <is>
          <t>6112</t>
        </is>
      </c>
      <c r="J625" s="4"/>
      <c r="K625" s="2">
        <v>78</v>
      </c>
      <c r="L625" s="6"/>
      <c r="M625" s="2" t="str">
        <f>IF(J625="",ROUND(I625*(1-IF(ISBLANK(L625),K625,L625)/100),2),ROUND(J625*(1-IF(ISBLANK(L625),K625,L625)/100),2))</f>
      </c>
      <c r="N625" s="7" t="str">
        <f>IF(NOT(AND(J625="",L625="")),IF(OR(AND(L625&lt;&gt;"",NOT(ISNUMBER(L625))),IFERROR(MOD(L625,1),1)&gt;0,AND(ISNUMBER(L625),OR(L625&lt;0,L625&gt;95))),"Введите целое число от 0 до 95",IF(OR(AND(J625&lt;&gt;"",NOT(ISNUMBER(J625))),IFERROR(MOD(J625,1),1)&gt;0,AND(ISNUMBER(J625),OR(J625&lt;50,J625&gt;20000000))),"Введите целое число от 50 до 20000000",IF(NOT(ABS(IFERROR(VALUE(LEFT(M625,FIND("-",M625)-1)),M625)*100-(2500+2000000000)/2)&lt;=ABS(2500-2000000000)/2),"Цена со скидкой должна быть от 25 до 20000000",IF(AND(IFERROR(VALUE(LEFT(M625,FIND("-",M625)-1)),M625)*150&lt;=134464,IFERROR(VALUE(LEFT(M625,FIND("-",M625)-1)),M625)*200&gt;134464),"Вы уменьшили цену в несколько раз, товар попадет в карантин цен",IF(IFERROR(VALUE(LEFT(M625,FIND("-",M625)-1)),M625)*200&lt;=134464,"Не сохранили изменения, чтобы защитить от ошибки — новые цены меньше текущих более чем в 2 раза. Снижайте их постепенно",IF(AND(IFERROR(VALUE(I625),0)=0,ISNUMBER(J625),OR(J625&lt;227,ABS(IFERROR(VALUE(LEFT(M625,FIND("-",M625)-1)),M625))*100&lt;22700)),"Проверьте цену товара. Большинство товаров в выбранной категории стоят дороже 227","")))))),"")</f>
      </c>
    </row>
    <row r="626">
      <c r="A626" s="2" t="inlineStr">
        <is>
          <t/>
        </is>
      </c>
      <c r="B626" s="2" t="inlineStr">
        <is>
          <t>Ложки столовые</t>
        </is>
      </c>
      <c r="C626" s="2">
        <v>619262144</v>
      </c>
      <c r="D626" s="2" t="inlineStr">
        <is>
          <t>81821</t>
        </is>
      </c>
      <c r="E626" s="2" t="inlineStr">
        <is>
          <t>2047320891527</t>
        </is>
      </c>
      <c r="F626" s="2">
        <v>0</v>
      </c>
      <c r="G626" s="2">
        <v>1</v>
      </c>
      <c r="H626" s="2" t="inlineStr">
        <is>
          <t/>
        </is>
      </c>
      <c r="I626" s="2" t="inlineStr">
        <is>
          <t>3596</t>
        </is>
      </c>
      <c r="J626" s="4"/>
      <c r="K626" s="2">
        <v>78</v>
      </c>
      <c r="L626" s="6"/>
      <c r="M626" s="2" t="str">
        <f>IF(J626="",ROUND(I626*(1-IF(ISBLANK(L626),K626,L626)/100),2),ROUND(J626*(1-IF(ISBLANK(L626),K626,L626)/100),2))</f>
      </c>
      <c r="N626" s="7" t="str">
        <f>IF(NOT(AND(J626="",L626="")),IF(OR(AND(L626&lt;&gt;"",NOT(ISNUMBER(L626))),IFERROR(MOD(L626,1),1)&gt;0,AND(ISNUMBER(L626),OR(L626&lt;0,L626&gt;95))),"Введите целое число от 0 до 95",IF(OR(AND(J626&lt;&gt;"",NOT(ISNUMBER(J626))),IFERROR(MOD(J626,1),1)&gt;0,AND(ISNUMBER(J626),OR(J626&lt;50,J626&gt;20000000))),"Введите целое число от 50 до 20000000",IF(NOT(ABS(IFERROR(VALUE(LEFT(M626,FIND("-",M626)-1)),M626)*100-(2500+2000000000)/2)&lt;=ABS(2500-2000000000)/2),"Цена со скидкой должна быть от 25 до 20000000",IF(AND(IFERROR(VALUE(LEFT(M626,FIND("-",M626)-1)),M626)*150&lt;=79111,IFERROR(VALUE(LEFT(M626,FIND("-",M626)-1)),M626)*200&gt;79111),"Вы уменьшили цену в несколько раз, товар попадет в карантин цен",IF(IFERROR(VALUE(LEFT(M626,FIND("-",M626)-1)),M626)*200&lt;=79111,"Не сохранили изменения, чтобы защитить от ошибки — новые цены меньше текущих более чем в 2 раза. Снижайте их постепенно",IF(AND(IFERROR(VALUE(I626),0)=0,ISNUMBER(J626),OR(J626&lt;306,ABS(IFERROR(VALUE(LEFT(M626,FIND("-",M626)-1)),M626))*100&lt;30600)),"Проверьте цену товара. Большинство товаров в выбранной категории стоят дороже 306","")))))),"")</f>
      </c>
    </row>
    <row r="627">
      <c r="A627" s="2" t="inlineStr">
        <is>
          <t/>
        </is>
      </c>
      <c r="B627" s="2" t="inlineStr">
        <is>
          <t>Водонагреватели</t>
        </is>
      </c>
      <c r="C627" s="2">
        <v>600650843</v>
      </c>
      <c r="D627" s="2" t="inlineStr">
        <is>
          <t>192588</t>
        </is>
      </c>
      <c r="E627" s="2" t="inlineStr">
        <is>
          <t>2047129359617</t>
        </is>
      </c>
      <c r="F627" s="2">
        <v>0</v>
      </c>
      <c r="G627" s="2">
        <v>0</v>
      </c>
      <c r="H627" s="2" t="inlineStr">
        <is>
          <t/>
        </is>
      </c>
      <c r="I627" s="2" t="inlineStr">
        <is>
          <t>17000</t>
        </is>
      </c>
      <c r="J627" s="4"/>
      <c r="K627" s="2">
        <v>65</v>
      </c>
      <c r="L627" s="6"/>
      <c r="M627" s="2" t="str">
        <f>IF(J627="",ROUND(I627*(1-IF(ISBLANK(L627),K627,L627)/100),2),ROUND(J627*(1-IF(ISBLANK(L627),K627,L627)/100),2))</f>
      </c>
      <c r="N627" s="7" t="str">
        <f>IF(NOT(AND(J627="",L627="")),IF(OR(AND(L627&lt;&gt;"",NOT(ISNUMBER(L627))),IFERROR(MOD(L627,1),1)&gt;0,AND(ISNUMBER(L627),OR(L627&lt;0,L627&gt;95))),"Введите целое число от 0 до 95",IF(OR(AND(J627&lt;&gt;"",NOT(ISNUMBER(J627))),IFERROR(MOD(J627,1),1)&gt;0,AND(ISNUMBER(J627),OR(J627&lt;50,J627&gt;20000000))),"Введите целое число от 50 до 20000000",IF(NOT(ABS(IFERROR(VALUE(LEFT(M627,FIND("-",M627)-1)),M627)*100-(2500+2000000000)/2)&lt;=ABS(2500-2000000000)/2),"Цена со скидкой должна быть от 25 до 20000000",IF(AND(IFERROR(VALUE(LEFT(M627,FIND("-",M627)-1)),M627)*150&lt;=595000,IFERROR(VALUE(LEFT(M627,FIND("-",M627)-1)),M627)*200&gt;595000),"Вы уменьшили цену в несколько раз, товар попадет в карантин цен",IF(IFERROR(VALUE(LEFT(M627,FIND("-",M627)-1)),M627)*200&lt;=595000,"Не сохранили изменения, чтобы защитить от ошибки — новые цены меньше текущих более чем в 2 раза. Снижайте их постепенно",IF(AND(IFERROR(VALUE(I627),0)=0,ISNUMBER(J627),OR(J627&lt;463,ABS(IFERROR(VALUE(LEFT(M627,FIND("-",M627)-1)),M627))*100&lt;46300)),"Проверьте цену товара. Большинство товаров в выбранной категории стоят дороже 463","")))))),"")</f>
      </c>
    </row>
    <row r="628">
      <c r="A628" s="2" t="inlineStr">
        <is>
          <t/>
        </is>
      </c>
      <c r="B628" s="2" t="inlineStr">
        <is>
          <t>Водонагреватели</t>
        </is>
      </c>
      <c r="C628" s="2">
        <v>600650846</v>
      </c>
      <c r="D628" s="2" t="inlineStr">
        <is>
          <t>192591</t>
        </is>
      </c>
      <c r="E628" s="2" t="inlineStr">
        <is>
          <t>2047129359679</t>
        </is>
      </c>
      <c r="F628" s="2">
        <v>0</v>
      </c>
      <c r="G628" s="2">
        <v>0</v>
      </c>
      <c r="H628" s="2" t="inlineStr">
        <is>
          <t/>
        </is>
      </c>
      <c r="I628" s="2" t="inlineStr">
        <is>
          <t>25332</t>
        </is>
      </c>
      <c r="J628" s="4"/>
      <c r="K628" s="2">
        <v>80</v>
      </c>
      <c r="L628" s="6"/>
      <c r="M628" s="2" t="str">
        <f>IF(J628="",ROUND(I628*(1-IF(ISBLANK(L628),K628,L628)/100),2),ROUND(J628*(1-IF(ISBLANK(L628),K628,L628)/100),2))</f>
      </c>
      <c r="N628" s="7" t="str">
        <f>IF(NOT(AND(J628="",L628="")),IF(OR(AND(L628&lt;&gt;"",NOT(ISNUMBER(L628))),IFERROR(MOD(L628,1),1)&gt;0,AND(ISNUMBER(L628),OR(L628&lt;0,L628&gt;95))),"Введите целое число от 0 до 95",IF(OR(AND(J628&lt;&gt;"",NOT(ISNUMBER(J628))),IFERROR(MOD(J628,1),1)&gt;0,AND(ISNUMBER(J628),OR(J628&lt;50,J628&gt;20000000))),"Введите целое число от 50 до 20000000",IF(NOT(ABS(IFERROR(VALUE(LEFT(M628,FIND("-",M628)-1)),M628)*100-(2500+2000000000)/2)&lt;=ABS(2500-2000000000)/2),"Цена со скидкой должна быть от 25 до 20000000",IF(AND(IFERROR(VALUE(LEFT(M628,FIND("-",M628)-1)),M628)*150&lt;=506639,IFERROR(VALUE(LEFT(M628,FIND("-",M628)-1)),M628)*200&gt;506639),"Вы уменьшили цену в несколько раз, товар попадет в карантин цен",IF(IFERROR(VALUE(LEFT(M628,FIND("-",M628)-1)),M628)*200&lt;=506639,"Не сохранили изменения, чтобы защитить от ошибки — новые цены меньше текущих более чем в 2 раза. Снижайте их постепенно",IF(AND(IFERROR(VALUE(I628),0)=0,ISNUMBER(J628),OR(J628&lt;463,ABS(IFERROR(VALUE(LEFT(M628,FIND("-",M628)-1)),M628))*100&lt;46300)),"Проверьте цену товара. Большинство товаров в выбранной категории стоят дороже 463","")))))),"")</f>
      </c>
    </row>
    <row r="629">
      <c r="A629" s="2" t="inlineStr">
        <is>
          <t/>
        </is>
      </c>
      <c r="B629" s="2" t="inlineStr">
        <is>
          <t>Водонагреватели</t>
        </is>
      </c>
      <c r="C629" s="2">
        <v>600650844</v>
      </c>
      <c r="D629" s="2" t="inlineStr">
        <is>
          <t>192589</t>
        </is>
      </c>
      <c r="E629" s="2" t="inlineStr">
        <is>
          <t>2047129359648</t>
        </is>
      </c>
      <c r="F629" s="2">
        <v>0</v>
      </c>
      <c r="G629" s="2">
        <v>7</v>
      </c>
      <c r="H629" s="2" t="inlineStr">
        <is>
          <t/>
        </is>
      </c>
      <c r="I629" s="2" t="inlineStr">
        <is>
          <t>24009</t>
        </is>
      </c>
      <c r="J629" s="4"/>
      <c r="K629" s="2">
        <v>80</v>
      </c>
      <c r="L629" s="6"/>
      <c r="M629" s="2" t="str">
        <f>IF(J629="",ROUND(I629*(1-IF(ISBLANK(L629),K629,L629)/100),2),ROUND(J629*(1-IF(ISBLANK(L629),K629,L629)/100),2))</f>
      </c>
      <c r="N629" s="7" t="str">
        <f>IF(NOT(AND(J629="",L629="")),IF(OR(AND(L629&lt;&gt;"",NOT(ISNUMBER(L629))),IFERROR(MOD(L629,1),1)&gt;0,AND(ISNUMBER(L629),OR(L629&lt;0,L629&gt;95))),"Введите целое число от 0 до 95",IF(OR(AND(J629&lt;&gt;"",NOT(ISNUMBER(J629))),IFERROR(MOD(J629,1),1)&gt;0,AND(ISNUMBER(J629),OR(J629&lt;50,J629&gt;20000000))),"Введите целое число от 50 до 20000000",IF(NOT(ABS(IFERROR(VALUE(LEFT(M629,FIND("-",M629)-1)),M629)*100-(2500+2000000000)/2)&lt;=ABS(2500-2000000000)/2),"Цена со скидкой должна быть от 25 до 20000000",IF(AND(IFERROR(VALUE(LEFT(M629,FIND("-",M629)-1)),M629)*150&lt;=480179,IFERROR(VALUE(LEFT(M629,FIND("-",M629)-1)),M629)*200&gt;480179),"Вы уменьшили цену в несколько раз, товар попадет в карантин цен",IF(IFERROR(VALUE(LEFT(M629,FIND("-",M629)-1)),M629)*200&lt;=480179,"Не сохранили изменения, чтобы защитить от ошибки — новые цены меньше текущих более чем в 2 раза. Снижайте их постепенно",IF(AND(IFERROR(VALUE(I629),0)=0,ISNUMBER(J629),OR(J629&lt;463,ABS(IFERROR(VALUE(LEFT(M629,FIND("-",M629)-1)),M629))*100&lt;46300)),"Проверьте цену товара. Большинство товаров в выбранной категории стоят дороже 463","")))))),"")</f>
      </c>
    </row>
    <row r="630">
      <c r="A630" s="2" t="inlineStr">
        <is>
          <t/>
        </is>
      </c>
      <c r="B630" s="2" t="inlineStr">
        <is>
          <t>Перчатки хозяйственные</t>
        </is>
      </c>
      <c r="C630" s="2">
        <v>618362525</v>
      </c>
      <c r="D630" s="2" t="inlineStr">
        <is>
          <t>790783</t>
        </is>
      </c>
      <c r="E630" s="2" t="inlineStr">
        <is>
          <t>2047308267139</t>
        </is>
      </c>
      <c r="F630" s="2">
        <v>0</v>
      </c>
      <c r="G630" s="2">
        <v>26</v>
      </c>
      <c r="H630" s="2" t="inlineStr">
        <is>
          <t/>
        </is>
      </c>
      <c r="I630" s="2" t="inlineStr">
        <is>
          <t>4333</t>
        </is>
      </c>
      <c r="J630" s="4"/>
      <c r="K630" s="2">
        <v>65</v>
      </c>
      <c r="L630" s="6"/>
      <c r="M630" s="2" t="str">
        <f>IF(J630="",ROUND(I630*(1-IF(ISBLANK(L630),K630,L630)/100),2),ROUND(J630*(1-IF(ISBLANK(L630),K630,L630)/100),2))</f>
      </c>
      <c r="N630" s="7" t="str">
        <f>IF(NOT(AND(J630="",L630="")),IF(OR(AND(L630&lt;&gt;"",NOT(ISNUMBER(L630))),IFERROR(MOD(L630,1),1)&gt;0,AND(ISNUMBER(L630),OR(L630&lt;0,L630&gt;95))),"Введите целое число от 0 до 95",IF(OR(AND(J630&lt;&gt;"",NOT(ISNUMBER(J630))),IFERROR(MOD(J630,1),1)&gt;0,AND(ISNUMBER(J630),OR(J630&lt;50,J630&gt;20000000))),"Введите целое число от 50 до 20000000",IF(NOT(ABS(IFERROR(VALUE(LEFT(M630,FIND("-",M630)-1)),M630)*100-(2500+2000000000)/2)&lt;=ABS(2500-2000000000)/2),"Цена со скидкой должна быть от 25 до 20000000",IF(AND(IFERROR(VALUE(LEFT(M630,FIND("-",M630)-1)),M630)*150&lt;=151655,IFERROR(VALUE(LEFT(M630,FIND("-",M630)-1)),M630)*200&gt;151655),"Вы уменьшили цену в несколько раз, товар попадет в карантин цен",IF(IFERROR(VALUE(LEFT(M630,FIND("-",M630)-1)),M630)*200&lt;=151655,"Не сохранили изменения, чтобы защитить от ошибки — новые цены меньше текущих более чем в 2 раза. Снижайте их постепенно",IF(AND(IFERROR(VALUE(I630),0)=0,ISNUMBER(J630),OR(J630&lt;227,ABS(IFERROR(VALUE(LEFT(M630,FIND("-",M630)-1)),M630))*100&lt;22700)),"Проверьте цену товара. Большинство товаров в выбранной категории стоят дороже 227","")))))),"")</f>
      </c>
    </row>
    <row r="631">
      <c r="A631" s="2" t="inlineStr">
        <is>
          <t/>
        </is>
      </c>
      <c r="B631" s="2" t="inlineStr">
        <is>
          <t>Перчатки хозяйственные</t>
        </is>
      </c>
      <c r="C631" s="2">
        <v>618362531</v>
      </c>
      <c r="D631" s="2" t="inlineStr">
        <is>
          <t>790422</t>
        </is>
      </c>
      <c r="E631" s="2" t="inlineStr">
        <is>
          <t>2047308267566</t>
        </is>
      </c>
      <c r="F631" s="2">
        <v>0</v>
      </c>
      <c r="G631" s="2">
        <v>0</v>
      </c>
      <c r="H631" s="2" t="inlineStr">
        <is>
          <t/>
        </is>
      </c>
      <c r="I631" s="2" t="inlineStr">
        <is>
          <t>7604</t>
        </is>
      </c>
      <c r="J631" s="4"/>
      <c r="K631" s="2">
        <v>65</v>
      </c>
      <c r="L631" s="6"/>
      <c r="M631" s="2" t="str">
        <f>IF(J631="",ROUND(I631*(1-IF(ISBLANK(L631),K631,L631)/100),2),ROUND(J631*(1-IF(ISBLANK(L631),K631,L631)/100),2))</f>
      </c>
      <c r="N631" s="7" t="str">
        <f>IF(NOT(AND(J631="",L631="")),IF(OR(AND(L631&lt;&gt;"",NOT(ISNUMBER(L631))),IFERROR(MOD(L631,1),1)&gt;0,AND(ISNUMBER(L631),OR(L631&lt;0,L631&gt;95))),"Введите целое число от 0 до 95",IF(OR(AND(J631&lt;&gt;"",NOT(ISNUMBER(J631))),IFERROR(MOD(J631,1),1)&gt;0,AND(ISNUMBER(J631),OR(J631&lt;50,J631&gt;20000000))),"Введите целое число от 50 до 20000000",IF(NOT(ABS(IFERROR(VALUE(LEFT(M631,FIND("-",M631)-1)),M631)*100-(2500+2000000000)/2)&lt;=ABS(2500-2000000000)/2),"Цена со скидкой должна быть от 25 до 20000000",IF(AND(IFERROR(VALUE(LEFT(M631,FIND("-",M631)-1)),M631)*150&lt;=266139,IFERROR(VALUE(LEFT(M631,FIND("-",M631)-1)),M631)*200&gt;266139),"Вы уменьшили цену в несколько раз, товар попадет в карантин цен",IF(IFERROR(VALUE(LEFT(M631,FIND("-",M631)-1)),M631)*200&lt;=266139,"Не сохранили изменения, чтобы защитить от ошибки — новые цены меньше текущих более чем в 2 раза. Снижайте их постепенно",IF(AND(IFERROR(VALUE(I631),0)=0,ISNUMBER(J631),OR(J631&lt;227,ABS(IFERROR(VALUE(LEFT(M631,FIND("-",M631)-1)),M631))*100&lt;22700)),"Проверьте цену товара. Большинство товаров в выбранной категории стоят дороже 227","")))))),"")</f>
      </c>
    </row>
    <row r="632">
      <c r="A632" s="2" t="inlineStr">
        <is>
          <t/>
        </is>
      </c>
      <c r="B632" s="2" t="inlineStr">
        <is>
          <t>Водонагреватели</t>
        </is>
      </c>
      <c r="C632" s="2">
        <v>600650849</v>
      </c>
      <c r="D632" s="2" t="inlineStr">
        <is>
          <t>190610</t>
        </is>
      </c>
      <c r="E632" s="2" t="inlineStr">
        <is>
          <t>2047129359747</t>
        </is>
      </c>
      <c r="F632" s="2">
        <v>0</v>
      </c>
      <c r="G632" s="2">
        <v>0</v>
      </c>
      <c r="H632" s="2">
        <v>12</v>
      </c>
      <c r="I632" s="2" t="inlineStr">
        <is>
          <t>19026</t>
        </is>
      </c>
      <c r="J632" s="4"/>
      <c r="K632" s="2">
        <v>78</v>
      </c>
      <c r="L632" s="6"/>
      <c r="M632" s="2" t="str">
        <f>IF(J632="",ROUND(I632*(1-IF(ISBLANK(L632),K632,L632)/100),2),ROUND(J632*(1-IF(ISBLANK(L632),K632,L632)/100),2))</f>
      </c>
      <c r="N632" s="7" t="str">
        <f>IF(NOT(AND(J632="",L632="")),IF(OR(AND(L632&lt;&gt;"",NOT(ISNUMBER(L632))),IFERROR(MOD(L632,1),1)&gt;0,AND(ISNUMBER(L632),OR(L632&lt;0,L632&gt;95))),"Введите целое число от 0 до 95",IF(OR(AND(J632&lt;&gt;"",NOT(ISNUMBER(J632))),IFERROR(MOD(J632,1),1)&gt;0,AND(ISNUMBER(J632),OR(J632&lt;50,J632&gt;20000000))),"Введите целое число от 50 до 20000000",IF(NOT(ABS(IFERROR(VALUE(LEFT(M632,FIND("-",M632)-1)),M632)*100-(2500+2000000000)/2)&lt;=ABS(2500-2000000000)/2),"Цена со скидкой должна быть от 25 до 20000000",IF(AND(IFERROR(VALUE(LEFT(M632,FIND("-",M632)-1)),M632)*150&lt;=418571,IFERROR(VALUE(LEFT(M632,FIND("-",M632)-1)),M632)*200&gt;418571),"Вы уменьшили цену в несколько раз, товар попадет в карантин цен",IF(IFERROR(VALUE(LEFT(M632,FIND("-",M632)-1)),M632)*200&lt;=418571,"Не сохранили изменения, чтобы защитить от ошибки — новые цены меньше текущих более чем в 2 раза. Снижайте их постепенно",IF(AND(IFERROR(VALUE(I632),0)=0,ISNUMBER(J632),OR(J632&lt;463,ABS(IFERROR(VALUE(LEFT(M632,FIND("-",M632)-1)),M632))*100&lt;46300)),"Проверьте цену товара. Большинство товаров в выбранной категории стоят дороже 463","")))))),"")</f>
      </c>
    </row>
    <row r="633">
      <c r="A633" s="2" t="inlineStr">
        <is>
          <t/>
        </is>
      </c>
      <c r="B633" s="2" t="inlineStr">
        <is>
          <t>Перчатки хозяйственные</t>
        </is>
      </c>
      <c r="C633" s="2">
        <v>618362535</v>
      </c>
      <c r="D633" s="2" t="inlineStr">
        <is>
          <t>790774</t>
        </is>
      </c>
      <c r="E633" s="2" t="inlineStr">
        <is>
          <t>2047308267771</t>
        </is>
      </c>
      <c r="F633" s="2">
        <v>0</v>
      </c>
      <c r="G633" s="2">
        <v>0</v>
      </c>
      <c r="H633" s="2" t="inlineStr">
        <is>
          <t/>
        </is>
      </c>
      <c r="I633" s="2" t="inlineStr">
        <is>
          <t>4099</t>
        </is>
      </c>
      <c r="J633" s="4"/>
      <c r="K633" s="2">
        <v>65</v>
      </c>
      <c r="L633" s="6"/>
      <c r="M633" s="2" t="str">
        <f>IF(J633="",ROUND(I633*(1-IF(ISBLANK(L633),K633,L633)/100),2),ROUND(J633*(1-IF(ISBLANK(L633),K633,L633)/100),2))</f>
      </c>
      <c r="N633" s="7" t="str">
        <f>IF(NOT(AND(J633="",L633="")),IF(OR(AND(L633&lt;&gt;"",NOT(ISNUMBER(L633))),IFERROR(MOD(L633,1),1)&gt;0,AND(ISNUMBER(L633),OR(L633&lt;0,L633&gt;95))),"Введите целое число от 0 до 95",IF(OR(AND(J633&lt;&gt;"",NOT(ISNUMBER(J633))),IFERROR(MOD(J633,1),1)&gt;0,AND(ISNUMBER(J633),OR(J633&lt;50,J633&gt;20000000))),"Введите целое число от 50 до 20000000",IF(NOT(ABS(IFERROR(VALUE(LEFT(M633,FIND("-",M633)-1)),M633)*100-(2500+2000000000)/2)&lt;=ABS(2500-2000000000)/2),"Цена со скидкой должна быть от 25 до 20000000",IF(AND(IFERROR(VALUE(LEFT(M633,FIND("-",M633)-1)),M633)*150&lt;=143465,IFERROR(VALUE(LEFT(M633,FIND("-",M633)-1)),M633)*200&gt;143465),"Вы уменьшили цену в несколько раз, товар попадет в карантин цен",IF(IFERROR(VALUE(LEFT(M633,FIND("-",M633)-1)),M633)*200&lt;=143465,"Не сохранили изменения, чтобы защитить от ошибки — новые цены меньше текущих более чем в 2 раза. Снижайте их постепенно",IF(AND(IFERROR(VALUE(I633),0)=0,ISNUMBER(J633),OR(J633&lt;227,ABS(IFERROR(VALUE(LEFT(M633,FIND("-",M633)-1)),M633))*100&lt;22700)),"Проверьте цену товара. Большинство товаров в выбранной категории стоят дороже 227","")))))),"")</f>
      </c>
    </row>
    <row r="634">
      <c r="A634" s="2" t="inlineStr">
        <is>
          <t/>
        </is>
      </c>
      <c r="B634" s="2" t="inlineStr">
        <is>
          <t>Формы для запекания</t>
        </is>
      </c>
      <c r="C634" s="2">
        <v>618382625</v>
      </c>
      <c r="D634" s="2" t="inlineStr">
        <is>
          <t>075815</t>
        </is>
      </c>
      <c r="E634" s="2" t="inlineStr">
        <is>
          <t>2047308549327</t>
        </is>
      </c>
      <c r="F634" s="2" t="inlineStr">
        <is>
          <t/>
        </is>
      </c>
      <c r="G634" s="2" t="inlineStr">
        <is>
          <t/>
        </is>
      </c>
      <c r="H634" s="2" t="inlineStr">
        <is>
          <t/>
        </is>
      </c>
      <c r="I634" s="2" t="inlineStr">
        <is>
          <t>0</t>
        </is>
      </c>
      <c r="J634" s="4"/>
      <c r="K634" s="2">
        <v>0</v>
      </c>
      <c r="L634" s="6"/>
      <c r="M634" s="2" t="str">
        <f>IF(J634="",ROUND(I634*(1-IF(ISBLANK(L634),K634,L634)/100),2),ROUND(J634*(1-IF(ISBLANK(L634),K634,L634)/100),2))</f>
      </c>
      <c r="N634" s="7" t="str">
        <f>IF(NOT(AND(J634="",L634="")),IF(OR(AND(L634&lt;&gt;"",NOT(ISNUMBER(L634))),IFERROR(MOD(L634,1),1)&gt;0,AND(ISNUMBER(L634),OR(L634&lt;0,L634&gt;95))),"Введите целое число от 0 до 95",IF(OR(AND(J634&lt;&gt;"",NOT(ISNUMBER(J634))),IFERROR(MOD(J634,1),1)&gt;0,AND(ISNUMBER(J634),OR(J634&lt;50,J634&gt;20000000))),"Введите целое число от 50 до 20000000",IF(NOT(ABS(IFERROR(VALUE(LEFT(M634,FIND("-",M634)-1)),M634)*100-(2500+2000000000)/2)&lt;=ABS(2500-2000000000)/2),"Цена со скидкой должна быть от 25 до 20000000",IF(AND(IFERROR(VALUE(LEFT(M634,FIND("-",M634)-1)),M634)*150&lt;=0,IFERROR(VALUE(LEFT(M634,FIND("-",M634)-1)),M634)*200&gt;0),"Вы уменьшили цену в несколько раз, товар попадет в карантин цен",IF(IFERROR(VALUE(LEFT(M634,FIND("-",M634)-1)),M634)*200&lt;=0,"Не сохранили изменения, чтобы защитить от ошибки — новые цены меньше текущих более чем в 2 раза. Снижайте их постепенно",IF(AND(IFERROR(VALUE(I634),0)=0,ISNUMBER(J634),OR(J634&lt;290,ABS(IFERROR(VALUE(LEFT(M634,FIND("-",M634)-1)),M634))*100&lt;29000)),"Проверьте цену товара. Большинство товаров в выбранной категории стоят дороже 290","")))))),"")</f>
      </c>
    </row>
    <row r="635">
      <c r="A635" s="2" t="inlineStr">
        <is>
          <t/>
        </is>
      </c>
      <c r="B635" s="2" t="inlineStr">
        <is>
          <t>Перчатки хозяйственные</t>
        </is>
      </c>
      <c r="C635" s="2">
        <v>618362533</v>
      </c>
      <c r="D635" s="2" t="inlineStr">
        <is>
          <t>790772</t>
        </is>
      </c>
      <c r="E635" s="2" t="inlineStr">
        <is>
          <t>2047308267627</t>
        </is>
      </c>
      <c r="F635" s="2">
        <v>0</v>
      </c>
      <c r="G635" s="2">
        <v>0</v>
      </c>
      <c r="H635" s="2" t="inlineStr">
        <is>
          <t/>
        </is>
      </c>
      <c r="I635" s="2" t="inlineStr">
        <is>
          <t>4099</t>
        </is>
      </c>
      <c r="J635" s="4"/>
      <c r="K635" s="2">
        <v>65</v>
      </c>
      <c r="L635" s="6"/>
      <c r="M635" s="2" t="str">
        <f>IF(J635="",ROUND(I635*(1-IF(ISBLANK(L635),K635,L635)/100),2),ROUND(J635*(1-IF(ISBLANK(L635),K635,L635)/100),2))</f>
      </c>
      <c r="N635" s="7" t="str">
        <f>IF(NOT(AND(J635="",L635="")),IF(OR(AND(L635&lt;&gt;"",NOT(ISNUMBER(L635))),IFERROR(MOD(L635,1),1)&gt;0,AND(ISNUMBER(L635),OR(L635&lt;0,L635&gt;95))),"Введите целое число от 0 до 95",IF(OR(AND(J635&lt;&gt;"",NOT(ISNUMBER(J635))),IFERROR(MOD(J635,1),1)&gt;0,AND(ISNUMBER(J635),OR(J635&lt;50,J635&gt;20000000))),"Введите целое число от 50 до 20000000",IF(NOT(ABS(IFERROR(VALUE(LEFT(M635,FIND("-",M635)-1)),M635)*100-(2500+2000000000)/2)&lt;=ABS(2500-2000000000)/2),"Цена со скидкой должна быть от 25 до 20000000",IF(AND(IFERROR(VALUE(LEFT(M635,FIND("-",M635)-1)),M635)*150&lt;=143465,IFERROR(VALUE(LEFT(M635,FIND("-",M635)-1)),M635)*200&gt;143465),"Вы уменьшили цену в несколько раз, товар попадет в карантин цен",IF(IFERROR(VALUE(LEFT(M635,FIND("-",M635)-1)),M635)*200&lt;=143465,"Не сохранили изменения, чтобы защитить от ошибки — новые цены меньше текущих более чем в 2 раза. Снижайте их постепенно",IF(AND(IFERROR(VALUE(I635),0)=0,ISNUMBER(J635),OR(J635&lt;227,ABS(IFERROR(VALUE(LEFT(M635,FIND("-",M635)-1)),M635))*100&lt;22700)),"Проверьте цену товара. Большинство товаров в выбранной категории стоят дороже 227","")))))),"")</f>
      </c>
    </row>
    <row r="636">
      <c r="A636" s="2" t="inlineStr">
        <is>
          <t/>
        </is>
      </c>
      <c r="B636" s="2" t="inlineStr">
        <is>
          <t>Перчатки хозяйственные</t>
        </is>
      </c>
      <c r="C636" s="2">
        <v>618362528</v>
      </c>
      <c r="D636" s="2" t="inlineStr">
        <is>
          <t>790421</t>
        </is>
      </c>
      <c r="E636" s="2" t="inlineStr">
        <is>
          <t>2047308267313</t>
        </is>
      </c>
      <c r="F636" s="2">
        <v>0</v>
      </c>
      <c r="G636" s="2">
        <v>5</v>
      </c>
      <c r="H636" s="2" t="inlineStr">
        <is>
          <t/>
        </is>
      </c>
      <c r="I636" s="2" t="inlineStr">
        <is>
          <t>8862</t>
        </is>
      </c>
      <c r="J636" s="4"/>
      <c r="K636" s="2">
        <v>75</v>
      </c>
      <c r="L636" s="6"/>
      <c r="M636" s="2" t="str">
        <f>IF(J636="",ROUND(I636*(1-IF(ISBLANK(L636),K636,L636)/100),2),ROUND(J636*(1-IF(ISBLANK(L636),K636,L636)/100),2))</f>
      </c>
      <c r="N636" s="7" t="str">
        <f>IF(NOT(AND(J636="",L636="")),IF(OR(AND(L636&lt;&gt;"",NOT(ISNUMBER(L636))),IFERROR(MOD(L636,1),1)&gt;0,AND(ISNUMBER(L636),OR(L636&lt;0,L636&gt;95))),"Введите целое число от 0 до 95",IF(OR(AND(J636&lt;&gt;"",NOT(ISNUMBER(J636))),IFERROR(MOD(J636,1),1)&gt;0,AND(ISNUMBER(J636),OR(J636&lt;50,J636&gt;20000000))),"Введите целое число от 50 до 20000000",IF(NOT(ABS(IFERROR(VALUE(LEFT(M636,FIND("-",M636)-1)),M636)*100-(2500+2000000000)/2)&lt;=ABS(2500-2000000000)/2),"Цена со скидкой должна быть от 25 до 20000000",IF(AND(IFERROR(VALUE(LEFT(M636,FIND("-",M636)-1)),M636)*150&lt;=221550,IFERROR(VALUE(LEFT(M636,FIND("-",M636)-1)),M636)*200&gt;221550),"Вы уменьшили цену в несколько раз, товар попадет в карантин цен",IF(IFERROR(VALUE(LEFT(M636,FIND("-",M636)-1)),M636)*200&lt;=221550,"Не сохранили изменения, чтобы защитить от ошибки — новые цены меньше текущих более чем в 2 раза. Снижайте их постепенно",IF(AND(IFERROR(VALUE(I636),0)=0,ISNUMBER(J636),OR(J636&lt;227,ABS(IFERROR(VALUE(LEFT(M636,FIND("-",M636)-1)),M636))*100&lt;22700)),"Проверьте цену товара. Большинство товаров в выбранной категории стоят дороже 227","")))))),"")</f>
      </c>
    </row>
    <row r="637">
      <c r="A637" s="2" t="inlineStr">
        <is>
          <t/>
        </is>
      </c>
      <c r="B637" s="2" t="inlineStr">
        <is>
          <t>Формы для запекания</t>
        </is>
      </c>
      <c r="C637" s="2">
        <v>618382630</v>
      </c>
      <c r="D637" s="2" t="inlineStr">
        <is>
          <t>121956</t>
        </is>
      </c>
      <c r="E637" s="2" t="inlineStr">
        <is>
          <t>2047308549389</t>
        </is>
      </c>
      <c r="F637" s="2">
        <v>0</v>
      </c>
      <c r="G637" s="2">
        <v>0</v>
      </c>
      <c r="H637" s="2" t="inlineStr">
        <is>
          <t/>
        </is>
      </c>
      <c r="I637" s="2" t="inlineStr">
        <is>
          <t>9484</t>
        </is>
      </c>
      <c r="J637" s="4"/>
      <c r="K637" s="2">
        <v>65</v>
      </c>
      <c r="L637" s="6"/>
      <c r="M637" s="2" t="str">
        <f>IF(J637="",ROUND(I637*(1-IF(ISBLANK(L637),K637,L637)/100),2),ROUND(J637*(1-IF(ISBLANK(L637),K637,L637)/100),2))</f>
      </c>
      <c r="N637" s="7" t="str">
        <f>IF(NOT(AND(J637="",L637="")),IF(OR(AND(L637&lt;&gt;"",NOT(ISNUMBER(L637))),IFERROR(MOD(L637,1),1)&gt;0,AND(ISNUMBER(L637),OR(L637&lt;0,L637&gt;95))),"Введите целое число от 0 до 95",IF(OR(AND(J637&lt;&gt;"",NOT(ISNUMBER(J637))),IFERROR(MOD(J637,1),1)&gt;0,AND(ISNUMBER(J637),OR(J637&lt;50,J637&gt;20000000))),"Введите целое число от 50 до 20000000",IF(NOT(ABS(IFERROR(VALUE(LEFT(M637,FIND("-",M637)-1)),M637)*100-(2500+2000000000)/2)&lt;=ABS(2500-2000000000)/2),"Цена со скидкой должна быть от 25 до 20000000",IF(AND(IFERROR(VALUE(LEFT(M637,FIND("-",M637)-1)),M637)*150&lt;=331939,IFERROR(VALUE(LEFT(M637,FIND("-",M637)-1)),M637)*200&gt;331939),"Вы уменьшили цену в несколько раз, товар попадет в карантин цен",IF(IFERROR(VALUE(LEFT(M637,FIND("-",M637)-1)),M637)*200&lt;=331939,"Не сохранили изменения, чтобы защитить от ошибки — новые цены меньше текущих более чем в 2 раза. Снижайте их постепенно",IF(AND(IFERROR(VALUE(I637),0)=0,ISNUMBER(J637),OR(J637&lt;290,ABS(IFERROR(VALUE(LEFT(M637,FIND("-",M637)-1)),M637))*100&lt;29000)),"Проверьте цену товара. Большинство товаров в выбранной категории стоят дороже 290","")))))),"")</f>
      </c>
    </row>
    <row r="638">
      <c r="A638" s="2" t="inlineStr">
        <is>
          <t/>
        </is>
      </c>
      <c r="B638" s="2" t="inlineStr">
        <is>
          <t>Формы для запекания</t>
        </is>
      </c>
      <c r="C638" s="2">
        <v>618382622</v>
      </c>
      <c r="D638" s="2" t="inlineStr">
        <is>
          <t>075816</t>
        </is>
      </c>
      <c r="E638" s="2" t="inlineStr">
        <is>
          <t>2047308549297</t>
        </is>
      </c>
      <c r="F638" s="2">
        <v>0</v>
      </c>
      <c r="G638" s="2">
        <v>0</v>
      </c>
      <c r="H638" s="2" t="inlineStr">
        <is>
          <t/>
        </is>
      </c>
      <c r="I638" s="2" t="inlineStr">
        <is>
          <t>7864</t>
        </is>
      </c>
      <c r="J638" s="4"/>
      <c r="K638" s="2">
        <v>65</v>
      </c>
      <c r="L638" s="6"/>
      <c r="M638" s="2" t="str">
        <f>IF(J638="",ROUND(I638*(1-IF(ISBLANK(L638),K638,L638)/100),2),ROUND(J638*(1-IF(ISBLANK(L638),K638,L638)/100),2))</f>
      </c>
      <c r="N638" s="7" t="str">
        <f>IF(NOT(AND(J638="",L638="")),IF(OR(AND(L638&lt;&gt;"",NOT(ISNUMBER(L638))),IFERROR(MOD(L638,1),1)&gt;0,AND(ISNUMBER(L638),OR(L638&lt;0,L638&gt;95))),"Введите целое число от 0 до 95",IF(OR(AND(J638&lt;&gt;"",NOT(ISNUMBER(J638))),IFERROR(MOD(J638,1),1)&gt;0,AND(ISNUMBER(J638),OR(J638&lt;50,J638&gt;20000000))),"Введите целое число от 50 до 20000000",IF(NOT(ABS(IFERROR(VALUE(LEFT(M638,FIND("-",M638)-1)),M638)*100-(2500+2000000000)/2)&lt;=ABS(2500-2000000000)/2),"Цена со скидкой должна быть от 25 до 20000000",IF(AND(IFERROR(VALUE(LEFT(M638,FIND("-",M638)-1)),M638)*150&lt;=275239,IFERROR(VALUE(LEFT(M638,FIND("-",M638)-1)),M638)*200&gt;275239),"Вы уменьшили цену в несколько раз, товар попадет в карантин цен",IF(IFERROR(VALUE(LEFT(M638,FIND("-",M638)-1)),M638)*200&lt;=275239,"Не сохранили изменения, чтобы защитить от ошибки — новые цены меньше текущих более чем в 2 раза. Снижайте их постепенно",IF(AND(IFERROR(VALUE(I638),0)=0,ISNUMBER(J638),OR(J638&lt;290,ABS(IFERROR(VALUE(LEFT(M638,FIND("-",M638)-1)),M638))*100&lt;29000)),"Проверьте цену товара. Большинство товаров в выбранной категории стоят дороже 290","")))))),"")</f>
      </c>
    </row>
    <row r="639">
      <c r="A639" s="2" t="inlineStr">
        <is>
          <t/>
        </is>
      </c>
      <c r="B639" s="2" t="inlineStr">
        <is>
          <t>Формы для запекания</t>
        </is>
      </c>
      <c r="C639" s="2">
        <v>618382623</v>
      </c>
      <c r="D639" s="2" t="inlineStr">
        <is>
          <t>075817</t>
        </is>
      </c>
      <c r="E639" s="2" t="inlineStr">
        <is>
          <t>2047308549303</t>
        </is>
      </c>
      <c r="F639" s="2">
        <v>0</v>
      </c>
      <c r="G639" s="2">
        <v>0</v>
      </c>
      <c r="H639" s="2" t="inlineStr">
        <is>
          <t/>
        </is>
      </c>
      <c r="I639" s="2" t="inlineStr">
        <is>
          <t>6960</t>
        </is>
      </c>
      <c r="J639" s="4"/>
      <c r="K639" s="2">
        <v>65</v>
      </c>
      <c r="L639" s="6"/>
      <c r="M639" s="2" t="str">
        <f>IF(J639="",ROUND(I639*(1-IF(ISBLANK(L639),K639,L639)/100),2),ROUND(J639*(1-IF(ISBLANK(L639),K639,L639)/100),2))</f>
      </c>
      <c r="N639" s="7" t="str">
        <f>IF(NOT(AND(J639="",L639="")),IF(OR(AND(L639&lt;&gt;"",NOT(ISNUMBER(L639))),IFERROR(MOD(L639,1),1)&gt;0,AND(ISNUMBER(L639),OR(L639&lt;0,L639&gt;95))),"Введите целое число от 0 до 95",IF(OR(AND(J639&lt;&gt;"",NOT(ISNUMBER(J639))),IFERROR(MOD(J639,1),1)&gt;0,AND(ISNUMBER(J639),OR(J639&lt;50,J639&gt;20000000))),"Введите целое число от 50 до 20000000",IF(NOT(ABS(IFERROR(VALUE(LEFT(M639,FIND("-",M639)-1)),M639)*100-(2500+2000000000)/2)&lt;=ABS(2500-2000000000)/2),"Цена со скидкой должна быть от 25 до 20000000",IF(AND(IFERROR(VALUE(LEFT(M639,FIND("-",M639)-1)),M639)*150&lt;=243600,IFERROR(VALUE(LEFT(M639,FIND("-",M639)-1)),M639)*200&gt;243600),"Вы уменьшили цену в несколько раз, товар попадет в карантин цен",IF(IFERROR(VALUE(LEFT(M639,FIND("-",M639)-1)),M639)*200&lt;=243600,"Не сохранили изменения, чтобы защитить от ошибки — новые цены меньше текущих более чем в 2 раза. Снижайте их постепенно",IF(AND(IFERROR(VALUE(I639),0)=0,ISNUMBER(J639),OR(J639&lt;290,ABS(IFERROR(VALUE(LEFT(M639,FIND("-",M639)-1)),M639))*100&lt;29000)),"Проверьте цену товара. Большинство товаров в выбранной категории стоят дороже 290","")))))),"")</f>
      </c>
    </row>
    <row r="640">
      <c r="A640" s="2" t="inlineStr">
        <is>
          <t/>
        </is>
      </c>
      <c r="B640" s="2" t="inlineStr">
        <is>
          <t>Хлебницы</t>
        </is>
      </c>
      <c r="C640" s="2">
        <v>618385638</v>
      </c>
      <c r="D640" s="2" t="inlineStr">
        <is>
          <t>93783</t>
        </is>
      </c>
      <c r="E640" s="2" t="inlineStr">
        <is>
          <t>2047308586254</t>
        </is>
      </c>
      <c r="F640" s="2">
        <v>0</v>
      </c>
      <c r="G640" s="2">
        <v>0</v>
      </c>
      <c r="H640" s="2" t="inlineStr">
        <is>
          <t/>
        </is>
      </c>
      <c r="I640" s="2" t="inlineStr">
        <is>
          <t>0</t>
        </is>
      </c>
      <c r="J640" s="4"/>
      <c r="K640" s="2">
        <v>0</v>
      </c>
      <c r="L640" s="6"/>
      <c r="M640" s="2" t="str">
        <f>IF(J640="",ROUND(I640*(1-IF(ISBLANK(L640),K640,L640)/100),2),ROUND(J640*(1-IF(ISBLANK(L640),K640,L640)/100),2))</f>
      </c>
      <c r="N640" s="7" t="str">
        <f>IF(NOT(AND(J640="",L640="")),IF(OR(AND(L640&lt;&gt;"",NOT(ISNUMBER(L640))),IFERROR(MOD(L640,1),1)&gt;0,AND(ISNUMBER(L640),OR(L640&lt;0,L640&gt;95))),"Введите целое число от 0 до 95",IF(OR(AND(J640&lt;&gt;"",NOT(ISNUMBER(J640))),IFERROR(MOD(J640,1),1)&gt;0,AND(ISNUMBER(J640),OR(J640&lt;50,J640&gt;20000000))),"Введите целое число от 50 до 20000000",IF(NOT(ABS(IFERROR(VALUE(LEFT(M640,FIND("-",M640)-1)),M640)*100-(2500+2000000000)/2)&lt;=ABS(2500-2000000000)/2),"Цена со скидкой должна быть от 25 до 20000000",IF(AND(IFERROR(VALUE(LEFT(M640,FIND("-",M640)-1)),M640)*150&lt;=0,IFERROR(VALUE(LEFT(M640,FIND("-",M640)-1)),M640)*200&gt;0),"Вы уменьшили цену в несколько раз, товар попадет в карантин цен",IF(IFERROR(VALUE(LEFT(M640,FIND("-",M640)-1)),M640)*200&lt;=0,"Не сохранили изменения, чтобы защитить от ошибки — новые цены меньше текущих более чем в 2 раза. Снижайте их постепенно",IF(AND(IFERROR(VALUE(I640),0)=0,ISNUMBER(J640),OR(J640&lt;473,ABS(IFERROR(VALUE(LEFT(M640,FIND("-",M640)-1)),M640))*100&lt;47300)),"Проверьте цену товара. Большинство товаров в выбранной категории стоят дороже 473","")))))),"")</f>
      </c>
    </row>
    <row r="641">
      <c r="A641" s="2" t="inlineStr">
        <is>
          <t/>
        </is>
      </c>
      <c r="B641" s="2" t="inlineStr">
        <is>
          <t>Формы для запекания</t>
        </is>
      </c>
      <c r="C641" s="2">
        <v>618382629</v>
      </c>
      <c r="D641" s="2" t="inlineStr">
        <is>
          <t>35405</t>
        </is>
      </c>
      <c r="E641" s="2" t="inlineStr">
        <is>
          <t>2047308549372</t>
        </is>
      </c>
      <c r="F641" s="2">
        <v>0</v>
      </c>
      <c r="G641" s="2">
        <v>1</v>
      </c>
      <c r="H641" s="2" t="inlineStr">
        <is>
          <t/>
        </is>
      </c>
      <c r="I641" s="2" t="inlineStr">
        <is>
          <t>7076</t>
        </is>
      </c>
      <c r="J641" s="4"/>
      <c r="K641" s="2">
        <v>76</v>
      </c>
      <c r="L641" s="6"/>
      <c r="M641" s="2" t="str">
        <f>IF(J641="",ROUND(I641*(1-IF(ISBLANK(L641),K641,L641)/100),2),ROUND(J641*(1-IF(ISBLANK(L641),K641,L641)/100),2))</f>
      </c>
      <c r="N641" s="7" t="str">
        <f>IF(NOT(AND(J641="",L641="")),IF(OR(AND(L641&lt;&gt;"",NOT(ISNUMBER(L641))),IFERROR(MOD(L641,1),1)&gt;0,AND(ISNUMBER(L641),OR(L641&lt;0,L641&gt;95))),"Введите целое число от 0 до 95",IF(OR(AND(J641&lt;&gt;"",NOT(ISNUMBER(J641))),IFERROR(MOD(J641,1),1)&gt;0,AND(ISNUMBER(J641),OR(J641&lt;50,J641&gt;20000000))),"Введите целое число от 50 до 20000000",IF(NOT(ABS(IFERROR(VALUE(LEFT(M641,FIND("-",M641)-1)),M641)*100-(2500+2000000000)/2)&lt;=ABS(2500-2000000000)/2),"Цена со скидкой должна быть от 25 до 20000000",IF(AND(IFERROR(VALUE(LEFT(M641,FIND("-",M641)-1)),M641)*150&lt;=169824,IFERROR(VALUE(LEFT(M641,FIND("-",M641)-1)),M641)*200&gt;169824),"Вы уменьшили цену в несколько раз, товар попадет в карантин цен",IF(IFERROR(VALUE(LEFT(M641,FIND("-",M641)-1)),M641)*200&lt;=169824,"Не сохранили изменения, чтобы защитить от ошибки — новые цены меньше текущих более чем в 2 раза. Снижайте их постепенно",IF(AND(IFERROR(VALUE(I641),0)=0,ISNUMBER(J641),OR(J641&lt;290,ABS(IFERROR(VALUE(LEFT(M641,FIND("-",M641)-1)),M641))*100&lt;29000)),"Проверьте цену товара. Большинство товаров в выбранной категории стоят дороже 290","")))))),"")</f>
      </c>
    </row>
    <row r="642">
      <c r="A642" s="2" t="inlineStr">
        <is>
          <t/>
        </is>
      </c>
      <c r="B642" s="2" t="inlineStr">
        <is>
          <t>Хлебницы</t>
        </is>
      </c>
      <c r="C642" s="2">
        <v>618385639</v>
      </c>
      <c r="D642" s="2" t="inlineStr">
        <is>
          <t>453049</t>
        </is>
      </c>
      <c r="E642" s="2" t="inlineStr">
        <is>
          <t>2047308586261</t>
        </is>
      </c>
      <c r="F642" s="2">
        <v>0</v>
      </c>
      <c r="G642" s="2">
        <v>5</v>
      </c>
      <c r="H642" s="2" t="inlineStr">
        <is>
          <t/>
        </is>
      </c>
      <c r="I642" s="2" t="inlineStr">
        <is>
          <t>16560</t>
        </is>
      </c>
      <c r="J642" s="4"/>
      <c r="K642" s="2">
        <v>78</v>
      </c>
      <c r="L642" s="6"/>
      <c r="M642" s="2" t="str">
        <f>IF(J642="",ROUND(I642*(1-IF(ISBLANK(L642),K642,L642)/100),2),ROUND(J642*(1-IF(ISBLANK(L642),K642,L642)/100),2))</f>
      </c>
      <c r="N642" s="7" t="str">
        <f>IF(NOT(AND(J642="",L642="")),IF(OR(AND(L642&lt;&gt;"",NOT(ISNUMBER(L642))),IFERROR(MOD(L642,1),1)&gt;0,AND(ISNUMBER(L642),OR(L642&lt;0,L642&gt;95))),"Введите целое число от 0 до 95",IF(OR(AND(J642&lt;&gt;"",NOT(ISNUMBER(J642))),IFERROR(MOD(J642,1),1)&gt;0,AND(ISNUMBER(J642),OR(J642&lt;50,J642&gt;20000000))),"Введите целое число от 50 до 20000000",IF(NOT(ABS(IFERROR(VALUE(LEFT(M642,FIND("-",M642)-1)),M642)*100-(2500+2000000000)/2)&lt;=ABS(2500-2000000000)/2),"Цена со скидкой должна быть от 25 до 20000000",IF(AND(IFERROR(VALUE(LEFT(M642,FIND("-",M642)-1)),M642)*150&lt;=364319,IFERROR(VALUE(LEFT(M642,FIND("-",M642)-1)),M642)*200&gt;364319),"Вы уменьшили цену в несколько раз, товар попадет в карантин цен",IF(IFERROR(VALUE(LEFT(M642,FIND("-",M642)-1)),M642)*200&lt;=364319,"Не сохранили изменения, чтобы защитить от ошибки — новые цены меньше текущих более чем в 2 раза. Снижайте их постепенно",IF(AND(IFERROR(VALUE(I642),0)=0,ISNUMBER(J642),OR(J642&lt;473,ABS(IFERROR(VALUE(LEFT(M642,FIND("-",M642)-1)),M642))*100&lt;47300)),"Проверьте цену товара. Большинство товаров в выбранной категории стоят дороже 473","")))))),"")</f>
      </c>
    </row>
    <row r="643">
      <c r="A643" s="2" t="inlineStr">
        <is>
          <t/>
        </is>
      </c>
      <c r="B643" s="2" t="inlineStr">
        <is>
          <t>Масленки</t>
        </is>
      </c>
      <c r="C643" s="2">
        <v>619472784</v>
      </c>
      <c r="D643" s="2" t="inlineStr">
        <is>
          <t>282360</t>
        </is>
      </c>
      <c r="E643" s="2" t="inlineStr">
        <is>
          <t>2047324792769</t>
        </is>
      </c>
      <c r="F643" s="2">
        <v>1</v>
      </c>
      <c r="G643" s="2">
        <v>23</v>
      </c>
      <c r="H643" s="2">
        <v>999</v>
      </c>
      <c r="I643" s="2" t="inlineStr">
        <is>
          <t>5338</t>
        </is>
      </c>
      <c r="J643" s="4"/>
      <c r="K643" s="2">
        <v>78</v>
      </c>
      <c r="L643" s="6"/>
      <c r="M643" s="2" t="str">
        <f>IF(J643="",ROUND(I643*(1-IF(ISBLANK(L643),K643,L643)/100),2),ROUND(J643*(1-IF(ISBLANK(L643),K643,L643)/100),2))</f>
      </c>
      <c r="N643" s="7" t="str">
        <f>IF(NOT(AND(J643="",L643="")),IF(OR(AND(L643&lt;&gt;"",NOT(ISNUMBER(L643))),IFERROR(MOD(L643,1),1)&gt;0,AND(ISNUMBER(L643),OR(L643&lt;0,L643&gt;95))),"Введите целое число от 0 до 95",IF(OR(AND(J643&lt;&gt;"",NOT(ISNUMBER(J643))),IFERROR(MOD(J643,1),1)&gt;0,AND(ISNUMBER(J643),OR(J643&lt;50,J643&gt;20000000))),"Введите целое число от 50 до 20000000",IF(NOT(ABS(IFERROR(VALUE(LEFT(M643,FIND("-",M643)-1)),M643)*100-(2500+2000000000)/2)&lt;=ABS(2500-2000000000)/2),"Цена со скидкой должна быть от 25 до 20000000",IF(AND(IFERROR(VALUE(LEFT(M643,FIND("-",M643)-1)),M643)*150&lt;=117435,IFERROR(VALUE(LEFT(M643,FIND("-",M643)-1)),M643)*200&gt;117435),"Вы уменьшили цену в несколько раз, товар попадет в карантин цен",IF(IFERROR(VALUE(LEFT(M643,FIND("-",M643)-1)),M643)*200&lt;=117435,"Не сохранили изменения, чтобы защитить от ошибки — новые цены меньше текущих более чем в 2 раза. Снижайте их постепенно",IF(AND(IFERROR(VALUE(I643),0)=0,ISNUMBER(J643),OR(J643&lt;284,ABS(IFERROR(VALUE(LEFT(M643,FIND("-",M643)-1)),M643))*100&lt;28400)),"Проверьте цену товара. Большинство товаров в выбранной категории стоят дороже 284","")))))),"")</f>
      </c>
    </row>
    <row r="644">
      <c r="A644" s="2" t="inlineStr">
        <is>
          <t/>
        </is>
      </c>
      <c r="B644" s="2" t="inlineStr">
        <is>
          <t>Хлебницы</t>
        </is>
      </c>
      <c r="C644" s="2">
        <v>618385637</v>
      </c>
      <c r="D644" s="2" t="inlineStr">
        <is>
          <t>281469</t>
        </is>
      </c>
      <c r="E644" s="2" t="inlineStr">
        <is>
          <t>2047308586247</t>
        </is>
      </c>
      <c r="F644" s="2">
        <v>8</v>
      </c>
      <c r="G644" s="2">
        <v>15</v>
      </c>
      <c r="H644" s="2">
        <v>291</v>
      </c>
      <c r="I644" s="2" t="inlineStr">
        <is>
          <t>14020</t>
        </is>
      </c>
      <c r="J644" s="4"/>
      <c r="K644" s="2">
        <v>80</v>
      </c>
      <c r="L644" s="6"/>
      <c r="M644" s="2" t="str">
        <f>IF(J644="",ROUND(I644*(1-IF(ISBLANK(L644),K644,L644)/100),2),ROUND(J644*(1-IF(ISBLANK(L644),K644,L644)/100),2))</f>
      </c>
      <c r="N644" s="7" t="str">
        <f>IF(NOT(AND(J644="",L644="")),IF(OR(AND(L644&lt;&gt;"",NOT(ISNUMBER(L644))),IFERROR(MOD(L644,1),1)&gt;0,AND(ISNUMBER(L644),OR(L644&lt;0,L644&gt;95))),"Введите целое число от 0 до 95",IF(OR(AND(J644&lt;&gt;"",NOT(ISNUMBER(J644))),IFERROR(MOD(J644,1),1)&gt;0,AND(ISNUMBER(J644),OR(J644&lt;50,J644&gt;20000000))),"Введите целое число от 50 до 20000000",IF(NOT(ABS(IFERROR(VALUE(LEFT(M644,FIND("-",M644)-1)),M644)*100-(2500+2000000000)/2)&lt;=ABS(2500-2000000000)/2),"Цена со скидкой должна быть от 25 до 20000000",IF(AND(IFERROR(VALUE(LEFT(M644,FIND("-",M644)-1)),M644)*150&lt;=280399,IFERROR(VALUE(LEFT(M644,FIND("-",M644)-1)),M644)*200&gt;280399),"Вы уменьшили цену в несколько раз, товар попадет в карантин цен",IF(IFERROR(VALUE(LEFT(M644,FIND("-",M644)-1)),M644)*200&lt;=280399,"Не сохранили изменения, чтобы защитить от ошибки — новые цены меньше текущих более чем в 2 раза. Снижайте их постепенно",IF(AND(IFERROR(VALUE(I644),0)=0,ISNUMBER(J644),OR(J644&lt;473,ABS(IFERROR(VALUE(LEFT(M644,FIND("-",M644)-1)),M644))*100&lt;47300)),"Проверьте цену товара. Большинство товаров в выбранной категории стоят дороже 473","")))))),"")</f>
      </c>
    </row>
    <row r="645">
      <c r="A645" s="2" t="inlineStr">
        <is>
          <t>Luxaro</t>
        </is>
      </c>
      <c r="B645" s="2" t="inlineStr">
        <is>
          <t>Бритвы электрические</t>
        </is>
      </c>
      <c r="C645" s="2">
        <v>600650236</v>
      </c>
      <c r="D645" s="2" t="inlineStr">
        <is>
          <t>192115</t>
        </is>
      </c>
      <c r="E645" s="2" t="inlineStr">
        <is>
          <t>2047106057727</t>
        </is>
      </c>
      <c r="F645" s="2">
        <v>1</v>
      </c>
      <c r="G645" s="2">
        <v>0</v>
      </c>
      <c r="H645" s="2">
        <v>999</v>
      </c>
      <c r="I645" s="2" t="inlineStr">
        <is>
          <t>12500</t>
        </is>
      </c>
      <c r="J645" s="4"/>
      <c r="K645" s="2">
        <v>84</v>
      </c>
      <c r="L645" s="6"/>
      <c r="M645" s="2" t="str">
        <f>IF(J645="",ROUND(I645*(1-IF(ISBLANK(L645),K645,L645)/100),2),ROUND(J645*(1-IF(ISBLANK(L645),K645,L645)/100),2))</f>
      </c>
      <c r="N645" s="7" t="str">
        <f>IF(NOT(AND(J645="",L645="")),IF(OR(AND(L645&lt;&gt;"",NOT(ISNUMBER(L645))),IFERROR(MOD(L645,1),1)&gt;0,AND(ISNUMBER(L645),OR(L645&lt;0,L645&gt;95))),"Введите целое число от 0 до 95",IF(OR(AND(J645&lt;&gt;"",NOT(ISNUMBER(J645))),IFERROR(MOD(J645,1),1)&gt;0,AND(ISNUMBER(J645),OR(J645&lt;50,J645&gt;20000000))),"Введите целое число от 50 до 20000000",IF(NOT(ABS(IFERROR(VALUE(LEFT(M645,FIND("-",M645)-1)),M645)*100-(2500+2000000000)/2)&lt;=ABS(2500-2000000000)/2),"Цена со скидкой должна быть от 25 до 20000000",IF(AND(IFERROR(VALUE(LEFT(M645,FIND("-",M645)-1)),M645)*150&lt;=200000,IFERROR(VALUE(LEFT(M645,FIND("-",M645)-1)),M645)*200&gt;200000),"Вы уменьшили цену в несколько раз, товар попадет в карантин цен",IF(IFERROR(VALUE(LEFT(M645,FIND("-",M645)-1)),M645)*200&lt;=200000,"Не сохранили изменения, чтобы защитить от ошибки — новые цены меньше текущих более чем в 2 раза. Снижайте их постепенно",IF(AND(IFERROR(VALUE(I645),0)=0,ISNUMBER(J645),OR(J645&lt;295,ABS(IFERROR(VALUE(LEFT(M645,FIND("-",M645)-1)),M645))*100&lt;29500)),"Проверьте цену товара. Большинство товаров в выбранной категории стоят дороже 295","")))))),"")</f>
      </c>
    </row>
    <row r="646">
      <c r="A646" s="2" t="inlineStr">
        <is>
          <t/>
        </is>
      </c>
      <c r="B646" s="2" t="inlineStr">
        <is>
          <t>Хлебницы</t>
        </is>
      </c>
      <c r="C646" s="2">
        <v>618385636</v>
      </c>
      <c r="D646" s="2" t="inlineStr">
        <is>
          <t>93583</t>
        </is>
      </c>
      <c r="E646" s="2" t="inlineStr">
        <is>
          <t>2047308586230</t>
        </is>
      </c>
      <c r="F646" s="2">
        <v>0</v>
      </c>
      <c r="G646" s="2">
        <v>0</v>
      </c>
      <c r="H646" s="2" t="inlineStr">
        <is>
          <t/>
        </is>
      </c>
      <c r="I646" s="2" t="inlineStr">
        <is>
          <t>26574</t>
        </is>
      </c>
      <c r="J646" s="4"/>
      <c r="K646" s="2">
        <v>65</v>
      </c>
      <c r="L646" s="6"/>
      <c r="M646" s="2" t="str">
        <f>IF(J646="",ROUND(I646*(1-IF(ISBLANK(L646),K646,L646)/100),2),ROUND(J646*(1-IF(ISBLANK(L646),K646,L646)/100),2))</f>
      </c>
      <c r="N646" s="7" t="str">
        <f>IF(NOT(AND(J646="",L646="")),IF(OR(AND(L646&lt;&gt;"",NOT(ISNUMBER(L646))),IFERROR(MOD(L646,1),1)&gt;0,AND(ISNUMBER(L646),OR(L646&lt;0,L646&gt;95))),"Введите целое число от 0 до 95",IF(OR(AND(J646&lt;&gt;"",NOT(ISNUMBER(J646))),IFERROR(MOD(J646,1),1)&gt;0,AND(ISNUMBER(J646),OR(J646&lt;50,J646&gt;20000000))),"Введите целое число от 50 до 20000000",IF(NOT(ABS(IFERROR(VALUE(LEFT(M646,FIND("-",M646)-1)),M646)*100-(2500+2000000000)/2)&lt;=ABS(2500-2000000000)/2),"Цена со скидкой должна быть от 25 до 20000000",IF(AND(IFERROR(VALUE(LEFT(M646,FIND("-",M646)-1)),M646)*150&lt;=930090,IFERROR(VALUE(LEFT(M646,FIND("-",M646)-1)),M646)*200&gt;930090),"Вы уменьшили цену в несколько раз, товар попадет в карантин цен",IF(IFERROR(VALUE(LEFT(M646,FIND("-",M646)-1)),M646)*200&lt;=930090,"Не сохранили изменения, чтобы защитить от ошибки — новые цены меньше текущих более чем в 2 раза. Снижайте их постепенно",IF(AND(IFERROR(VALUE(I646),0)=0,ISNUMBER(J646),OR(J646&lt;473,ABS(IFERROR(VALUE(LEFT(M646,FIND("-",M646)-1)),M646))*100&lt;47300)),"Проверьте цену товара. Большинство товаров в выбранной категории стоят дороже 473","")))))),"")</f>
      </c>
    </row>
    <row r="647">
      <c r="A647" s="2" t="inlineStr">
        <is>
          <t/>
        </is>
      </c>
      <c r="B647" s="2" t="inlineStr">
        <is>
          <t>Пылесосы</t>
        </is>
      </c>
      <c r="C647" s="2">
        <v>600557599</v>
      </c>
      <c r="D647" s="2" t="inlineStr">
        <is>
          <t>192644</t>
        </is>
      </c>
      <c r="E647" s="2" t="inlineStr">
        <is>
          <t>2047127865028</t>
        </is>
      </c>
      <c r="F647" s="2">
        <v>0</v>
      </c>
      <c r="G647" s="2">
        <v>2</v>
      </c>
      <c r="H647" s="2" t="inlineStr">
        <is>
          <t/>
        </is>
      </c>
      <c r="I647" s="2" t="inlineStr">
        <is>
          <t>45450</t>
        </is>
      </c>
      <c r="J647" s="4"/>
      <c r="K647" s="2">
        <v>70</v>
      </c>
      <c r="L647" s="6"/>
      <c r="M647" s="2" t="str">
        <f>IF(J647="",ROUND(I647*(1-IF(ISBLANK(L647),K647,L647)/100),2),ROUND(J647*(1-IF(ISBLANK(L647),K647,L647)/100),2))</f>
      </c>
      <c r="N647" s="7" t="str">
        <f>IF(NOT(AND(J647="",L647="")),IF(OR(AND(L647&lt;&gt;"",NOT(ISNUMBER(L647))),IFERROR(MOD(L647,1),1)&gt;0,AND(ISNUMBER(L647),OR(L647&lt;0,L647&gt;95))),"Введите целое число от 0 до 95",IF(OR(AND(J647&lt;&gt;"",NOT(ISNUMBER(J647))),IFERROR(MOD(J647,1),1)&gt;0,AND(ISNUMBER(J647),OR(J647&lt;50,J647&gt;20000000))),"Введите целое число от 50 до 20000000",IF(NOT(ABS(IFERROR(VALUE(LEFT(M647,FIND("-",M647)-1)),M647)*100-(2500+2000000000)/2)&lt;=ABS(2500-2000000000)/2),"Цена со скидкой должна быть от 25 до 20000000",IF(AND(IFERROR(VALUE(LEFT(M647,FIND("-",M647)-1)),M647)*150&lt;=1363500,IFERROR(VALUE(LEFT(M647,FIND("-",M647)-1)),M647)*200&gt;1363500),"Вы уменьшили цену в несколько раз, товар попадет в карантин цен",IF(IFERROR(VALUE(LEFT(M647,FIND("-",M647)-1)),M647)*200&lt;=1363500,"Не сохранили изменения, чтобы защитить от ошибки — новые цены меньше текущих более чем в 2 раза. Снижайте их постепенно",IF(AND(IFERROR(VALUE(I647),0)=0,ISNUMBER(J647),OR(J647&lt;296,ABS(IFERROR(VALUE(LEFT(M647,FIND("-",M647)-1)),M647))*100&lt;29600)),"Проверьте цену товара. Большинство товаров в выбранной категории стоят дороже 296","")))))),"")</f>
      </c>
    </row>
    <row r="648">
      <c r="A648" s="2" t="inlineStr">
        <is>
          <t/>
        </is>
      </c>
      <c r="B648" s="2" t="inlineStr">
        <is>
          <t>Мультиварки</t>
        </is>
      </c>
      <c r="C648" s="2">
        <v>603734296</v>
      </c>
      <c r="D648" s="2" t="inlineStr">
        <is>
          <t>190679</t>
        </is>
      </c>
      <c r="E648" s="2" t="inlineStr">
        <is>
          <t>2047147962646</t>
        </is>
      </c>
      <c r="F648" s="2">
        <v>0</v>
      </c>
      <c r="G648" s="2">
        <v>2</v>
      </c>
      <c r="H648" s="2" t="inlineStr">
        <is>
          <t/>
        </is>
      </c>
      <c r="I648" s="2" t="inlineStr">
        <is>
          <t>40845</t>
        </is>
      </c>
      <c r="J648" s="4"/>
      <c r="K648" s="2">
        <v>80</v>
      </c>
      <c r="L648" s="6"/>
      <c r="M648" s="2" t="str">
        <f>IF(J648="",ROUND(I648*(1-IF(ISBLANK(L648),K648,L648)/100),2),ROUND(J648*(1-IF(ISBLANK(L648),K648,L648)/100),2))</f>
      </c>
      <c r="N648" s="7" t="str">
        <f>IF(NOT(AND(J648="",L648="")),IF(OR(AND(L648&lt;&gt;"",NOT(ISNUMBER(L648))),IFERROR(MOD(L648,1),1)&gt;0,AND(ISNUMBER(L648),OR(L648&lt;0,L648&gt;95))),"Введите целое число от 0 до 95",IF(OR(AND(J648&lt;&gt;"",NOT(ISNUMBER(J648))),IFERROR(MOD(J648,1),1)&gt;0,AND(ISNUMBER(J648),OR(J648&lt;50,J648&gt;20000000))),"Введите целое число от 50 до 20000000",IF(NOT(ABS(IFERROR(VALUE(LEFT(M648,FIND("-",M648)-1)),M648)*100-(2500+2000000000)/2)&lt;=ABS(2500-2000000000)/2),"Цена со скидкой должна быть от 25 до 20000000",IF(AND(IFERROR(VALUE(LEFT(M648,FIND("-",M648)-1)),M648)*150&lt;=816899,IFERROR(VALUE(LEFT(M648,FIND("-",M648)-1)),M648)*200&gt;816899),"Вы уменьшили цену в несколько раз, товар попадет в карантин цен",IF(IFERROR(VALUE(LEFT(M648,FIND("-",M648)-1)),M648)*200&lt;=816899,"Не сохранили изменения, чтобы защитить от ошибки — новые цены меньше текущих более чем в 2 раза. Снижайте их постепенно",IF(AND(IFERROR(VALUE(I648),0)=0,ISNUMBER(J648),OR(J648&lt;482,ABS(IFERROR(VALUE(LEFT(M648,FIND("-",M648)-1)),M648))*100&lt;48200)),"Проверьте цену товара. Большинство товаров в выбранной категории стоят дороже 482","")))))),"")</f>
      </c>
    </row>
    <row r="649">
      <c r="A649" s="2" t="inlineStr">
        <is>
          <t/>
        </is>
      </c>
      <c r="B649" s="2" t="inlineStr">
        <is>
          <t>Утюги</t>
        </is>
      </c>
      <c r="C649" s="2">
        <v>600650805</v>
      </c>
      <c r="D649" s="2" t="inlineStr">
        <is>
          <t>192535</t>
        </is>
      </c>
      <c r="E649" s="2" t="inlineStr">
        <is>
          <t>2047129358948</t>
        </is>
      </c>
      <c r="F649" s="2">
        <v>0</v>
      </c>
      <c r="G649" s="2">
        <v>10</v>
      </c>
      <c r="H649" s="2" t="inlineStr">
        <is>
          <t/>
        </is>
      </c>
      <c r="I649" s="2" t="inlineStr">
        <is>
          <t>16122</t>
        </is>
      </c>
      <c r="J649" s="4"/>
      <c r="K649" s="2">
        <v>75</v>
      </c>
      <c r="L649" s="6"/>
      <c r="M649" s="2" t="str">
        <f>IF(J649="",ROUND(I649*(1-IF(ISBLANK(L649),K649,L649)/100),2),ROUND(J649*(1-IF(ISBLANK(L649),K649,L649)/100),2))</f>
      </c>
      <c r="N649" s="7" t="str">
        <f>IF(NOT(AND(J649="",L649="")),IF(OR(AND(L649&lt;&gt;"",NOT(ISNUMBER(L649))),IFERROR(MOD(L649,1),1)&gt;0,AND(ISNUMBER(L649),OR(L649&lt;0,L649&gt;95))),"Введите целое число от 0 до 95",IF(OR(AND(J649&lt;&gt;"",NOT(ISNUMBER(J649))),IFERROR(MOD(J649,1),1)&gt;0,AND(ISNUMBER(J649),OR(J649&lt;50,J649&gt;20000000))),"Введите целое число от 50 до 20000000",IF(NOT(ABS(IFERROR(VALUE(LEFT(M649,FIND("-",M649)-1)),M649)*100-(2500+2000000000)/2)&lt;=ABS(2500-2000000000)/2),"Цена со скидкой должна быть от 25 до 20000000",IF(AND(IFERROR(VALUE(LEFT(M649,FIND("-",M649)-1)),M649)*150&lt;=403050,IFERROR(VALUE(LEFT(M649,FIND("-",M649)-1)),M649)*200&gt;403050),"Вы уменьшили цену в несколько раз, товар попадет в карантин цен",IF(IFERROR(VALUE(LEFT(M649,FIND("-",M649)-1)),M649)*200&lt;=403050,"Не сохранили изменения, чтобы защитить от ошибки — новые цены меньше текущих более чем в 2 раза. Снижайте их постепенно",IF(AND(IFERROR(VALUE(I649),0)=0,ISNUMBER(J649),OR(J649&lt;403,ABS(IFERROR(VALUE(LEFT(M649,FIND("-",M649)-1)),M649))*100&lt;40300)),"Проверьте цену товара. Большинство товаров в выбранной категории стоят дороже 403","")))))),"")</f>
      </c>
    </row>
    <row r="650">
      <c r="A650" s="2" t="inlineStr">
        <is>
          <t/>
        </is>
      </c>
      <c r="B650" s="2" t="inlineStr">
        <is>
          <t>Мультиварки</t>
        </is>
      </c>
      <c r="C650" s="2">
        <v>603734297</v>
      </c>
      <c r="D650" s="2" t="inlineStr">
        <is>
          <t>192653</t>
        </is>
      </c>
      <c r="E650" s="2" t="inlineStr">
        <is>
          <t>2047147962653</t>
        </is>
      </c>
      <c r="F650" s="2">
        <v>0</v>
      </c>
      <c r="G650" s="2">
        <v>2</v>
      </c>
      <c r="H650" s="2" t="inlineStr">
        <is>
          <t/>
        </is>
      </c>
      <c r="I650" s="2" t="inlineStr">
        <is>
          <t>43800</t>
        </is>
      </c>
      <c r="J650" s="4"/>
      <c r="K650" s="2">
        <v>80</v>
      </c>
      <c r="L650" s="6"/>
      <c r="M650" s="2" t="str">
        <f>IF(J650="",ROUND(I650*(1-IF(ISBLANK(L650),K650,L650)/100),2),ROUND(J650*(1-IF(ISBLANK(L650),K650,L650)/100),2))</f>
      </c>
      <c r="N650" s="7" t="str">
        <f>IF(NOT(AND(J650="",L650="")),IF(OR(AND(L650&lt;&gt;"",NOT(ISNUMBER(L650))),IFERROR(MOD(L650,1),1)&gt;0,AND(ISNUMBER(L650),OR(L650&lt;0,L650&gt;95))),"Введите целое число от 0 до 95",IF(OR(AND(J650&lt;&gt;"",NOT(ISNUMBER(J650))),IFERROR(MOD(J650,1),1)&gt;0,AND(ISNUMBER(J650),OR(J650&lt;50,J650&gt;20000000))),"Введите целое число от 50 до 20000000",IF(NOT(ABS(IFERROR(VALUE(LEFT(M650,FIND("-",M650)-1)),M650)*100-(2500+2000000000)/2)&lt;=ABS(2500-2000000000)/2),"Цена со скидкой должна быть от 25 до 20000000",IF(AND(IFERROR(VALUE(LEFT(M650,FIND("-",M650)-1)),M650)*150&lt;=875999,IFERROR(VALUE(LEFT(M650,FIND("-",M650)-1)),M650)*200&gt;875999),"Вы уменьшили цену в несколько раз, товар попадет в карантин цен",IF(IFERROR(VALUE(LEFT(M650,FIND("-",M650)-1)),M650)*200&lt;=875999,"Не сохранили изменения, чтобы защитить от ошибки — новые цены меньше текущих более чем в 2 раза. Снижайте их постепенно",IF(AND(IFERROR(VALUE(I650),0)=0,ISNUMBER(J650),OR(J650&lt;482,ABS(IFERROR(VALUE(LEFT(M650,FIND("-",M650)-1)),M650))*100&lt;48200)),"Проверьте цену товара. Большинство товаров в выбранной категории стоят дороже 482","")))))),"")</f>
      </c>
    </row>
    <row r="651">
      <c r="A651" s="2" t="inlineStr">
        <is>
          <t/>
        </is>
      </c>
      <c r="B651" s="2" t="inlineStr">
        <is>
          <t>Масленки</t>
        </is>
      </c>
      <c r="C651" s="2">
        <v>619472786</v>
      </c>
      <c r="D651" s="2" t="inlineStr">
        <is>
          <t>283437</t>
        </is>
      </c>
      <c r="E651" s="2" t="inlineStr">
        <is>
          <t>2047324792783</t>
        </is>
      </c>
      <c r="F651" s="2">
        <v>0</v>
      </c>
      <c r="G651" s="2">
        <v>0</v>
      </c>
      <c r="H651" s="2" t="inlineStr">
        <is>
          <t/>
        </is>
      </c>
      <c r="I651" s="2" t="inlineStr">
        <is>
          <t>6141</t>
        </is>
      </c>
      <c r="J651" s="4"/>
      <c r="K651" s="2">
        <v>65</v>
      </c>
      <c r="L651" s="6"/>
      <c r="M651" s="2" t="str">
        <f>IF(J651="",ROUND(I651*(1-IF(ISBLANK(L651),K651,L651)/100),2),ROUND(J651*(1-IF(ISBLANK(L651),K651,L651)/100),2))</f>
      </c>
      <c r="N651" s="7" t="str">
        <f>IF(NOT(AND(J651="",L651="")),IF(OR(AND(L651&lt;&gt;"",NOT(ISNUMBER(L651))),IFERROR(MOD(L651,1),1)&gt;0,AND(ISNUMBER(L651),OR(L651&lt;0,L651&gt;95))),"Введите целое число от 0 до 95",IF(OR(AND(J651&lt;&gt;"",NOT(ISNUMBER(J651))),IFERROR(MOD(J651,1),1)&gt;0,AND(ISNUMBER(J651),OR(J651&lt;50,J651&gt;20000000))),"Введите целое число от 50 до 20000000",IF(NOT(ABS(IFERROR(VALUE(LEFT(M651,FIND("-",M651)-1)),M651)*100-(2500+2000000000)/2)&lt;=ABS(2500-2000000000)/2),"Цена со скидкой должна быть от 25 до 20000000",IF(AND(IFERROR(VALUE(LEFT(M651,FIND("-",M651)-1)),M651)*150&lt;=214935,IFERROR(VALUE(LEFT(M651,FIND("-",M651)-1)),M651)*200&gt;214935),"Вы уменьшили цену в несколько раз, товар попадет в карантин цен",IF(IFERROR(VALUE(LEFT(M651,FIND("-",M651)-1)),M651)*200&lt;=214935,"Не сохранили изменения, чтобы защитить от ошибки — новые цены меньше текущих более чем в 2 раза. Снижайте их постепенно",IF(AND(IFERROR(VALUE(I651),0)=0,ISNUMBER(J651),OR(J651&lt;284,ABS(IFERROR(VALUE(LEFT(M651,FIND("-",M651)-1)),M651))*100&lt;28400)),"Проверьте цену товара. Большинство товаров в выбранной категории стоят дороже 284","")))))),"")</f>
      </c>
    </row>
    <row r="652">
      <c r="A652" s="2" t="inlineStr">
        <is>
          <t/>
        </is>
      </c>
      <c r="B652" s="2" t="inlineStr">
        <is>
          <t>Утюги</t>
        </is>
      </c>
      <c r="C652" s="2">
        <v>600650807</v>
      </c>
      <c r="D652" s="2" t="inlineStr">
        <is>
          <t>192407</t>
        </is>
      </c>
      <c r="E652" s="2" t="inlineStr">
        <is>
          <t>2047129358986</t>
        </is>
      </c>
      <c r="F652" s="2">
        <v>0</v>
      </c>
      <c r="G652" s="2">
        <v>0</v>
      </c>
      <c r="H652" s="2" t="inlineStr">
        <is>
          <t/>
        </is>
      </c>
      <c r="I652" s="2" t="inlineStr">
        <is>
          <t>18332</t>
        </is>
      </c>
      <c r="J652" s="4"/>
      <c r="K652" s="2">
        <v>69</v>
      </c>
      <c r="L652" s="6"/>
      <c r="M652" s="2" t="str">
        <f>IF(J652="",ROUND(I652*(1-IF(ISBLANK(L652),K652,L652)/100),2),ROUND(J652*(1-IF(ISBLANK(L652),K652,L652)/100),2))</f>
      </c>
      <c r="N652" s="7" t="str">
        <f>IF(NOT(AND(J652="",L652="")),IF(OR(AND(L652&lt;&gt;"",NOT(ISNUMBER(L652))),IFERROR(MOD(L652,1),1)&gt;0,AND(ISNUMBER(L652),OR(L652&lt;0,L652&gt;95))),"Введите целое число от 0 до 95",IF(OR(AND(J652&lt;&gt;"",NOT(ISNUMBER(J652))),IFERROR(MOD(J652,1),1)&gt;0,AND(ISNUMBER(J652),OR(J652&lt;50,J652&gt;20000000))),"Введите целое число от 50 до 20000000",IF(NOT(ABS(IFERROR(VALUE(LEFT(M652,FIND("-",M652)-1)),M652)*100-(2500+2000000000)/2)&lt;=ABS(2500-2000000000)/2),"Цена со скидкой должна быть от 25 до 20000000",IF(AND(IFERROR(VALUE(LEFT(M652,FIND("-",M652)-1)),M652)*150&lt;=568292,IFERROR(VALUE(LEFT(M652,FIND("-",M652)-1)),M652)*200&gt;568292),"Вы уменьшили цену в несколько раз, товар попадет в карантин цен",IF(IFERROR(VALUE(LEFT(M652,FIND("-",M652)-1)),M652)*200&lt;=568292,"Не сохранили изменения, чтобы защитить от ошибки — новые цены меньше текущих более чем в 2 раза. Снижайте их постепенно",IF(AND(IFERROR(VALUE(I652),0)=0,ISNUMBER(J652),OR(J652&lt;403,ABS(IFERROR(VALUE(LEFT(M652,FIND("-",M652)-1)),M652))*100&lt;40300)),"Проверьте цену товара. Большинство товаров в выбранной категории стоят дороже 403","")))))),"")</f>
      </c>
    </row>
    <row r="653">
      <c r="A653" s="2" t="inlineStr">
        <is>
          <t>Luxaro</t>
        </is>
      </c>
      <c r="B653" s="2" t="inlineStr">
        <is>
          <t>Блендеры</t>
        </is>
      </c>
      <c r="C653" s="2">
        <v>603732319</v>
      </c>
      <c r="D653" s="2" t="inlineStr">
        <is>
          <t>192650</t>
        </is>
      </c>
      <c r="E653" s="2" t="inlineStr">
        <is>
          <t>2047147941283</t>
        </is>
      </c>
      <c r="F653" s="2">
        <v>0</v>
      </c>
      <c r="G653" s="2">
        <v>1</v>
      </c>
      <c r="H653" s="2" t="inlineStr">
        <is>
          <t/>
        </is>
      </c>
      <c r="I653" s="2" t="inlineStr">
        <is>
          <t>12691</t>
        </is>
      </c>
      <c r="J653" s="4"/>
      <c r="K653" s="2">
        <v>80</v>
      </c>
      <c r="L653" s="6"/>
      <c r="M653" s="2" t="str">
        <f>IF(J653="",ROUND(I653*(1-IF(ISBLANK(L653),K653,L653)/100),2),ROUND(J653*(1-IF(ISBLANK(L653),K653,L653)/100),2))</f>
      </c>
      <c r="N653" s="7" t="str">
        <f>IF(NOT(AND(J653="",L653="")),IF(OR(AND(L653&lt;&gt;"",NOT(ISNUMBER(L653))),IFERROR(MOD(L653,1),1)&gt;0,AND(ISNUMBER(L653),OR(L653&lt;0,L653&gt;95))),"Введите целое число от 0 до 95",IF(OR(AND(J653&lt;&gt;"",NOT(ISNUMBER(J653))),IFERROR(MOD(J653,1),1)&gt;0,AND(ISNUMBER(J653),OR(J653&lt;50,J653&gt;20000000))),"Введите целое число от 50 до 20000000",IF(NOT(ABS(IFERROR(VALUE(LEFT(M653,FIND("-",M653)-1)),M653)*100-(2500+2000000000)/2)&lt;=ABS(2500-2000000000)/2),"Цена со скидкой должна быть от 25 до 20000000",IF(AND(IFERROR(VALUE(LEFT(M653,FIND("-",M653)-1)),M653)*150&lt;=253819,IFERROR(VALUE(LEFT(M653,FIND("-",M653)-1)),M653)*200&gt;253819),"Вы уменьшили цену в несколько раз, товар попадет в карантин цен",IF(IFERROR(VALUE(LEFT(M653,FIND("-",M653)-1)),M653)*200&lt;=253819,"Не сохранили изменения, чтобы защитить от ошибки — новые цены меньше текущих более чем в 2 раза. Снижайте их постепенно",IF(AND(IFERROR(VALUE(I653),0)=0,ISNUMBER(J653),OR(J653&lt;361,ABS(IFERROR(VALUE(LEFT(M653,FIND("-",M653)-1)),M653))*100&lt;36100)),"Проверьте цену товара. Большинство товаров в выбранной категории стоят дороже 361","")))))),"")</f>
      </c>
    </row>
    <row r="654">
      <c r="A654" s="2" t="inlineStr">
        <is>
          <t/>
        </is>
      </c>
      <c r="B654" s="2" t="inlineStr">
        <is>
          <t>Масленки</t>
        </is>
      </c>
      <c r="C654" s="2">
        <v>619472785</v>
      </c>
      <c r="D654" s="2" t="inlineStr">
        <is>
          <t>28954</t>
        </is>
      </c>
      <c r="E654" s="2" t="inlineStr">
        <is>
          <t>2047324792776</t>
        </is>
      </c>
      <c r="F654" s="2">
        <v>0</v>
      </c>
      <c r="G654" s="2">
        <v>0</v>
      </c>
      <c r="H654" s="2" t="inlineStr">
        <is>
          <t/>
        </is>
      </c>
      <c r="I654" s="2" t="inlineStr">
        <is>
          <t>5893</t>
        </is>
      </c>
      <c r="J654" s="4"/>
      <c r="K654" s="2">
        <v>65</v>
      </c>
      <c r="L654" s="6"/>
      <c r="M654" s="2" t="str">
        <f>IF(J654="",ROUND(I654*(1-IF(ISBLANK(L654),K654,L654)/100),2),ROUND(J654*(1-IF(ISBLANK(L654),K654,L654)/100),2))</f>
      </c>
      <c r="N654" s="7" t="str">
        <f>IF(NOT(AND(J654="",L654="")),IF(OR(AND(L654&lt;&gt;"",NOT(ISNUMBER(L654))),IFERROR(MOD(L654,1),1)&gt;0,AND(ISNUMBER(L654),OR(L654&lt;0,L654&gt;95))),"Введите целое число от 0 до 95",IF(OR(AND(J654&lt;&gt;"",NOT(ISNUMBER(J654))),IFERROR(MOD(J654,1),1)&gt;0,AND(ISNUMBER(J654),OR(J654&lt;50,J654&gt;20000000))),"Введите целое число от 50 до 20000000",IF(NOT(ABS(IFERROR(VALUE(LEFT(M654,FIND("-",M654)-1)),M654)*100-(2500+2000000000)/2)&lt;=ABS(2500-2000000000)/2),"Цена со скидкой должна быть от 25 до 20000000",IF(AND(IFERROR(VALUE(LEFT(M654,FIND("-",M654)-1)),M654)*150&lt;=206254,IFERROR(VALUE(LEFT(M654,FIND("-",M654)-1)),M654)*200&gt;206254),"Вы уменьшили цену в несколько раз, товар попадет в карантин цен",IF(IFERROR(VALUE(LEFT(M654,FIND("-",M654)-1)),M654)*200&lt;=206254,"Не сохранили изменения, чтобы защитить от ошибки — новые цены меньше текущих более чем в 2 раза. Снижайте их постепенно",IF(AND(IFERROR(VALUE(I654),0)=0,ISNUMBER(J654),OR(J654&lt;284,ABS(IFERROR(VALUE(LEFT(M654,FIND("-",M654)-1)),M654))*100&lt;28400)),"Проверьте цену товара. Большинство товаров в выбранной категории стоят дороже 284","")))))),"")</f>
      </c>
    </row>
    <row r="655">
      <c r="A655" s="2" t="inlineStr">
        <is>
          <t>Luxaro</t>
        </is>
      </c>
      <c r="B655" s="2" t="inlineStr">
        <is>
          <t>Блендеры</t>
        </is>
      </c>
      <c r="C655" s="2">
        <v>603732317</v>
      </c>
      <c r="D655" s="2" t="inlineStr">
        <is>
          <t>192335</t>
        </is>
      </c>
      <c r="E655" s="2" t="inlineStr">
        <is>
          <t>2047147941245</t>
        </is>
      </c>
      <c r="F655" s="2">
        <v>0</v>
      </c>
      <c r="G655" s="2">
        <v>0</v>
      </c>
      <c r="H655" s="2" t="inlineStr">
        <is>
          <t/>
        </is>
      </c>
      <c r="I655" s="2" t="inlineStr">
        <is>
          <t>23042</t>
        </is>
      </c>
      <c r="J655" s="4"/>
      <c r="K655" s="2">
        <v>65</v>
      </c>
      <c r="L655" s="6"/>
      <c r="M655" s="2" t="str">
        <f>IF(J655="",ROUND(I655*(1-IF(ISBLANK(L655),K655,L655)/100),2),ROUND(J655*(1-IF(ISBLANK(L655),K655,L655)/100),2))</f>
      </c>
      <c r="N655" s="7" t="str">
        <f>IF(NOT(AND(J655="",L655="")),IF(OR(AND(L655&lt;&gt;"",NOT(ISNUMBER(L655))),IFERROR(MOD(L655,1),1)&gt;0,AND(ISNUMBER(L655),OR(L655&lt;0,L655&gt;95))),"Введите целое число от 0 до 95",IF(OR(AND(J655&lt;&gt;"",NOT(ISNUMBER(J655))),IFERROR(MOD(J655,1),1)&gt;0,AND(ISNUMBER(J655),OR(J655&lt;50,J655&gt;20000000))),"Введите целое число от 50 до 20000000",IF(NOT(ABS(IFERROR(VALUE(LEFT(M655,FIND("-",M655)-1)),M655)*100-(2500+2000000000)/2)&lt;=ABS(2500-2000000000)/2),"Цена со скидкой должна быть от 25 до 20000000",IF(AND(IFERROR(VALUE(LEFT(M655,FIND("-",M655)-1)),M655)*150&lt;=806470,IFERROR(VALUE(LEFT(M655,FIND("-",M655)-1)),M655)*200&gt;806470),"Вы уменьшили цену в несколько раз, товар попадет в карантин цен",IF(IFERROR(VALUE(LEFT(M655,FIND("-",M655)-1)),M655)*200&lt;=806470,"Не сохранили изменения, чтобы защитить от ошибки — новые цены меньше текущих более чем в 2 раза. Снижайте их постепенно",IF(AND(IFERROR(VALUE(I655),0)=0,ISNUMBER(J655),OR(J655&lt;361,ABS(IFERROR(VALUE(LEFT(M655,FIND("-",M655)-1)),M655))*100&lt;36100)),"Проверьте цену товара. Большинство товаров в выбранной категории стоят дороже 361","")))))),"")</f>
      </c>
    </row>
    <row r="656">
      <c r="A656" s="2" t="inlineStr">
        <is>
          <t/>
        </is>
      </c>
      <c r="B656" s="2" t="inlineStr">
        <is>
          <t>Тепловентиляторы</t>
        </is>
      </c>
      <c r="C656" s="2">
        <v>725077637</v>
      </c>
      <c r="D656" s="2" t="inlineStr">
        <is>
          <t>191869</t>
        </is>
      </c>
      <c r="E656" s="2" t="inlineStr">
        <is>
          <t>2048044779412</t>
        </is>
      </c>
      <c r="F656" s="2">
        <v>0</v>
      </c>
      <c r="G656" s="2">
        <v>0</v>
      </c>
      <c r="H656" s="2" t="inlineStr">
        <is>
          <t/>
        </is>
      </c>
      <c r="I656" s="2" t="inlineStr">
        <is>
          <t>9200</t>
        </is>
      </c>
      <c r="J656" s="4"/>
      <c r="K656" s="2">
        <v>65</v>
      </c>
      <c r="L656" s="6"/>
      <c r="M656" s="2" t="str">
        <f>IF(J656="",ROUND(I656*(1-IF(ISBLANK(L656),K656,L656)/100),2),ROUND(J656*(1-IF(ISBLANK(L656),K656,L656)/100),2))</f>
      </c>
      <c r="N656" s="7" t="str">
        <f>IF(NOT(AND(J656="",L656="")),IF(OR(AND(L656&lt;&gt;"",NOT(ISNUMBER(L656))),IFERROR(MOD(L656,1),1)&gt;0,AND(ISNUMBER(L656),OR(L656&lt;0,L656&gt;95))),"Введите целое число от 0 до 95",IF(OR(AND(J656&lt;&gt;"",NOT(ISNUMBER(J656))),IFERROR(MOD(J656,1),1)&gt;0,AND(ISNUMBER(J656),OR(J656&lt;50,J656&gt;20000000))),"Введите целое число от 50 до 20000000",IF(NOT(ABS(IFERROR(VALUE(LEFT(M656,FIND("-",M656)-1)),M656)*100-(2500+2000000000)/2)&lt;=ABS(2500-2000000000)/2),"Цена со скидкой должна быть от 25 до 20000000",IF(AND(IFERROR(VALUE(LEFT(M656,FIND("-",M656)-1)),M656)*150&lt;=322000,IFERROR(VALUE(LEFT(M656,FIND("-",M656)-1)),M656)*200&gt;322000),"Вы уменьшили цену в несколько раз, товар попадет в карантин цен",IF(IFERROR(VALUE(LEFT(M656,FIND("-",M656)-1)),M656)*200&lt;=322000,"Не сохранили изменения, чтобы защитить от ошибки — новые цены меньше текущих более чем в 2 раза. Снижайте их постепенно",IF(AND(IFERROR(VALUE(I656),0)=0,ISNUMBER(J656),OR(J656&lt;638,ABS(IFERROR(VALUE(LEFT(M656,FIND("-",M656)-1)),M656))*100&lt;63800)),"Проверьте цену товара. Большинство товаров в выбранной категории стоят дороже 638","")))))),"")</f>
      </c>
    </row>
    <row r="657">
      <c r="A657" s="2" t="inlineStr">
        <is>
          <t/>
        </is>
      </c>
      <c r="B657" s="2" t="inlineStr">
        <is>
          <t>Тепловентиляторы</t>
        </is>
      </c>
      <c r="C657" s="2">
        <v>725077636</v>
      </c>
      <c r="D657" s="2" t="inlineStr">
        <is>
          <t>192405</t>
        </is>
      </c>
      <c r="E657" s="2" t="inlineStr">
        <is>
          <t>2048044779405</t>
        </is>
      </c>
      <c r="F657" s="2">
        <v>0</v>
      </c>
      <c r="G657" s="2">
        <v>0</v>
      </c>
      <c r="H657" s="2" t="inlineStr">
        <is>
          <t/>
        </is>
      </c>
      <c r="I657" s="2" t="inlineStr">
        <is>
          <t>43055</t>
        </is>
      </c>
      <c r="J657" s="4"/>
      <c r="K657" s="2">
        <v>65</v>
      </c>
      <c r="L657" s="6"/>
      <c r="M657" s="2" t="str">
        <f>IF(J657="",ROUND(I657*(1-IF(ISBLANK(L657),K657,L657)/100),2),ROUND(J657*(1-IF(ISBLANK(L657),K657,L657)/100),2))</f>
      </c>
      <c r="N657" s="7" t="str">
        <f>IF(NOT(AND(J657="",L657="")),IF(OR(AND(L657&lt;&gt;"",NOT(ISNUMBER(L657))),IFERROR(MOD(L657,1),1)&gt;0,AND(ISNUMBER(L657),OR(L657&lt;0,L657&gt;95))),"Введите целое число от 0 до 95",IF(OR(AND(J657&lt;&gt;"",NOT(ISNUMBER(J657))),IFERROR(MOD(J657,1),1)&gt;0,AND(ISNUMBER(J657),OR(J657&lt;50,J657&gt;20000000))),"Введите целое число от 50 до 20000000",IF(NOT(ABS(IFERROR(VALUE(LEFT(M657,FIND("-",M657)-1)),M657)*100-(2500+2000000000)/2)&lt;=ABS(2500-2000000000)/2),"Цена со скидкой должна быть от 25 до 20000000",IF(AND(IFERROR(VALUE(LEFT(M657,FIND("-",M657)-1)),M657)*150&lt;=1506924,IFERROR(VALUE(LEFT(M657,FIND("-",M657)-1)),M657)*200&gt;1506924),"Вы уменьшили цену в несколько раз, товар попадет в карантин цен",IF(IFERROR(VALUE(LEFT(M657,FIND("-",M657)-1)),M657)*200&lt;=1506924,"Не сохранили изменения, чтобы защитить от ошибки — новые цены меньше текущих более чем в 2 раза. Снижайте их постепенно",IF(AND(IFERROR(VALUE(I657),0)=0,ISNUMBER(J657),OR(J657&lt;638,ABS(IFERROR(VALUE(LEFT(M657,FIND("-",M657)-1)),M657))*100&lt;63800)),"Проверьте цену товара. Большинство товаров в выбранной категории стоят дороже 638","")))))),"")</f>
      </c>
    </row>
    <row r="658">
      <c r="A658" s="2" t="inlineStr">
        <is>
          <t/>
        </is>
      </c>
      <c r="B658" s="2" t="inlineStr">
        <is>
          <t>Овощерезки ручные</t>
        </is>
      </c>
      <c r="C658" s="2">
        <v>600630475</v>
      </c>
      <c r="D658" s="2" t="inlineStr">
        <is>
          <t>523512</t>
        </is>
      </c>
      <c r="E658" s="2" t="inlineStr">
        <is>
          <t>2047129101940</t>
        </is>
      </c>
      <c r="F658" s="2">
        <v>0</v>
      </c>
      <c r="G658" s="2">
        <v>2</v>
      </c>
      <c r="H658" s="2" t="inlineStr">
        <is>
          <t/>
        </is>
      </c>
      <c r="I658" s="2" t="inlineStr">
        <is>
          <t>8084</t>
        </is>
      </c>
      <c r="J658" s="4"/>
      <c r="K658" s="2">
        <v>78</v>
      </c>
      <c r="L658" s="6"/>
      <c r="M658" s="2" t="str">
        <f>IF(J658="",ROUND(I658*(1-IF(ISBLANK(L658),K658,L658)/100),2),ROUND(J658*(1-IF(ISBLANK(L658),K658,L658)/100),2))</f>
      </c>
      <c r="N658" s="7" t="str">
        <f>IF(NOT(AND(J658="",L658="")),IF(OR(AND(L658&lt;&gt;"",NOT(ISNUMBER(L658))),IFERROR(MOD(L658,1),1)&gt;0,AND(ISNUMBER(L658),OR(L658&lt;0,L658&gt;95))),"Введите целое число от 0 до 95",IF(OR(AND(J658&lt;&gt;"",NOT(ISNUMBER(J658))),IFERROR(MOD(J658,1),1)&gt;0,AND(ISNUMBER(J658),OR(J658&lt;50,J658&gt;20000000))),"Введите целое число от 50 до 20000000",IF(NOT(ABS(IFERROR(VALUE(LEFT(M658,FIND("-",M658)-1)),M658)*100-(2500+2000000000)/2)&lt;=ABS(2500-2000000000)/2),"Цена со скидкой должна быть от 25 до 20000000",IF(AND(IFERROR(VALUE(LEFT(M658,FIND("-",M658)-1)),M658)*150&lt;=177847,IFERROR(VALUE(LEFT(M658,FIND("-",M658)-1)),M658)*200&gt;177847),"Вы уменьшили цену в несколько раз, товар попадет в карантин цен",IF(IFERROR(VALUE(LEFT(M658,FIND("-",M658)-1)),M658)*200&lt;=177847,"Не сохранили изменения, чтобы защитить от ошибки — новые цены меньше текущих более чем в 2 раза. Снижайте их постепенно",IF(AND(IFERROR(VALUE(I658),0)=0,ISNUMBER(J658),OR(J658&lt;279,ABS(IFERROR(VALUE(LEFT(M658,FIND("-",M658)-1)),M658))*100&lt;27900)),"Проверьте цену товара. Большинство товаров в выбранной категории стоят дороже 279","")))))),"")</f>
      </c>
    </row>
    <row r="659">
      <c r="A659" s="2" t="inlineStr">
        <is>
          <t/>
        </is>
      </c>
      <c r="B659" s="2" t="inlineStr">
        <is>
          <t>Бритвы электрические</t>
        </is>
      </c>
      <c r="C659" s="2">
        <v>725124297</v>
      </c>
      <c r="D659" s="2" t="inlineStr">
        <is>
          <t>191462</t>
        </is>
      </c>
      <c r="E659" s="2" t="inlineStr">
        <is>
          <t>2048045305047</t>
        </is>
      </c>
      <c r="F659" s="2">
        <v>0</v>
      </c>
      <c r="G659" s="2">
        <v>16</v>
      </c>
      <c r="H659" s="2" t="inlineStr">
        <is>
          <t/>
        </is>
      </c>
      <c r="I659" s="2" t="inlineStr">
        <is>
          <t>6265</t>
        </is>
      </c>
      <c r="J659" s="4"/>
      <c r="K659" s="2">
        <v>80</v>
      </c>
      <c r="L659" s="6"/>
      <c r="M659" s="2" t="str">
        <f>IF(J659="",ROUND(I659*(1-IF(ISBLANK(L659),K659,L659)/100),2),ROUND(J659*(1-IF(ISBLANK(L659),K659,L659)/100),2))</f>
      </c>
      <c r="N659" s="7" t="str">
        <f>IF(NOT(AND(J659="",L659="")),IF(OR(AND(L659&lt;&gt;"",NOT(ISNUMBER(L659))),IFERROR(MOD(L659,1),1)&gt;0,AND(ISNUMBER(L659),OR(L659&lt;0,L659&gt;95))),"Введите целое число от 0 до 95",IF(OR(AND(J659&lt;&gt;"",NOT(ISNUMBER(J659))),IFERROR(MOD(J659,1),1)&gt;0,AND(ISNUMBER(J659),OR(J659&lt;50,J659&gt;20000000))),"Введите целое число от 50 до 20000000",IF(NOT(ABS(IFERROR(VALUE(LEFT(M659,FIND("-",M659)-1)),M659)*100-(2500+2000000000)/2)&lt;=ABS(2500-2000000000)/2),"Цена со скидкой должна быть от 25 до 20000000",IF(AND(IFERROR(VALUE(LEFT(M659,FIND("-",M659)-1)),M659)*150&lt;=125299,IFERROR(VALUE(LEFT(M659,FIND("-",M659)-1)),M659)*200&gt;125299),"Вы уменьшили цену в несколько раз, товар попадет в карантин цен",IF(IFERROR(VALUE(LEFT(M659,FIND("-",M659)-1)),M659)*200&lt;=125299,"Не сохранили изменения, чтобы защитить от ошибки — новые цены меньше текущих более чем в 2 раза. Снижайте их постепенно",IF(AND(IFERROR(VALUE(I659),0)=0,ISNUMBER(J659),OR(J659&lt;295,ABS(IFERROR(VALUE(LEFT(M659,FIND("-",M659)-1)),M659))*100&lt;29500)),"Проверьте цену товара. Большинство товаров в выбранной категории стоят дороже 295","")))))),"")</f>
      </c>
    </row>
    <row r="660">
      <c r="A660" s="2" t="inlineStr">
        <is>
          <t/>
        </is>
      </c>
      <c r="B660" s="2" t="inlineStr">
        <is>
          <t>Увлажнители</t>
        </is>
      </c>
      <c r="C660" s="2">
        <v>725086676</v>
      </c>
      <c r="D660" s="2" t="inlineStr">
        <is>
          <t>191478</t>
        </is>
      </c>
      <c r="E660" s="2" t="inlineStr">
        <is>
          <t>2048044864644</t>
        </is>
      </c>
      <c r="F660" s="2" t="inlineStr">
        <is>
          <t/>
        </is>
      </c>
      <c r="G660" s="2" t="inlineStr">
        <is>
          <t/>
        </is>
      </c>
      <c r="H660" s="2" t="inlineStr">
        <is>
          <t/>
        </is>
      </c>
      <c r="I660" s="2" t="inlineStr">
        <is>
          <t>54860</t>
        </is>
      </c>
      <c r="J660" s="4"/>
      <c r="K660" s="2">
        <v>65</v>
      </c>
      <c r="L660" s="6"/>
      <c r="M660" s="2" t="str">
        <f>IF(J660="",ROUND(I660*(1-IF(ISBLANK(L660),K660,L660)/100),2),ROUND(J660*(1-IF(ISBLANK(L660),K660,L660)/100),2))</f>
      </c>
      <c r="N660" s="7" t="str">
        <f>IF(NOT(AND(J660="",L660="")),IF(OR(AND(L660&lt;&gt;"",NOT(ISNUMBER(L660))),IFERROR(MOD(L660,1),1)&gt;0,AND(ISNUMBER(L660),OR(L660&lt;0,L660&gt;95))),"Введите целое число от 0 до 95",IF(OR(AND(J660&lt;&gt;"",NOT(ISNUMBER(J660))),IFERROR(MOD(J660,1),1)&gt;0,AND(ISNUMBER(J660),OR(J660&lt;50,J660&gt;20000000))),"Введите целое число от 50 до 20000000",IF(NOT(ABS(IFERROR(VALUE(LEFT(M660,FIND("-",M660)-1)),M660)*100-(2500+2000000000)/2)&lt;=ABS(2500-2000000000)/2),"Цена со скидкой должна быть от 25 до 20000000",IF(AND(IFERROR(VALUE(LEFT(M660,FIND("-",M660)-1)),M660)*150&lt;=1920100,IFERROR(VALUE(LEFT(M660,FIND("-",M660)-1)),M660)*200&gt;1920100),"Вы уменьшили цену в несколько раз, товар попадет в карантин цен",IF(IFERROR(VALUE(LEFT(M660,FIND("-",M660)-1)),M660)*200&lt;=1920100,"Не сохранили изменения, чтобы защитить от ошибки — новые цены меньше текущих более чем в 2 раза. Снижайте их постепенно",IF(AND(IFERROR(VALUE(I660),0)=0,ISNUMBER(J660),OR(J660&lt;461,ABS(IFERROR(VALUE(LEFT(M660,FIND("-",M660)-1)),M660))*100&lt;46100)),"Проверьте цену товара. Большинство товаров в выбранной категории стоят дороже 461","")))))),"")</f>
      </c>
    </row>
    <row r="661">
      <c r="A661" s="2" t="inlineStr">
        <is>
          <t/>
        </is>
      </c>
      <c r="B661" s="2" t="inlineStr">
        <is>
          <t>Бритвы электрические</t>
        </is>
      </c>
      <c r="C661" s="2">
        <v>725124298</v>
      </c>
      <c r="D661" s="2" t="inlineStr">
        <is>
          <t>192706</t>
        </is>
      </c>
      <c r="E661" s="2" t="inlineStr">
        <is>
          <t>2048045305054</t>
        </is>
      </c>
      <c r="F661" s="2">
        <v>4</v>
      </c>
      <c r="G661" s="2">
        <v>17</v>
      </c>
      <c r="H661" s="2">
        <v>999</v>
      </c>
      <c r="I661" s="2" t="inlineStr">
        <is>
          <t>7056</t>
        </is>
      </c>
      <c r="J661" s="4"/>
      <c r="K661" s="2">
        <v>80</v>
      </c>
      <c r="L661" s="6"/>
      <c r="M661" s="2" t="str">
        <f>IF(J661="",ROUND(I661*(1-IF(ISBLANK(L661),K661,L661)/100),2),ROUND(J661*(1-IF(ISBLANK(L661),K661,L661)/100),2))</f>
      </c>
      <c r="N661" s="7" t="str">
        <f>IF(NOT(AND(J661="",L661="")),IF(OR(AND(L661&lt;&gt;"",NOT(ISNUMBER(L661))),IFERROR(MOD(L661,1),1)&gt;0,AND(ISNUMBER(L661),OR(L661&lt;0,L661&gt;95))),"Введите целое число от 0 до 95",IF(OR(AND(J661&lt;&gt;"",NOT(ISNUMBER(J661))),IFERROR(MOD(J661,1),1)&gt;0,AND(ISNUMBER(J661),OR(J661&lt;50,J661&gt;20000000))),"Введите целое число от 50 до 20000000",IF(NOT(ABS(IFERROR(VALUE(LEFT(M661,FIND("-",M661)-1)),M661)*100-(2500+2000000000)/2)&lt;=ABS(2500-2000000000)/2),"Цена со скидкой должна быть от 25 до 20000000",IF(AND(IFERROR(VALUE(LEFT(M661,FIND("-",M661)-1)),M661)*150&lt;=141119,IFERROR(VALUE(LEFT(M661,FIND("-",M661)-1)),M661)*200&gt;141119),"Вы уменьшили цену в несколько раз, товар попадет в карантин цен",IF(IFERROR(VALUE(LEFT(M661,FIND("-",M661)-1)),M661)*200&lt;=141119,"Не сохранили изменения, чтобы защитить от ошибки — новые цены меньше текущих более чем в 2 раза. Снижайте их постепенно",IF(AND(IFERROR(VALUE(I661),0)=0,ISNUMBER(J661),OR(J661&lt;295,ABS(IFERROR(VALUE(LEFT(M661,FIND("-",M661)-1)),M661))*100&lt;29500)),"Проверьте цену товара. Большинство товаров в выбранной категории стоят дороже 295","")))))),"")</f>
      </c>
    </row>
    <row r="662">
      <c r="A662" s="2" t="inlineStr">
        <is>
          <t/>
        </is>
      </c>
      <c r="B662" s="2" t="inlineStr">
        <is>
          <t>Увлажнители</t>
        </is>
      </c>
      <c r="C662" s="2">
        <v>725086675</v>
      </c>
      <c r="D662" s="2" t="inlineStr">
        <is>
          <t>192701</t>
        </is>
      </c>
      <c r="E662" s="2" t="inlineStr">
        <is>
          <t>2048044864637</t>
        </is>
      </c>
      <c r="F662" s="2">
        <v>0</v>
      </c>
      <c r="G662" s="2">
        <v>3</v>
      </c>
      <c r="H662" s="2" t="inlineStr">
        <is>
          <t/>
        </is>
      </c>
      <c r="I662" s="2" t="inlineStr">
        <is>
          <t>19442</t>
        </is>
      </c>
      <c r="J662" s="4"/>
      <c r="K662" s="2">
        <v>80</v>
      </c>
      <c r="L662" s="6"/>
      <c r="M662" s="2" t="str">
        <f>IF(J662="",ROUND(I662*(1-IF(ISBLANK(L662),K662,L662)/100),2),ROUND(J662*(1-IF(ISBLANK(L662),K662,L662)/100),2))</f>
      </c>
      <c r="N662" s="7" t="str">
        <f>IF(NOT(AND(J662="",L662="")),IF(OR(AND(L662&lt;&gt;"",NOT(ISNUMBER(L662))),IFERROR(MOD(L662,1),1)&gt;0,AND(ISNUMBER(L662),OR(L662&lt;0,L662&gt;95))),"Введите целое число от 0 до 95",IF(OR(AND(J662&lt;&gt;"",NOT(ISNUMBER(J662))),IFERROR(MOD(J662,1),1)&gt;0,AND(ISNUMBER(J662),OR(J662&lt;50,J662&gt;20000000))),"Введите целое число от 50 до 20000000",IF(NOT(ABS(IFERROR(VALUE(LEFT(M662,FIND("-",M662)-1)),M662)*100-(2500+2000000000)/2)&lt;=ABS(2500-2000000000)/2),"Цена со скидкой должна быть от 25 до 20000000",IF(AND(IFERROR(VALUE(LEFT(M662,FIND("-",M662)-1)),M662)*150&lt;=388839,IFERROR(VALUE(LEFT(M662,FIND("-",M662)-1)),M662)*200&gt;388839),"Вы уменьшили цену в несколько раз, товар попадет в карантин цен",IF(IFERROR(VALUE(LEFT(M662,FIND("-",M662)-1)),M662)*200&lt;=388839,"Не сохранили изменения, чтобы защитить от ошибки — новые цены меньше текущих более чем в 2 раза. Снижайте их постепенно",IF(AND(IFERROR(VALUE(I662),0)=0,ISNUMBER(J662),OR(J662&lt;461,ABS(IFERROR(VALUE(LEFT(M662,FIND("-",M662)-1)),M662))*100&lt;46100)),"Проверьте цену товара. Большинство товаров в выбранной категории стоят дороже 461","")))))),"")</f>
      </c>
    </row>
    <row r="663">
      <c r="A663" s="2" t="inlineStr">
        <is>
          <t/>
        </is>
      </c>
      <c r="B663" s="2" t="inlineStr">
        <is>
          <t>Триммеры</t>
        </is>
      </c>
      <c r="C663" s="2">
        <v>725125049</v>
      </c>
      <c r="D663" s="2" t="inlineStr">
        <is>
          <t>192173</t>
        </is>
      </c>
      <c r="E663" s="2" t="inlineStr">
        <is>
          <t>2048045314315</t>
        </is>
      </c>
      <c r="F663" s="2">
        <v>8</v>
      </c>
      <c r="G663" s="2">
        <v>12</v>
      </c>
      <c r="H663" s="2">
        <v>113</v>
      </c>
      <c r="I663" s="2" t="inlineStr">
        <is>
          <t>2816</t>
        </is>
      </c>
      <c r="J663" s="4"/>
      <c r="K663" s="2">
        <v>80</v>
      </c>
      <c r="L663" s="6"/>
      <c r="M663" s="2" t="str">
        <f>IF(J663="",ROUND(I663*(1-IF(ISBLANK(L663),K663,L663)/100),2),ROUND(J663*(1-IF(ISBLANK(L663),K663,L663)/100),2))</f>
      </c>
      <c r="N663" s="7" t="str">
        <f>IF(NOT(AND(J663="",L663="")),IF(OR(AND(L663&lt;&gt;"",NOT(ISNUMBER(L663))),IFERROR(MOD(L663,1),1)&gt;0,AND(ISNUMBER(L663),OR(L663&lt;0,L663&gt;95))),"Введите целое число от 0 до 95",IF(OR(AND(J663&lt;&gt;"",NOT(ISNUMBER(J663))),IFERROR(MOD(J663,1),1)&gt;0,AND(ISNUMBER(J663),OR(J663&lt;50,J663&gt;20000000))),"Введите целое число от 50 до 20000000",IF(NOT(ABS(IFERROR(VALUE(LEFT(M663,FIND("-",M663)-1)),M663)*100-(2500+2000000000)/2)&lt;=ABS(2500-2000000000)/2),"Цена со скидкой должна быть от 25 до 20000000",IF(AND(IFERROR(VALUE(LEFT(M663,FIND("-",M663)-1)),M663)*150&lt;=56319,IFERROR(VALUE(LEFT(M663,FIND("-",M663)-1)),M663)*200&gt;56319),"Вы уменьшили цену в несколько раз, товар попадет в карантин цен",IF(IFERROR(VALUE(LEFT(M663,FIND("-",M663)-1)),M663)*200&lt;=56319,"Не сохранили изменения, чтобы защитить от ошибки — новые цены меньше текущих более чем в 2 раза. Снижайте их постепенно",IF(AND(IFERROR(VALUE(I663),0)=0,ISNUMBER(J663),OR(J663&lt;358,ABS(IFERROR(VALUE(LEFT(M663,FIND("-",M663)-1)),M663))*100&lt;35800)),"Проверьте цену товара. Большинство товаров в выбранной категории стоят дороже 358","")))))),"")</f>
      </c>
    </row>
    <row r="664">
      <c r="A664" s="2" t="inlineStr">
        <is>
          <t/>
        </is>
      </c>
      <c r="B664" s="2" t="inlineStr">
        <is>
          <t>Триммеры</t>
        </is>
      </c>
      <c r="C664" s="2">
        <v>725125050</v>
      </c>
      <c r="D664" s="2" t="inlineStr">
        <is>
          <t>192700</t>
        </is>
      </c>
      <c r="E664" s="2" t="inlineStr">
        <is>
          <t>2048045314339</t>
        </is>
      </c>
      <c r="F664" s="2">
        <v>0</v>
      </c>
      <c r="G664" s="2">
        <v>12</v>
      </c>
      <c r="H664" s="2" t="inlineStr">
        <is>
          <t/>
        </is>
      </c>
      <c r="I664" s="2" t="inlineStr">
        <is>
          <t>5199</t>
        </is>
      </c>
      <c r="J664" s="4"/>
      <c r="K664" s="2">
        <v>78</v>
      </c>
      <c r="L664" s="6"/>
      <c r="M664" s="2" t="str">
        <f>IF(J664="",ROUND(I664*(1-IF(ISBLANK(L664),K664,L664)/100),2),ROUND(J664*(1-IF(ISBLANK(L664),K664,L664)/100),2))</f>
      </c>
      <c r="N664" s="7" t="str">
        <f>IF(NOT(AND(J664="",L664="")),IF(OR(AND(L664&lt;&gt;"",NOT(ISNUMBER(L664))),IFERROR(MOD(L664,1),1)&gt;0,AND(ISNUMBER(L664),OR(L664&lt;0,L664&gt;95))),"Введите целое число от 0 до 95",IF(OR(AND(J664&lt;&gt;"",NOT(ISNUMBER(J664))),IFERROR(MOD(J664,1),1)&gt;0,AND(ISNUMBER(J664),OR(J664&lt;50,J664&gt;20000000))),"Введите целое число от 50 до 20000000",IF(NOT(ABS(IFERROR(VALUE(LEFT(M664,FIND("-",M664)-1)),M664)*100-(2500+2000000000)/2)&lt;=ABS(2500-2000000000)/2),"Цена со скидкой должна быть от 25 до 20000000",IF(AND(IFERROR(VALUE(LEFT(M664,FIND("-",M664)-1)),M664)*150&lt;=114378,IFERROR(VALUE(LEFT(M664,FIND("-",M664)-1)),M664)*200&gt;114378),"Вы уменьшили цену в несколько раз, товар попадет в карантин цен",IF(IFERROR(VALUE(LEFT(M664,FIND("-",M664)-1)),M664)*200&lt;=114378,"Не сохранили изменения, чтобы защитить от ошибки — новые цены меньше текущих более чем в 2 раза. Снижайте их постепенно",IF(AND(IFERROR(VALUE(I664),0)=0,ISNUMBER(J664),OR(J664&lt;358,ABS(IFERROR(VALUE(LEFT(M664,FIND("-",M664)-1)),M664))*100&lt;35800)),"Проверьте цену товара. Большинство товаров в выбранной категории стоят дороже 358","")))))),"")</f>
      </c>
    </row>
    <row r="665">
      <c r="A665" s="2" t="inlineStr">
        <is>
          <t/>
        </is>
      </c>
      <c r="B665" s="2" t="inlineStr">
        <is>
          <t>Выпрямители волос</t>
        </is>
      </c>
      <c r="C665" s="2">
        <v>725161857</v>
      </c>
      <c r="D665" s="2" t="inlineStr">
        <is>
          <t>190742</t>
        </is>
      </c>
      <c r="E665" s="2" t="inlineStr">
        <is>
          <t>2048045685088</t>
        </is>
      </c>
      <c r="F665" s="2">
        <v>0</v>
      </c>
      <c r="G665" s="2">
        <v>0</v>
      </c>
      <c r="H665" s="2">
        <v>1</v>
      </c>
      <c r="I665" s="2" t="inlineStr">
        <is>
          <t>3272</t>
        </is>
      </c>
      <c r="J665" s="4"/>
      <c r="K665" s="2">
        <v>65</v>
      </c>
      <c r="L665" s="6"/>
      <c r="M665" s="2" t="str">
        <f>IF(J665="",ROUND(I665*(1-IF(ISBLANK(L665),K665,L665)/100),2),ROUND(J665*(1-IF(ISBLANK(L665),K665,L665)/100),2))</f>
      </c>
      <c r="N665" s="7" t="str">
        <f>IF(NOT(AND(J665="",L665="")),IF(OR(AND(L665&lt;&gt;"",NOT(ISNUMBER(L665))),IFERROR(MOD(L665,1),1)&gt;0,AND(ISNUMBER(L665),OR(L665&lt;0,L665&gt;95))),"Введите целое число от 0 до 95",IF(OR(AND(J665&lt;&gt;"",NOT(ISNUMBER(J665))),IFERROR(MOD(J665,1),1)&gt;0,AND(ISNUMBER(J665),OR(J665&lt;50,J665&gt;20000000))),"Введите целое число от 50 до 20000000",IF(NOT(ABS(IFERROR(VALUE(LEFT(M665,FIND("-",M665)-1)),M665)*100-(2500+2000000000)/2)&lt;=ABS(2500-2000000000)/2),"Цена со скидкой должна быть от 25 до 20000000",IF(AND(IFERROR(VALUE(LEFT(M665,FIND("-",M665)-1)),M665)*150&lt;=114519,IFERROR(VALUE(LEFT(M665,FIND("-",M665)-1)),M665)*200&gt;114519),"Вы уменьшили цену в несколько раз, товар попадет в карантин цен",IF(IFERROR(VALUE(LEFT(M665,FIND("-",M665)-1)),M665)*200&lt;=114519,"Не сохранили изменения, чтобы защитить от ошибки — новые цены меньше текущих более чем в 2 раза. Снижайте их постепенно",IF(AND(IFERROR(VALUE(I665),0)=0,ISNUMBER(J665),OR(J665&lt;467,ABS(IFERROR(VALUE(LEFT(M665,FIND("-",M665)-1)),M665))*100&lt;46700)),"Проверьте цену товара. Большинство товаров в выбранной категории стоят дороже 467","")))))),"")</f>
      </c>
    </row>
    <row r="666">
      <c r="A666" s="2" t="inlineStr">
        <is>
          <t/>
        </is>
      </c>
      <c r="B666" s="2" t="inlineStr">
        <is>
          <t>Весы</t>
        </is>
      </c>
      <c r="C666" s="2">
        <v>725132315</v>
      </c>
      <c r="D666" s="2" t="inlineStr">
        <is>
          <t>192725</t>
        </is>
      </c>
      <c r="E666" s="2" t="inlineStr">
        <is>
          <t>2048045406638</t>
        </is>
      </c>
      <c r="F666" s="2">
        <v>13</v>
      </c>
      <c r="G666" s="2">
        <v>7</v>
      </c>
      <c r="H666" s="2">
        <v>999</v>
      </c>
      <c r="I666" s="2" t="inlineStr">
        <is>
          <t>6882</t>
        </is>
      </c>
      <c r="J666" s="4"/>
      <c r="K666" s="2">
        <v>81</v>
      </c>
      <c r="L666" s="6"/>
      <c r="M666" s="2" t="str">
        <f>IF(J666="",ROUND(I666*(1-IF(ISBLANK(L666),K666,L666)/100),2),ROUND(J666*(1-IF(ISBLANK(L666),K666,L666)/100),2))</f>
      </c>
      <c r="N666" s="7" t="str">
        <f>IF(NOT(AND(J666="",L666="")),IF(OR(AND(L666&lt;&gt;"",NOT(ISNUMBER(L666))),IFERROR(MOD(L666,1),1)&gt;0,AND(ISNUMBER(L666),OR(L666&lt;0,L666&gt;95))),"Введите целое число от 0 до 95",IF(OR(AND(J666&lt;&gt;"",NOT(ISNUMBER(J666))),IFERROR(MOD(J666,1),1)&gt;0,AND(ISNUMBER(J666),OR(J666&lt;50,J666&gt;20000000))),"Введите целое число от 50 до 20000000",IF(NOT(ABS(IFERROR(VALUE(LEFT(M666,FIND("-",M666)-1)),M666)*100-(2500+2000000000)/2)&lt;=ABS(2500-2000000000)/2),"Цена со скидкой должна быть от 25 до 20000000",IF(AND(IFERROR(VALUE(LEFT(M666,FIND("-",M666)-1)),M666)*150&lt;=130757,IFERROR(VALUE(LEFT(M666,FIND("-",M666)-1)),M666)*200&gt;130757),"Вы уменьшили цену в несколько раз, товар попадет в карантин цен",IF(IFERROR(VALUE(LEFT(M666,FIND("-",M666)-1)),M666)*200&lt;=130757,"Не сохранили изменения, чтобы защитить от ошибки — новые цены меньше текущих более чем в 2 раза. Снижайте их постепенно",IF(AND(IFERROR(VALUE(I666),0)=0,ISNUMBER(J666),OR(J666&lt;354,ABS(IFERROR(VALUE(LEFT(M666,FIND("-",M666)-1)),M666))*100&lt;35400)),"Проверьте цену товара. Большинство товаров в выбранной категории стоят дороже 354","")))))),"")</f>
      </c>
    </row>
    <row r="667">
      <c r="A667" s="2" t="inlineStr">
        <is>
          <t/>
        </is>
      </c>
      <c r="B667" s="2" t="inlineStr">
        <is>
          <t>Триммеры</t>
        </is>
      </c>
      <c r="C667" s="2">
        <v>725125051</v>
      </c>
      <c r="D667" s="2" t="inlineStr">
        <is>
          <t>191504</t>
        </is>
      </c>
      <c r="E667" s="2" t="inlineStr">
        <is>
          <t>2048045314377</t>
        </is>
      </c>
      <c r="F667" s="2">
        <v>12</v>
      </c>
      <c r="G667" s="2">
        <v>7</v>
      </c>
      <c r="H667" s="2">
        <v>999</v>
      </c>
      <c r="I667" s="2" t="inlineStr">
        <is>
          <t>4538</t>
        </is>
      </c>
      <c r="J667" s="4"/>
      <c r="K667" s="2">
        <v>79</v>
      </c>
      <c r="L667" s="6"/>
      <c r="M667" s="2" t="str">
        <f>IF(J667="",ROUND(I667*(1-IF(ISBLANK(L667),K667,L667)/100),2),ROUND(J667*(1-IF(ISBLANK(L667),K667,L667)/100),2))</f>
      </c>
      <c r="N667" s="7" t="str">
        <f>IF(NOT(AND(J667="",L667="")),IF(OR(AND(L667&lt;&gt;"",NOT(ISNUMBER(L667))),IFERROR(MOD(L667,1),1)&gt;0,AND(ISNUMBER(L667),OR(L667&lt;0,L667&gt;95))),"Введите целое число от 0 до 95",IF(OR(AND(J667&lt;&gt;"",NOT(ISNUMBER(J667))),IFERROR(MOD(J667,1),1)&gt;0,AND(ISNUMBER(J667),OR(J667&lt;50,J667&gt;20000000))),"Введите целое число от 50 до 20000000",IF(NOT(ABS(IFERROR(VALUE(LEFT(M667,FIND("-",M667)-1)),M667)*100-(2500+2000000000)/2)&lt;=ABS(2500-2000000000)/2),"Цена со скидкой должна быть от 25 до 20000000",IF(AND(IFERROR(VALUE(LEFT(M667,FIND("-",M667)-1)),M667)*150&lt;=95297,IFERROR(VALUE(LEFT(M667,FIND("-",M667)-1)),M667)*200&gt;95297),"Вы уменьшили цену в несколько раз, товар попадет в карантин цен",IF(IFERROR(VALUE(LEFT(M667,FIND("-",M667)-1)),M667)*200&lt;=95297,"Не сохранили изменения, чтобы защитить от ошибки — новые цены меньше текущих более чем в 2 раза. Снижайте их постепенно",IF(AND(IFERROR(VALUE(I667),0)=0,ISNUMBER(J667),OR(J667&lt;358,ABS(IFERROR(VALUE(LEFT(M667,FIND("-",M667)-1)),M667))*100&lt;35800)),"Проверьте цену товара. Большинство товаров в выбранной категории стоят дороже 358","")))))),"")</f>
      </c>
    </row>
    <row r="668">
      <c r="A668" s="2" t="inlineStr">
        <is>
          <t/>
        </is>
      </c>
      <c r="B668" s="2" t="inlineStr">
        <is>
          <t>Машинки для стрижки волос</t>
        </is>
      </c>
      <c r="C668" s="2">
        <v>725137112</v>
      </c>
      <c r="D668" s="2" t="inlineStr">
        <is>
          <t>19512</t>
        </is>
      </c>
      <c r="E668" s="2" t="inlineStr">
        <is>
          <t>2048045468872</t>
        </is>
      </c>
      <c r="F668" s="2">
        <v>0</v>
      </c>
      <c r="G668" s="2">
        <v>10</v>
      </c>
      <c r="H668" s="2" t="inlineStr">
        <is>
          <t/>
        </is>
      </c>
      <c r="I668" s="2" t="inlineStr">
        <is>
          <t>7056</t>
        </is>
      </c>
      <c r="J668" s="4"/>
      <c r="K668" s="2">
        <v>69</v>
      </c>
      <c r="L668" s="6"/>
      <c r="M668" s="2" t="str">
        <f>IF(J668="",ROUND(I668*(1-IF(ISBLANK(L668),K668,L668)/100),2),ROUND(J668*(1-IF(ISBLANK(L668),K668,L668)/100),2))</f>
      </c>
      <c r="N668" s="7" t="str">
        <f>IF(NOT(AND(J668="",L668="")),IF(OR(AND(L668&lt;&gt;"",NOT(ISNUMBER(L668))),IFERROR(MOD(L668,1),1)&gt;0,AND(ISNUMBER(L668),OR(L668&lt;0,L668&gt;95))),"Введите целое число от 0 до 95",IF(OR(AND(J668&lt;&gt;"",NOT(ISNUMBER(J668))),IFERROR(MOD(J668,1),1)&gt;0,AND(ISNUMBER(J668),OR(J668&lt;50,J668&gt;20000000))),"Введите целое число от 50 до 20000000",IF(NOT(ABS(IFERROR(VALUE(LEFT(M668,FIND("-",M668)-1)),M668)*100-(2500+2000000000)/2)&lt;=ABS(2500-2000000000)/2),"Цена со скидкой должна быть от 25 до 20000000",IF(AND(IFERROR(VALUE(LEFT(M668,FIND("-",M668)-1)),M668)*150&lt;=218736,IFERROR(VALUE(LEFT(M668,FIND("-",M668)-1)),M668)*200&gt;218736),"Вы уменьшили цену в несколько раз, товар попадет в карантин цен",IF(IFERROR(VALUE(LEFT(M668,FIND("-",M668)-1)),M668)*200&lt;=218736,"Не сохранили изменения, чтобы защитить от ошибки — новые цены меньше текущих более чем в 2 раза. Снижайте их постепенно",IF(AND(IFERROR(VALUE(I668),0)=0,ISNUMBER(J668),OR(J668&lt;289,ABS(IFERROR(VALUE(LEFT(M668,FIND("-",M668)-1)),M668))*100&lt;28900)),"Проверьте цену товара. Большинство товаров в выбранной категории стоят дороже 289","")))))),"")</f>
      </c>
    </row>
    <row r="669">
      <c r="A669" s="2" t="inlineStr">
        <is>
          <t/>
        </is>
      </c>
      <c r="B669" s="2" t="inlineStr">
        <is>
          <t>Машинки для стрижки волос</t>
        </is>
      </c>
      <c r="C669" s="2">
        <v>725137113</v>
      </c>
      <c r="D669" s="2" t="inlineStr">
        <is>
          <t>192525</t>
        </is>
      </c>
      <c r="E669" s="2" t="inlineStr">
        <is>
          <t>2048045468889</t>
        </is>
      </c>
      <c r="F669" s="2">
        <v>9</v>
      </c>
      <c r="G669" s="2">
        <v>4</v>
      </c>
      <c r="H669" s="2">
        <v>999</v>
      </c>
      <c r="I669" s="2" t="inlineStr">
        <is>
          <t>7191</t>
        </is>
      </c>
      <c r="J669" s="4"/>
      <c r="K669" s="2">
        <v>80</v>
      </c>
      <c r="L669" s="6"/>
      <c r="M669" s="2" t="str">
        <f>IF(J669="",ROUND(I669*(1-IF(ISBLANK(L669),K669,L669)/100),2),ROUND(J669*(1-IF(ISBLANK(L669),K669,L669)/100),2))</f>
      </c>
      <c r="N669" s="7" t="str">
        <f>IF(NOT(AND(J669="",L669="")),IF(OR(AND(L669&lt;&gt;"",NOT(ISNUMBER(L669))),IFERROR(MOD(L669,1),1)&gt;0,AND(ISNUMBER(L669),OR(L669&lt;0,L669&gt;95))),"Введите целое число от 0 до 95",IF(OR(AND(J669&lt;&gt;"",NOT(ISNUMBER(J669))),IFERROR(MOD(J669,1),1)&gt;0,AND(ISNUMBER(J669),OR(J669&lt;50,J669&gt;20000000))),"Введите целое число от 50 до 20000000",IF(NOT(ABS(IFERROR(VALUE(LEFT(M669,FIND("-",M669)-1)),M669)*100-(2500+2000000000)/2)&lt;=ABS(2500-2000000000)/2),"Цена со скидкой должна быть от 25 до 20000000",IF(AND(IFERROR(VALUE(LEFT(M669,FIND("-",M669)-1)),M669)*150&lt;=143819,IFERROR(VALUE(LEFT(M669,FIND("-",M669)-1)),M669)*200&gt;143819),"Вы уменьшили цену в несколько раз, товар попадет в карантин цен",IF(IFERROR(VALUE(LEFT(M669,FIND("-",M669)-1)),M669)*200&lt;=143819,"Не сохранили изменения, чтобы защитить от ошибки — новые цены меньше текущих более чем в 2 раза. Снижайте их постепенно",IF(AND(IFERROR(VALUE(I669),0)=0,ISNUMBER(J669),OR(J669&lt;289,ABS(IFERROR(VALUE(LEFT(M669,FIND("-",M669)-1)),M669))*100&lt;28900)),"Проверьте цену товара. Большинство товаров в выбранной категории стоят дороже 289","")))))),"")</f>
      </c>
    </row>
    <row r="670">
      <c r="A670" s="2" t="inlineStr">
        <is>
          <t/>
        </is>
      </c>
      <c r="B670" s="2" t="inlineStr">
        <is>
          <t>Пылесосы</t>
        </is>
      </c>
      <c r="C670" s="2">
        <v>725171538</v>
      </c>
      <c r="D670" s="2" t="inlineStr">
        <is>
          <t>192386</t>
        </is>
      </c>
      <c r="E670" s="2" t="inlineStr">
        <is>
          <t>2048045758027</t>
        </is>
      </c>
      <c r="F670" s="2">
        <v>0</v>
      </c>
      <c r="G670" s="2">
        <v>0</v>
      </c>
      <c r="H670" s="2" t="inlineStr">
        <is>
          <t/>
        </is>
      </c>
      <c r="I670" s="2" t="inlineStr">
        <is>
          <t>40439</t>
        </is>
      </c>
      <c r="J670" s="4"/>
      <c r="K670" s="2">
        <v>65</v>
      </c>
      <c r="L670" s="6"/>
      <c r="M670" s="2" t="str">
        <f>IF(J670="",ROUND(I670*(1-IF(ISBLANK(L670),K670,L670)/100),2),ROUND(J670*(1-IF(ISBLANK(L670),K670,L670)/100),2))</f>
      </c>
      <c r="N670" s="7" t="str">
        <f>IF(NOT(AND(J670="",L670="")),IF(OR(AND(L670&lt;&gt;"",NOT(ISNUMBER(L670))),IFERROR(MOD(L670,1),1)&gt;0,AND(ISNUMBER(L670),OR(L670&lt;0,L670&gt;95))),"Введите целое число от 0 до 95",IF(OR(AND(J670&lt;&gt;"",NOT(ISNUMBER(J670))),IFERROR(MOD(J670,1),1)&gt;0,AND(ISNUMBER(J670),OR(J670&lt;50,J670&gt;20000000))),"Введите целое число от 50 до 20000000",IF(NOT(ABS(IFERROR(VALUE(LEFT(M670,FIND("-",M670)-1)),M670)*100-(2500+2000000000)/2)&lt;=ABS(2500-2000000000)/2),"Цена со скидкой должна быть от 25 до 20000000",IF(AND(IFERROR(VALUE(LEFT(M670,FIND("-",M670)-1)),M670)*150&lt;=1415365,IFERROR(VALUE(LEFT(M670,FIND("-",M670)-1)),M670)*200&gt;1415365),"Вы уменьшили цену в несколько раз, товар попадет в карантин цен",IF(IFERROR(VALUE(LEFT(M670,FIND("-",M670)-1)),M670)*200&lt;=1415365,"Не сохранили изменения, чтобы защитить от ошибки — новые цены меньше текущих более чем в 2 раза. Снижайте их постепенно",IF(AND(IFERROR(VALUE(I670),0)=0,ISNUMBER(J670),OR(J670&lt;296,ABS(IFERROR(VALUE(LEFT(M670,FIND("-",M670)-1)),M670))*100&lt;29600)),"Проверьте цену товара. Большинство товаров в выбранной категории стоят дороже 296","")))))),"")</f>
      </c>
    </row>
    <row r="671">
      <c r="A671" s="2" t="inlineStr">
        <is>
          <t/>
        </is>
      </c>
      <c r="B671" s="2" t="inlineStr">
        <is>
          <t>Выпрямители волос</t>
        </is>
      </c>
      <c r="C671" s="2">
        <v>725161852</v>
      </c>
      <c r="D671" s="2" t="inlineStr">
        <is>
          <t>192295</t>
        </is>
      </c>
      <c r="E671" s="2" t="inlineStr">
        <is>
          <t>2048045685026</t>
        </is>
      </c>
      <c r="F671" s="2">
        <v>0</v>
      </c>
      <c r="G671" s="2">
        <v>0</v>
      </c>
      <c r="H671" s="2">
        <v>26</v>
      </c>
      <c r="I671" s="2" t="inlineStr">
        <is>
          <t>10165</t>
        </is>
      </c>
      <c r="J671" s="4"/>
      <c r="K671" s="2">
        <v>82</v>
      </c>
      <c r="L671" s="6"/>
      <c r="M671" s="2" t="str">
        <f>IF(J671="",ROUND(I671*(1-IF(ISBLANK(L671),K671,L671)/100),2),ROUND(J671*(1-IF(ISBLANK(L671),K671,L671)/100),2))</f>
      </c>
      <c r="N671" s="7" t="str">
        <f>IF(NOT(AND(J671="",L671="")),IF(OR(AND(L671&lt;&gt;"",NOT(ISNUMBER(L671))),IFERROR(MOD(L671,1),1)&gt;0,AND(ISNUMBER(L671),OR(L671&lt;0,L671&gt;95))),"Введите целое число от 0 до 95",IF(OR(AND(J671&lt;&gt;"",NOT(ISNUMBER(J671))),IFERROR(MOD(J671,1),1)&gt;0,AND(ISNUMBER(J671),OR(J671&lt;50,J671&gt;20000000))),"Введите целое число от 50 до 20000000",IF(NOT(ABS(IFERROR(VALUE(LEFT(M671,FIND("-",M671)-1)),M671)*100-(2500+2000000000)/2)&lt;=ABS(2500-2000000000)/2),"Цена со скидкой должна быть от 25 до 20000000",IF(AND(IFERROR(VALUE(LEFT(M671,FIND("-",M671)-1)),M671)*150&lt;=182970,IFERROR(VALUE(LEFT(M671,FIND("-",M671)-1)),M671)*200&gt;182970),"Вы уменьшили цену в несколько раз, товар попадет в карантин цен",IF(IFERROR(VALUE(LEFT(M671,FIND("-",M671)-1)),M671)*200&lt;=182970,"Не сохранили изменения, чтобы защитить от ошибки — новые цены меньше текущих более чем в 2 раза. Снижайте их постепенно",IF(AND(IFERROR(VALUE(I671),0)=0,ISNUMBER(J671),OR(J671&lt;467,ABS(IFERROR(VALUE(LEFT(M671,FIND("-",M671)-1)),M671))*100&lt;46700)),"Проверьте цену товара. Большинство товаров в выбранной категории стоят дороже 467","")))))),"")</f>
      </c>
    </row>
    <row r="672">
      <c r="A672" s="2" t="inlineStr">
        <is>
          <t/>
        </is>
      </c>
      <c r="B672" s="2" t="inlineStr">
        <is>
          <t>Пылесосы</t>
        </is>
      </c>
      <c r="C672" s="2">
        <v>725171536</v>
      </c>
      <c r="D672" s="2" t="inlineStr">
        <is>
          <t>192620</t>
        </is>
      </c>
      <c r="E672" s="2" t="inlineStr">
        <is>
          <t>2048045758003</t>
        </is>
      </c>
      <c r="F672" s="2" t="inlineStr">
        <is>
          <t/>
        </is>
      </c>
      <c r="G672" s="2" t="inlineStr">
        <is>
          <t/>
        </is>
      </c>
      <c r="H672" s="2" t="inlineStr">
        <is>
          <t/>
        </is>
      </c>
      <c r="I672" s="2" t="inlineStr">
        <is>
          <t>129781</t>
        </is>
      </c>
      <c r="J672" s="4"/>
      <c r="K672" s="2">
        <v>65</v>
      </c>
      <c r="L672" s="6"/>
      <c r="M672" s="2" t="str">
        <f>IF(J672="",ROUND(I672*(1-IF(ISBLANK(L672),K672,L672)/100),2),ROUND(J672*(1-IF(ISBLANK(L672),K672,L672)/100),2))</f>
      </c>
      <c r="N672" s="7" t="str">
        <f>IF(NOT(AND(J672="",L672="")),IF(OR(AND(L672&lt;&gt;"",NOT(ISNUMBER(L672))),IFERROR(MOD(L672,1),1)&gt;0,AND(ISNUMBER(L672),OR(L672&lt;0,L672&gt;95))),"Введите целое число от 0 до 95",IF(OR(AND(J672&lt;&gt;"",NOT(ISNUMBER(J672))),IFERROR(MOD(J672,1),1)&gt;0,AND(ISNUMBER(J672),OR(J672&lt;50,J672&gt;20000000))),"Введите целое число от 50 до 20000000",IF(NOT(ABS(IFERROR(VALUE(LEFT(M672,FIND("-",M672)-1)),M672)*100-(2500+2000000000)/2)&lt;=ABS(2500-2000000000)/2),"Цена со скидкой должна быть от 25 до 20000000",IF(AND(IFERROR(VALUE(LEFT(M672,FIND("-",M672)-1)),M672)*150&lt;=4542335,IFERROR(VALUE(LEFT(M672,FIND("-",M672)-1)),M672)*200&gt;4542335),"Вы уменьшили цену в несколько раз, товар попадет в карантин цен",IF(IFERROR(VALUE(LEFT(M672,FIND("-",M672)-1)),M672)*200&lt;=4542335,"Не сохранили изменения, чтобы защитить от ошибки — новые цены меньше текущих более чем в 2 раза. Снижайте их постепенно",IF(AND(IFERROR(VALUE(I672),0)=0,ISNUMBER(J672),OR(J672&lt;296,ABS(IFERROR(VALUE(LEFT(M672,FIND("-",M672)-1)),M672))*100&lt;29600)),"Проверьте цену товара. Большинство товаров в выбранной категории стоят дороже 296","")))))),"")</f>
      </c>
    </row>
    <row r="673">
      <c r="A673" s="2" t="inlineStr">
        <is>
          <t/>
        </is>
      </c>
      <c r="B673" s="2" t="inlineStr">
        <is>
          <t>Выпрямители волос</t>
        </is>
      </c>
      <c r="C673" s="2">
        <v>725161851</v>
      </c>
      <c r="D673" s="2" t="inlineStr">
        <is>
          <t>192665</t>
        </is>
      </c>
      <c r="E673" s="2" t="inlineStr">
        <is>
          <t>2048045685019</t>
        </is>
      </c>
      <c r="F673" s="2">
        <v>1</v>
      </c>
      <c r="G673" s="2">
        <v>0</v>
      </c>
      <c r="H673" s="2">
        <v>32</v>
      </c>
      <c r="I673" s="2" t="inlineStr">
        <is>
          <t>4584</t>
        </is>
      </c>
      <c r="J673" s="4"/>
      <c r="K673" s="2">
        <v>82</v>
      </c>
      <c r="L673" s="6"/>
      <c r="M673" s="2" t="str">
        <f>IF(J673="",ROUND(I673*(1-IF(ISBLANK(L673),K673,L673)/100),2),ROUND(J673*(1-IF(ISBLANK(L673),K673,L673)/100),2))</f>
      </c>
      <c r="N673" s="7" t="str">
        <f>IF(NOT(AND(J673="",L673="")),IF(OR(AND(L673&lt;&gt;"",NOT(ISNUMBER(L673))),IFERROR(MOD(L673,1),1)&gt;0,AND(ISNUMBER(L673),OR(L673&lt;0,L673&gt;95))),"Введите целое число от 0 до 95",IF(OR(AND(J673&lt;&gt;"",NOT(ISNUMBER(J673))),IFERROR(MOD(J673,1),1)&gt;0,AND(ISNUMBER(J673),OR(J673&lt;50,J673&gt;20000000))),"Введите целое число от 50 до 20000000",IF(NOT(ABS(IFERROR(VALUE(LEFT(M673,FIND("-",M673)-1)),M673)*100-(2500+2000000000)/2)&lt;=ABS(2500-2000000000)/2),"Цена со скидкой должна быть от 25 до 20000000",IF(AND(IFERROR(VALUE(LEFT(M673,FIND("-",M673)-1)),M673)*150&lt;=82512,IFERROR(VALUE(LEFT(M673,FIND("-",M673)-1)),M673)*200&gt;82512),"Вы уменьшили цену в несколько раз, товар попадет в карантин цен",IF(IFERROR(VALUE(LEFT(M673,FIND("-",M673)-1)),M673)*200&lt;=82512,"Не сохранили изменения, чтобы защитить от ошибки — новые цены меньше текущих более чем в 2 раза. Снижайте их постепенно",IF(AND(IFERROR(VALUE(I673),0)=0,ISNUMBER(J673),OR(J673&lt;467,ABS(IFERROR(VALUE(LEFT(M673,FIND("-",M673)-1)),M673))*100&lt;46700)),"Проверьте цену товара. Большинство товаров в выбранной категории стоят дороже 467","")))))),"")</f>
      </c>
    </row>
    <row r="674">
      <c r="A674" s="2" t="inlineStr">
        <is>
          <t/>
        </is>
      </c>
      <c r="B674" s="2" t="inlineStr">
        <is>
          <t>Пылесосы</t>
        </is>
      </c>
      <c r="C674" s="2">
        <v>725171537</v>
      </c>
      <c r="D674" s="2" t="inlineStr">
        <is>
          <t>192360</t>
        </is>
      </c>
      <c r="E674" s="2" t="inlineStr">
        <is>
          <t>2048045758010</t>
        </is>
      </c>
      <c r="F674" s="2">
        <v>0</v>
      </c>
      <c r="G674" s="2">
        <v>2</v>
      </c>
      <c r="H674" s="2" t="inlineStr">
        <is>
          <t/>
        </is>
      </c>
      <c r="I674" s="2" t="inlineStr">
        <is>
          <t>25065</t>
        </is>
      </c>
      <c r="J674" s="4"/>
      <c r="K674" s="2">
        <v>80</v>
      </c>
      <c r="L674" s="6"/>
      <c r="M674" s="2" t="str">
        <f>IF(J674="",ROUND(I674*(1-IF(ISBLANK(L674),K674,L674)/100),2),ROUND(J674*(1-IF(ISBLANK(L674),K674,L674)/100),2))</f>
      </c>
      <c r="N674" s="7" t="str">
        <f>IF(NOT(AND(J674="",L674="")),IF(OR(AND(L674&lt;&gt;"",NOT(ISNUMBER(L674))),IFERROR(MOD(L674,1),1)&gt;0,AND(ISNUMBER(L674),OR(L674&lt;0,L674&gt;95))),"Введите целое число от 0 до 95",IF(OR(AND(J674&lt;&gt;"",NOT(ISNUMBER(J674))),IFERROR(MOD(J674,1),1)&gt;0,AND(ISNUMBER(J674),OR(J674&lt;50,J674&gt;20000000))),"Введите целое число от 50 до 20000000",IF(NOT(ABS(IFERROR(VALUE(LEFT(M674,FIND("-",M674)-1)),M674)*100-(2500+2000000000)/2)&lt;=ABS(2500-2000000000)/2),"Цена со скидкой должна быть от 25 до 20000000",IF(AND(IFERROR(VALUE(LEFT(M674,FIND("-",M674)-1)),M674)*150&lt;=501299,IFERROR(VALUE(LEFT(M674,FIND("-",M674)-1)),M674)*200&gt;501299),"Вы уменьшили цену в несколько раз, товар попадет в карантин цен",IF(IFERROR(VALUE(LEFT(M674,FIND("-",M674)-1)),M674)*200&lt;=501299,"Не сохранили изменения, чтобы защитить от ошибки — новые цены меньше текущих более чем в 2 раза. Снижайте их постепенно",IF(AND(IFERROR(VALUE(I674),0)=0,ISNUMBER(J674),OR(J674&lt;296,ABS(IFERROR(VALUE(LEFT(M674,FIND("-",M674)-1)),M674))*100&lt;29600)),"Проверьте цену товара. Большинство товаров в выбранной категории стоят дороже 296","")))))),"")</f>
      </c>
    </row>
    <row r="675">
      <c r="A675" s="2" t="inlineStr">
        <is>
          <t/>
        </is>
      </c>
      <c r="B675" s="2" t="inlineStr">
        <is>
          <t>Утюги</t>
        </is>
      </c>
      <c r="C675" s="2">
        <v>725185642</v>
      </c>
      <c r="D675" s="2" t="inlineStr">
        <is>
          <t>19959</t>
        </is>
      </c>
      <c r="E675" s="2" t="inlineStr">
        <is>
          <t>2048045878169</t>
        </is>
      </c>
      <c r="F675" s="2">
        <v>0</v>
      </c>
      <c r="G675" s="2">
        <v>7</v>
      </c>
      <c r="H675" s="2" t="inlineStr">
        <is>
          <t/>
        </is>
      </c>
      <c r="I675" s="2" t="inlineStr">
        <is>
          <t>9695</t>
        </is>
      </c>
      <c r="J675" s="4"/>
      <c r="K675" s="2">
        <v>78</v>
      </c>
      <c r="L675" s="6"/>
      <c r="M675" s="2" t="str">
        <f>IF(J675="",ROUND(I675*(1-IF(ISBLANK(L675),K675,L675)/100),2),ROUND(J675*(1-IF(ISBLANK(L675),K675,L675)/100),2))</f>
      </c>
      <c r="N675" s="7" t="str">
        <f>IF(NOT(AND(J675="",L675="")),IF(OR(AND(L675&lt;&gt;"",NOT(ISNUMBER(L675))),IFERROR(MOD(L675,1),1)&gt;0,AND(ISNUMBER(L675),OR(L675&lt;0,L675&gt;95))),"Введите целое число от 0 до 95",IF(OR(AND(J675&lt;&gt;"",NOT(ISNUMBER(J675))),IFERROR(MOD(J675,1),1)&gt;0,AND(ISNUMBER(J675),OR(J675&lt;50,J675&gt;20000000))),"Введите целое число от 50 до 20000000",IF(NOT(ABS(IFERROR(VALUE(LEFT(M675,FIND("-",M675)-1)),M675)*100-(2500+2000000000)/2)&lt;=ABS(2500-2000000000)/2),"Цена со скидкой должна быть от 25 до 20000000",IF(AND(IFERROR(VALUE(LEFT(M675,FIND("-",M675)-1)),M675)*150&lt;=213289,IFERROR(VALUE(LEFT(M675,FIND("-",M675)-1)),M675)*200&gt;213289),"Вы уменьшили цену в несколько раз, товар попадет в карантин цен",IF(IFERROR(VALUE(LEFT(M675,FIND("-",M675)-1)),M675)*200&lt;=213289,"Не сохранили изменения, чтобы защитить от ошибки — новые цены меньше текущих более чем в 2 раза. Снижайте их постепенно",IF(AND(IFERROR(VALUE(I675),0)=0,ISNUMBER(J675),OR(J675&lt;403,ABS(IFERROR(VALUE(LEFT(M675,FIND("-",M675)-1)),M675))*100&lt;40300)),"Проверьте цену товара. Большинство товаров в выбранной категории стоят дороже 403","")))))),"")</f>
      </c>
    </row>
    <row r="676">
      <c r="A676" s="2" t="inlineStr">
        <is>
          <t/>
        </is>
      </c>
      <c r="B676" s="2" t="inlineStr">
        <is>
          <t>Утюги</t>
        </is>
      </c>
      <c r="C676" s="2">
        <v>725185636</v>
      </c>
      <c r="D676" s="2" t="inlineStr">
        <is>
          <t>191020</t>
        </is>
      </c>
      <c r="E676" s="2" t="inlineStr">
        <is>
          <t>2048045878107</t>
        </is>
      </c>
      <c r="F676" s="2">
        <v>0</v>
      </c>
      <c r="G676" s="2">
        <v>1</v>
      </c>
      <c r="H676" s="2" t="inlineStr">
        <is>
          <t/>
        </is>
      </c>
      <c r="I676" s="2" t="inlineStr">
        <is>
          <t>18581</t>
        </is>
      </c>
      <c r="J676" s="4"/>
      <c r="K676" s="2">
        <v>80</v>
      </c>
      <c r="L676" s="6"/>
      <c r="M676" s="2" t="str">
        <f>IF(J676="",ROUND(I676*(1-IF(ISBLANK(L676),K676,L676)/100),2),ROUND(J676*(1-IF(ISBLANK(L676),K676,L676)/100),2))</f>
      </c>
      <c r="N676" s="7" t="str">
        <f>IF(NOT(AND(J676="",L676="")),IF(OR(AND(L676&lt;&gt;"",NOT(ISNUMBER(L676))),IFERROR(MOD(L676,1),1)&gt;0,AND(ISNUMBER(L676),OR(L676&lt;0,L676&gt;95))),"Введите целое число от 0 до 95",IF(OR(AND(J676&lt;&gt;"",NOT(ISNUMBER(J676))),IFERROR(MOD(J676,1),1)&gt;0,AND(ISNUMBER(J676),OR(J676&lt;50,J676&gt;20000000))),"Введите целое число от 50 до 20000000",IF(NOT(ABS(IFERROR(VALUE(LEFT(M676,FIND("-",M676)-1)),M676)*100-(2500+2000000000)/2)&lt;=ABS(2500-2000000000)/2),"Цена со скидкой должна быть от 25 до 20000000",IF(AND(IFERROR(VALUE(LEFT(M676,FIND("-",M676)-1)),M676)*150&lt;=371619,IFERROR(VALUE(LEFT(M676,FIND("-",M676)-1)),M676)*200&gt;371619),"Вы уменьшили цену в несколько раз, товар попадет в карантин цен",IF(IFERROR(VALUE(LEFT(M676,FIND("-",M676)-1)),M676)*200&lt;=371619,"Не сохранили изменения, чтобы защитить от ошибки — новые цены меньше текущих более чем в 2 раза. Снижайте их постепенно",IF(AND(IFERROR(VALUE(I676),0)=0,ISNUMBER(J676),OR(J676&lt;403,ABS(IFERROR(VALUE(LEFT(M676,FIND("-",M676)-1)),M676))*100&lt;40300)),"Проверьте цену товара. Большинство товаров в выбранной категории стоят дороже 403","")))))),"")</f>
      </c>
    </row>
    <row r="677">
      <c r="A677" s="2" t="inlineStr">
        <is>
          <t/>
        </is>
      </c>
      <c r="B677" s="2" t="inlineStr">
        <is>
          <t>Утюги</t>
        </is>
      </c>
      <c r="C677" s="2">
        <v>725185640</v>
      </c>
      <c r="D677" s="2" t="inlineStr">
        <is>
          <t>190842</t>
        </is>
      </c>
      <c r="E677" s="2" t="inlineStr">
        <is>
          <t>2048045878145</t>
        </is>
      </c>
      <c r="F677" s="2">
        <v>5</v>
      </c>
      <c r="G677" s="2">
        <v>0</v>
      </c>
      <c r="H677" s="2">
        <v>999</v>
      </c>
      <c r="I677" s="2" t="inlineStr">
        <is>
          <t>9643</t>
        </is>
      </c>
      <c r="J677" s="4"/>
      <c r="K677" s="2">
        <v>80</v>
      </c>
      <c r="L677" s="6"/>
      <c r="M677" s="2" t="str">
        <f>IF(J677="",ROUND(I677*(1-IF(ISBLANK(L677),K677,L677)/100),2),ROUND(J677*(1-IF(ISBLANK(L677),K677,L677)/100),2))</f>
      </c>
      <c r="N677" s="7" t="str">
        <f>IF(NOT(AND(J677="",L677="")),IF(OR(AND(L677&lt;&gt;"",NOT(ISNUMBER(L677))),IFERROR(MOD(L677,1),1)&gt;0,AND(ISNUMBER(L677),OR(L677&lt;0,L677&gt;95))),"Введите целое число от 0 до 95",IF(OR(AND(J677&lt;&gt;"",NOT(ISNUMBER(J677))),IFERROR(MOD(J677,1),1)&gt;0,AND(ISNUMBER(J677),OR(J677&lt;50,J677&gt;20000000))),"Введите целое число от 50 до 20000000",IF(NOT(ABS(IFERROR(VALUE(LEFT(M677,FIND("-",M677)-1)),M677)*100-(2500+2000000000)/2)&lt;=ABS(2500-2000000000)/2),"Цена со скидкой должна быть от 25 до 20000000",IF(AND(IFERROR(VALUE(LEFT(M677,FIND("-",M677)-1)),M677)*150&lt;=192859,IFERROR(VALUE(LEFT(M677,FIND("-",M677)-1)),M677)*200&gt;192859),"Вы уменьшили цену в несколько раз, товар попадет в карантин цен",IF(IFERROR(VALUE(LEFT(M677,FIND("-",M677)-1)),M677)*200&lt;=192859,"Не сохранили изменения, чтобы защитить от ошибки — новые цены меньше текущих более чем в 2 раза. Снижайте их постепенно",IF(AND(IFERROR(VALUE(I677),0)=0,ISNUMBER(J677),OR(J677&lt;403,ABS(IFERROR(VALUE(LEFT(M677,FIND("-",M677)-1)),M677))*100&lt;40300)),"Проверьте цену товара. Большинство товаров в выбранной категории стоят дороже 403","")))))),"")</f>
      </c>
    </row>
    <row r="678">
      <c r="A678" s="2" t="inlineStr">
        <is>
          <t/>
        </is>
      </c>
      <c r="B678" s="2" t="inlineStr">
        <is>
          <t>Утюги</t>
        </is>
      </c>
      <c r="C678" s="2">
        <v>725185632</v>
      </c>
      <c r="D678" s="2" t="inlineStr">
        <is>
          <t>191837</t>
        </is>
      </c>
      <c r="E678" s="2" t="inlineStr">
        <is>
          <t>2048045878060</t>
        </is>
      </c>
      <c r="F678" s="2">
        <v>0</v>
      </c>
      <c r="G678" s="2">
        <v>0</v>
      </c>
      <c r="H678" s="2" t="inlineStr">
        <is>
          <t/>
        </is>
      </c>
      <c r="I678" s="2" t="inlineStr">
        <is>
          <t>10727</t>
        </is>
      </c>
      <c r="J678" s="4"/>
      <c r="K678" s="2">
        <v>78</v>
      </c>
      <c r="L678" s="6"/>
      <c r="M678" s="2" t="str">
        <f>IF(J678="",ROUND(I678*(1-IF(ISBLANK(L678),K678,L678)/100),2),ROUND(J678*(1-IF(ISBLANK(L678),K678,L678)/100),2))</f>
      </c>
      <c r="N678" s="7" t="str">
        <f>IF(NOT(AND(J678="",L678="")),IF(OR(AND(L678&lt;&gt;"",NOT(ISNUMBER(L678))),IFERROR(MOD(L678,1),1)&gt;0,AND(ISNUMBER(L678),OR(L678&lt;0,L678&gt;95))),"Введите целое число от 0 до 95",IF(OR(AND(J678&lt;&gt;"",NOT(ISNUMBER(J678))),IFERROR(MOD(J678,1),1)&gt;0,AND(ISNUMBER(J678),OR(J678&lt;50,J678&gt;20000000))),"Введите целое число от 50 до 20000000",IF(NOT(ABS(IFERROR(VALUE(LEFT(M678,FIND("-",M678)-1)),M678)*100-(2500+2000000000)/2)&lt;=ABS(2500-2000000000)/2),"Цена со скидкой должна быть от 25 до 20000000",IF(AND(IFERROR(VALUE(LEFT(M678,FIND("-",M678)-1)),M678)*150&lt;=235993,IFERROR(VALUE(LEFT(M678,FIND("-",M678)-1)),M678)*200&gt;235993),"Вы уменьшили цену в несколько раз, товар попадет в карантин цен",IF(IFERROR(VALUE(LEFT(M678,FIND("-",M678)-1)),M678)*200&lt;=235993,"Не сохранили изменения, чтобы защитить от ошибки — новые цены меньше текущих более чем в 2 раза. Снижайте их постепенно",IF(AND(IFERROR(VALUE(I678),0)=0,ISNUMBER(J678),OR(J678&lt;403,ABS(IFERROR(VALUE(LEFT(M678,FIND("-",M678)-1)),M678))*100&lt;40300)),"Проверьте цену товара. Большинство товаров в выбранной категории стоят дороже 403","")))))),"")</f>
      </c>
    </row>
    <row r="679">
      <c r="A679" s="2" t="inlineStr">
        <is>
          <t/>
        </is>
      </c>
      <c r="B679" s="2" t="inlineStr">
        <is>
          <t>Утюги</t>
        </is>
      </c>
      <c r="C679" s="2">
        <v>725185641</v>
      </c>
      <c r="D679" s="2" t="inlineStr">
        <is>
          <t>19399</t>
        </is>
      </c>
      <c r="E679" s="2" t="inlineStr">
        <is>
          <t>2048045878152</t>
        </is>
      </c>
      <c r="F679" s="2">
        <v>0</v>
      </c>
      <c r="G679" s="2">
        <v>0</v>
      </c>
      <c r="H679" s="2" t="inlineStr">
        <is>
          <t/>
        </is>
      </c>
      <c r="I679" s="2" t="inlineStr">
        <is>
          <t>13865</t>
        </is>
      </c>
      <c r="J679" s="4"/>
      <c r="K679" s="2">
        <v>65</v>
      </c>
      <c r="L679" s="6"/>
      <c r="M679" s="2" t="str">
        <f>IF(J679="",ROUND(I679*(1-IF(ISBLANK(L679),K679,L679)/100),2),ROUND(J679*(1-IF(ISBLANK(L679),K679,L679)/100),2))</f>
      </c>
      <c r="N679" s="7" t="str">
        <f>IF(NOT(AND(J679="",L679="")),IF(OR(AND(L679&lt;&gt;"",NOT(ISNUMBER(L679))),IFERROR(MOD(L679,1),1)&gt;0,AND(ISNUMBER(L679),OR(L679&lt;0,L679&gt;95))),"Введите целое число от 0 до 95",IF(OR(AND(J679&lt;&gt;"",NOT(ISNUMBER(J679))),IFERROR(MOD(J679,1),1)&gt;0,AND(ISNUMBER(J679),OR(J679&lt;50,J679&gt;20000000))),"Введите целое число от 50 до 20000000",IF(NOT(ABS(IFERROR(VALUE(LEFT(M679,FIND("-",M679)-1)),M679)*100-(2500+2000000000)/2)&lt;=ABS(2500-2000000000)/2),"Цена со скидкой должна быть от 25 до 20000000",IF(AND(IFERROR(VALUE(LEFT(M679,FIND("-",M679)-1)),M679)*150&lt;=485275,IFERROR(VALUE(LEFT(M679,FIND("-",M679)-1)),M679)*200&gt;485275),"Вы уменьшили цену в несколько раз, товар попадет в карантин цен",IF(IFERROR(VALUE(LEFT(M679,FIND("-",M679)-1)),M679)*200&lt;=485275,"Не сохранили изменения, чтобы защитить от ошибки — новые цены меньше текущих более чем в 2 раза. Снижайте их постепенно",IF(AND(IFERROR(VALUE(I679),0)=0,ISNUMBER(J679),OR(J679&lt;403,ABS(IFERROR(VALUE(LEFT(M679,FIND("-",M679)-1)),M679))*100&lt;40300)),"Проверьте цену товара. Большинство товаров в выбранной категории стоят дороже 403","")))))),"")</f>
      </c>
    </row>
    <row r="680">
      <c r="A680" s="2" t="inlineStr">
        <is>
          <t/>
        </is>
      </c>
      <c r="B680" s="2" t="inlineStr">
        <is>
          <t>Утюги</t>
        </is>
      </c>
      <c r="C680" s="2">
        <v>725185633</v>
      </c>
      <c r="D680" s="2" t="inlineStr">
        <is>
          <t>191671</t>
        </is>
      </c>
      <c r="E680" s="2" t="inlineStr">
        <is>
          <t>2048045878077</t>
        </is>
      </c>
      <c r="F680" s="2">
        <v>1</v>
      </c>
      <c r="G680" s="2">
        <v>0</v>
      </c>
      <c r="H680" s="2">
        <v>999</v>
      </c>
      <c r="I680" s="2" t="inlineStr">
        <is>
          <t>16802</t>
        </is>
      </c>
      <c r="J680" s="4"/>
      <c r="K680" s="2">
        <v>82</v>
      </c>
      <c r="L680" s="6"/>
      <c r="M680" s="2" t="str">
        <f>IF(J680="",ROUND(I680*(1-IF(ISBLANK(L680),K680,L680)/100),2),ROUND(J680*(1-IF(ISBLANK(L680),K680,L680)/100),2))</f>
      </c>
      <c r="N680" s="7" t="str">
        <f>IF(NOT(AND(J680="",L680="")),IF(OR(AND(L680&lt;&gt;"",NOT(ISNUMBER(L680))),IFERROR(MOD(L680,1),1)&gt;0,AND(ISNUMBER(L680),OR(L680&lt;0,L680&gt;95))),"Введите целое число от 0 до 95",IF(OR(AND(J680&lt;&gt;"",NOT(ISNUMBER(J680))),IFERROR(MOD(J680,1),1)&gt;0,AND(ISNUMBER(J680),OR(J680&lt;50,J680&gt;20000000))),"Введите целое число от 50 до 20000000",IF(NOT(ABS(IFERROR(VALUE(LEFT(M680,FIND("-",M680)-1)),M680)*100-(2500+2000000000)/2)&lt;=ABS(2500-2000000000)/2),"Цена со скидкой должна быть от 25 до 20000000",IF(AND(IFERROR(VALUE(LEFT(M680,FIND("-",M680)-1)),M680)*150&lt;=302436,IFERROR(VALUE(LEFT(M680,FIND("-",M680)-1)),M680)*200&gt;302436),"Вы уменьшили цену в несколько раз, товар попадет в карантин цен",IF(IFERROR(VALUE(LEFT(M680,FIND("-",M680)-1)),M680)*200&lt;=302436,"Не сохранили изменения, чтобы защитить от ошибки — новые цены меньше текущих более чем в 2 раза. Снижайте их постепенно",IF(AND(IFERROR(VALUE(I680),0)=0,ISNUMBER(J680),OR(J680&lt;403,ABS(IFERROR(VALUE(LEFT(M680,FIND("-",M680)-1)),M680))*100&lt;40300)),"Проверьте цену товара. Большинство товаров в выбранной категории стоят дороже 403","")))))),"")</f>
      </c>
    </row>
    <row r="681">
      <c r="A681" s="2" t="inlineStr">
        <is>
          <t/>
        </is>
      </c>
      <c r="B681" s="2" t="inlineStr">
        <is>
          <t>Утюги</t>
        </is>
      </c>
      <c r="C681" s="2">
        <v>725185638</v>
      </c>
      <c r="D681" s="2" t="inlineStr">
        <is>
          <t>191984</t>
        </is>
      </c>
      <c r="E681" s="2" t="inlineStr">
        <is>
          <t>2048045878121</t>
        </is>
      </c>
      <c r="F681" s="2">
        <v>0</v>
      </c>
      <c r="G681" s="2">
        <v>0</v>
      </c>
      <c r="H681" s="2" t="inlineStr">
        <is>
          <t/>
        </is>
      </c>
      <c r="I681" s="2" t="inlineStr">
        <is>
          <t>16100</t>
        </is>
      </c>
      <c r="J681" s="4"/>
      <c r="K681" s="2">
        <v>65</v>
      </c>
      <c r="L681" s="6"/>
      <c r="M681" s="2" t="str">
        <f>IF(J681="",ROUND(I681*(1-IF(ISBLANK(L681),K681,L681)/100),2),ROUND(J681*(1-IF(ISBLANK(L681),K681,L681)/100),2))</f>
      </c>
      <c r="N681" s="7" t="str">
        <f>IF(NOT(AND(J681="",L681="")),IF(OR(AND(L681&lt;&gt;"",NOT(ISNUMBER(L681))),IFERROR(MOD(L681,1),1)&gt;0,AND(ISNUMBER(L681),OR(L681&lt;0,L681&gt;95))),"Введите целое число от 0 до 95",IF(OR(AND(J681&lt;&gt;"",NOT(ISNUMBER(J681))),IFERROR(MOD(J681,1),1)&gt;0,AND(ISNUMBER(J681),OR(J681&lt;50,J681&gt;20000000))),"Введите целое число от 50 до 20000000",IF(NOT(ABS(IFERROR(VALUE(LEFT(M681,FIND("-",M681)-1)),M681)*100-(2500+2000000000)/2)&lt;=ABS(2500-2000000000)/2),"Цена со скидкой должна быть от 25 до 20000000",IF(AND(IFERROR(VALUE(LEFT(M681,FIND("-",M681)-1)),M681)*150&lt;=563500,IFERROR(VALUE(LEFT(M681,FIND("-",M681)-1)),M681)*200&gt;563500),"Вы уменьшили цену в несколько раз, товар попадет в карантин цен",IF(IFERROR(VALUE(LEFT(M681,FIND("-",M681)-1)),M681)*200&lt;=563500,"Не сохранили изменения, чтобы защитить от ошибки — новые цены меньше текущих более чем в 2 раза. Снижайте их постепенно",IF(AND(IFERROR(VALUE(I681),0)=0,ISNUMBER(J681),OR(J681&lt;403,ABS(IFERROR(VALUE(LEFT(M681,FIND("-",M681)-1)),M681))*100&lt;40300)),"Проверьте цену товара. Большинство товаров в выбранной категории стоят дороже 403","")))))),"")</f>
      </c>
    </row>
    <row r="682">
      <c r="A682" s="2" t="inlineStr">
        <is>
          <t/>
        </is>
      </c>
      <c r="B682" s="2" t="inlineStr">
        <is>
          <t>Утюги</t>
        </is>
      </c>
      <c r="C682" s="2">
        <v>725185634</v>
      </c>
      <c r="D682" s="2" t="inlineStr">
        <is>
          <t>191539</t>
        </is>
      </c>
      <c r="E682" s="2" t="inlineStr">
        <is>
          <t>2048045878084</t>
        </is>
      </c>
      <c r="F682" s="2">
        <v>0</v>
      </c>
      <c r="G682" s="2">
        <v>5</v>
      </c>
      <c r="H682" s="2" t="inlineStr">
        <is>
          <t/>
        </is>
      </c>
      <c r="I682" s="2" t="inlineStr">
        <is>
          <t>14132</t>
        </is>
      </c>
      <c r="J682" s="4"/>
      <c r="K682" s="2">
        <v>65</v>
      </c>
      <c r="L682" s="6"/>
      <c r="M682" s="2" t="str">
        <f>IF(J682="",ROUND(I682*(1-IF(ISBLANK(L682),K682,L682)/100),2),ROUND(J682*(1-IF(ISBLANK(L682),K682,L682)/100),2))</f>
      </c>
      <c r="N682" s="7" t="str">
        <f>IF(NOT(AND(J682="",L682="")),IF(OR(AND(L682&lt;&gt;"",NOT(ISNUMBER(L682))),IFERROR(MOD(L682,1),1)&gt;0,AND(ISNUMBER(L682),OR(L682&lt;0,L682&gt;95))),"Введите целое число от 0 до 95",IF(OR(AND(J682&lt;&gt;"",NOT(ISNUMBER(J682))),IFERROR(MOD(J682,1),1)&gt;0,AND(ISNUMBER(J682),OR(J682&lt;50,J682&gt;20000000))),"Введите целое число от 50 до 20000000",IF(NOT(ABS(IFERROR(VALUE(LEFT(M682,FIND("-",M682)-1)),M682)*100-(2500+2000000000)/2)&lt;=ABS(2500-2000000000)/2),"Цена со скидкой должна быть от 25 до 20000000",IF(AND(IFERROR(VALUE(LEFT(M682,FIND("-",M682)-1)),M682)*150&lt;=494620,IFERROR(VALUE(LEFT(M682,FIND("-",M682)-1)),M682)*200&gt;494620),"Вы уменьшили цену в несколько раз, товар попадет в карантин цен",IF(IFERROR(VALUE(LEFT(M682,FIND("-",M682)-1)),M682)*200&lt;=494620,"Не сохранили изменения, чтобы защитить от ошибки — новые цены меньше текущих более чем в 2 раза. Снижайте их постепенно",IF(AND(IFERROR(VALUE(I682),0)=0,ISNUMBER(J682),OR(J682&lt;403,ABS(IFERROR(VALUE(LEFT(M682,FIND("-",M682)-1)),M682))*100&lt;40300)),"Проверьте цену товара. Большинство товаров в выбранной категории стоят дороже 403","")))))),"")</f>
      </c>
    </row>
    <row r="683">
      <c r="A683" s="2" t="inlineStr">
        <is>
          <t/>
        </is>
      </c>
      <c r="B683" s="2" t="inlineStr">
        <is>
          <t>Утюги</t>
        </is>
      </c>
      <c r="C683" s="2">
        <v>725185637</v>
      </c>
      <c r="D683" s="2" t="inlineStr">
        <is>
          <t>19661</t>
        </is>
      </c>
      <c r="E683" s="2" t="inlineStr">
        <is>
          <t>2048045878114</t>
        </is>
      </c>
      <c r="F683" s="2">
        <v>0</v>
      </c>
      <c r="G683" s="2">
        <v>5</v>
      </c>
      <c r="H683" s="2" t="inlineStr">
        <is>
          <t/>
        </is>
      </c>
      <c r="I683" s="2" t="inlineStr">
        <is>
          <t>13308</t>
        </is>
      </c>
      <c r="J683" s="4"/>
      <c r="K683" s="2">
        <v>78</v>
      </c>
      <c r="L683" s="6"/>
      <c r="M683" s="2" t="str">
        <f>IF(J683="",ROUND(I683*(1-IF(ISBLANK(L683),K683,L683)/100),2),ROUND(J683*(1-IF(ISBLANK(L683),K683,L683)/100),2))</f>
      </c>
      <c r="N683" s="7" t="str">
        <f>IF(NOT(AND(J683="",L683="")),IF(OR(AND(L683&lt;&gt;"",NOT(ISNUMBER(L683))),IFERROR(MOD(L683,1),1)&gt;0,AND(ISNUMBER(L683),OR(L683&lt;0,L683&gt;95))),"Введите целое число от 0 до 95",IF(OR(AND(J683&lt;&gt;"",NOT(ISNUMBER(J683))),IFERROR(MOD(J683,1),1)&gt;0,AND(ISNUMBER(J683),OR(J683&lt;50,J683&gt;20000000))),"Введите целое число от 50 до 20000000",IF(NOT(ABS(IFERROR(VALUE(LEFT(M683,FIND("-",M683)-1)),M683)*100-(2500+2000000000)/2)&lt;=ABS(2500-2000000000)/2),"Цена со скидкой должна быть от 25 до 20000000",IF(AND(IFERROR(VALUE(LEFT(M683,FIND("-",M683)-1)),M683)*150&lt;=292776,IFERROR(VALUE(LEFT(M683,FIND("-",M683)-1)),M683)*200&gt;292776),"Вы уменьшили цену в несколько раз, товар попадет в карантин цен",IF(IFERROR(VALUE(LEFT(M683,FIND("-",M683)-1)),M683)*200&lt;=292776,"Не сохранили изменения, чтобы защитить от ошибки — новые цены меньше текущих более чем в 2 раза. Снижайте их постепенно",IF(AND(IFERROR(VALUE(I683),0)=0,ISNUMBER(J683),OR(J683&lt;403,ABS(IFERROR(VALUE(LEFT(M683,FIND("-",M683)-1)),M683))*100&lt;40300)),"Проверьте цену товара. Большинство товаров в выбранной категории стоят дороже 403","")))))),"")</f>
      </c>
    </row>
    <row r="684">
      <c r="A684" s="2" t="inlineStr">
        <is>
          <t/>
        </is>
      </c>
      <c r="B684" s="2" t="inlineStr">
        <is>
          <t>Блендеры</t>
        </is>
      </c>
      <c r="C684" s="2">
        <v>725226642</v>
      </c>
      <c r="D684" s="2" t="inlineStr">
        <is>
          <t>192542</t>
        </is>
      </c>
      <c r="E684" s="2" t="inlineStr">
        <is>
          <t>2048046287588</t>
        </is>
      </c>
      <c r="F684" s="2">
        <v>1</v>
      </c>
      <c r="G684" s="2">
        <v>0</v>
      </c>
      <c r="H684" s="2">
        <v>999</v>
      </c>
      <c r="I684" s="2" t="inlineStr">
        <is>
          <t>12401</t>
        </is>
      </c>
      <c r="J684" s="4"/>
      <c r="K684" s="2">
        <v>83</v>
      </c>
      <c r="L684" s="6"/>
      <c r="M684" s="2" t="str">
        <f>IF(J684="",ROUND(I684*(1-IF(ISBLANK(L684),K684,L684)/100),2),ROUND(J684*(1-IF(ISBLANK(L684),K684,L684)/100),2))</f>
      </c>
      <c r="N684" s="7" t="str">
        <f>IF(NOT(AND(J684="",L684="")),IF(OR(AND(L684&lt;&gt;"",NOT(ISNUMBER(L684))),IFERROR(MOD(L684,1),1)&gt;0,AND(ISNUMBER(L684),OR(L684&lt;0,L684&gt;95))),"Введите целое число от 0 до 95",IF(OR(AND(J684&lt;&gt;"",NOT(ISNUMBER(J684))),IFERROR(MOD(J684,1),1)&gt;0,AND(ISNUMBER(J684),OR(J684&lt;50,J684&gt;20000000))),"Введите целое число от 50 до 20000000",IF(NOT(ABS(IFERROR(VALUE(LEFT(M684,FIND("-",M684)-1)),M684)*100-(2500+2000000000)/2)&lt;=ABS(2500-2000000000)/2),"Цена со скидкой должна быть от 25 до 20000000",IF(AND(IFERROR(VALUE(LEFT(M684,FIND("-",M684)-1)),M684)*150&lt;=210817,IFERROR(VALUE(LEFT(M684,FIND("-",M684)-1)),M684)*200&gt;210817),"Вы уменьшили цену в несколько раз, товар попадет в карантин цен",IF(IFERROR(VALUE(LEFT(M684,FIND("-",M684)-1)),M684)*200&lt;=210817,"Не сохранили изменения, чтобы защитить от ошибки — новые цены меньше текущих более чем в 2 раза. Снижайте их постепенно",IF(AND(IFERROR(VALUE(I684),0)=0,ISNUMBER(J684),OR(J684&lt;361,ABS(IFERROR(VALUE(LEFT(M684,FIND("-",M684)-1)),M684))*100&lt;36100)),"Проверьте цену товара. Большинство товаров в выбранной категории стоят дороже 361","")))))),"")</f>
      </c>
    </row>
    <row r="685">
      <c r="A685" s="2" t="inlineStr">
        <is>
          <t/>
        </is>
      </c>
      <c r="B685" s="2" t="inlineStr">
        <is>
          <t>Утюги</t>
        </is>
      </c>
      <c r="C685" s="2">
        <v>725185639</v>
      </c>
      <c r="D685" s="2" t="inlineStr">
        <is>
          <t>192526</t>
        </is>
      </c>
      <c r="E685" s="2" t="inlineStr">
        <is>
          <t>2048045878138</t>
        </is>
      </c>
      <c r="F685" s="2">
        <v>0</v>
      </c>
      <c r="G685" s="2">
        <v>4</v>
      </c>
      <c r="H685" s="2" t="inlineStr">
        <is>
          <t/>
        </is>
      </c>
      <c r="I685" s="2" t="inlineStr">
        <is>
          <t>13248</t>
        </is>
      </c>
      <c r="J685" s="4"/>
      <c r="K685" s="2">
        <v>78</v>
      </c>
      <c r="L685" s="6"/>
      <c r="M685" s="2" t="str">
        <f>IF(J685="",ROUND(I685*(1-IF(ISBLANK(L685),K685,L685)/100),2),ROUND(J685*(1-IF(ISBLANK(L685),K685,L685)/100),2))</f>
      </c>
      <c r="N685" s="7" t="str">
        <f>IF(NOT(AND(J685="",L685="")),IF(OR(AND(L685&lt;&gt;"",NOT(ISNUMBER(L685))),IFERROR(MOD(L685,1),1)&gt;0,AND(ISNUMBER(L685),OR(L685&lt;0,L685&gt;95))),"Введите целое число от 0 до 95",IF(OR(AND(J685&lt;&gt;"",NOT(ISNUMBER(J685))),IFERROR(MOD(J685,1),1)&gt;0,AND(ISNUMBER(J685),OR(J685&lt;50,J685&gt;20000000))),"Введите целое число от 50 до 20000000",IF(NOT(ABS(IFERROR(VALUE(LEFT(M685,FIND("-",M685)-1)),M685)*100-(2500+2000000000)/2)&lt;=ABS(2500-2000000000)/2),"Цена со скидкой должна быть от 25 до 20000000",IF(AND(IFERROR(VALUE(LEFT(M685,FIND("-",M685)-1)),M685)*150&lt;=291455,IFERROR(VALUE(LEFT(M685,FIND("-",M685)-1)),M685)*200&gt;291455),"Вы уменьшили цену в несколько раз, товар попадет в карантин цен",IF(IFERROR(VALUE(LEFT(M685,FIND("-",M685)-1)),M685)*200&lt;=291455,"Не сохранили изменения, чтобы защитить от ошибки — новые цены меньше текущих более чем в 2 раза. Снижайте их постепенно",IF(AND(IFERROR(VALUE(I685),0)=0,ISNUMBER(J685),OR(J685&lt;403,ABS(IFERROR(VALUE(LEFT(M685,FIND("-",M685)-1)),M685))*100&lt;40300)),"Проверьте цену товара. Большинство товаров в выбранной категории стоят дороже 403","")))))),"")</f>
      </c>
    </row>
    <row r="686">
      <c r="A686" s="2" t="inlineStr">
        <is>
          <t/>
        </is>
      </c>
      <c r="B686" s="2" t="inlineStr">
        <is>
          <t>Блендеры</t>
        </is>
      </c>
      <c r="C686" s="2">
        <v>725226633</v>
      </c>
      <c r="D686" s="2" t="inlineStr">
        <is>
          <t>192541</t>
        </is>
      </c>
      <c r="E686" s="2" t="inlineStr">
        <is>
          <t>2048046287342</t>
        </is>
      </c>
      <c r="F686" s="2">
        <v>4</v>
      </c>
      <c r="G686" s="2">
        <v>14</v>
      </c>
      <c r="H686" s="2">
        <v>999</v>
      </c>
      <c r="I686" s="2" t="inlineStr">
        <is>
          <t>11061</t>
        </is>
      </c>
      <c r="J686" s="4"/>
      <c r="K686" s="2">
        <v>81</v>
      </c>
      <c r="L686" s="6"/>
      <c r="M686" s="2" t="str">
        <f>IF(J686="",ROUND(I686*(1-IF(ISBLANK(L686),K686,L686)/100),2),ROUND(J686*(1-IF(ISBLANK(L686),K686,L686)/100),2))</f>
      </c>
      <c r="N686" s="7" t="str">
        <f>IF(NOT(AND(J686="",L686="")),IF(OR(AND(L686&lt;&gt;"",NOT(ISNUMBER(L686))),IFERROR(MOD(L686,1),1)&gt;0,AND(ISNUMBER(L686),OR(L686&lt;0,L686&gt;95))),"Введите целое число от 0 до 95",IF(OR(AND(J686&lt;&gt;"",NOT(ISNUMBER(J686))),IFERROR(MOD(J686,1),1)&gt;0,AND(ISNUMBER(J686),OR(J686&lt;50,J686&gt;20000000))),"Введите целое число от 50 до 20000000",IF(NOT(ABS(IFERROR(VALUE(LEFT(M686,FIND("-",M686)-1)),M686)*100-(2500+2000000000)/2)&lt;=ABS(2500-2000000000)/2),"Цена со скидкой должна быть от 25 до 20000000",IF(AND(IFERROR(VALUE(LEFT(M686,FIND("-",M686)-1)),M686)*150&lt;=210158,IFERROR(VALUE(LEFT(M686,FIND("-",M686)-1)),M686)*200&gt;210158),"Вы уменьшили цену в несколько раз, товар попадет в карантин цен",IF(IFERROR(VALUE(LEFT(M686,FIND("-",M686)-1)),M686)*200&lt;=210158,"Не сохранили изменения, чтобы защитить от ошибки — новые цены меньше текущих более чем в 2 раза. Снижайте их постепенно",IF(AND(IFERROR(VALUE(I686),0)=0,ISNUMBER(J686),OR(J686&lt;361,ABS(IFERROR(VALUE(LEFT(M686,FIND("-",M686)-1)),M686))*100&lt;36100)),"Проверьте цену товара. Большинство товаров в выбранной категории стоят дороже 361","")))))),"")</f>
      </c>
    </row>
    <row r="687">
      <c r="A687" s="2" t="inlineStr">
        <is>
          <t/>
        </is>
      </c>
      <c r="B687" s="2" t="inlineStr">
        <is>
          <t>Блендеры</t>
        </is>
      </c>
      <c r="C687" s="2">
        <v>725226641</v>
      </c>
      <c r="D687" s="2" t="inlineStr">
        <is>
          <t>192691</t>
        </is>
      </c>
      <c r="E687" s="2" t="inlineStr">
        <is>
          <t>2048046287557</t>
        </is>
      </c>
      <c r="F687" s="2">
        <v>0</v>
      </c>
      <c r="G687" s="2">
        <v>2</v>
      </c>
      <c r="H687" s="2" t="inlineStr">
        <is>
          <t/>
        </is>
      </c>
      <c r="I687" s="2" t="inlineStr">
        <is>
          <t>12107</t>
        </is>
      </c>
      <c r="J687" s="4"/>
      <c r="K687" s="2">
        <v>80</v>
      </c>
      <c r="L687" s="6"/>
      <c r="M687" s="2" t="str">
        <f>IF(J687="",ROUND(I687*(1-IF(ISBLANK(L687),K687,L687)/100),2),ROUND(J687*(1-IF(ISBLANK(L687),K687,L687)/100),2))</f>
      </c>
      <c r="N687" s="7" t="str">
        <f>IF(NOT(AND(J687="",L687="")),IF(OR(AND(L687&lt;&gt;"",NOT(ISNUMBER(L687))),IFERROR(MOD(L687,1),1)&gt;0,AND(ISNUMBER(L687),OR(L687&lt;0,L687&gt;95))),"Введите целое число от 0 до 95",IF(OR(AND(J687&lt;&gt;"",NOT(ISNUMBER(J687))),IFERROR(MOD(J687,1),1)&gt;0,AND(ISNUMBER(J687),OR(J687&lt;50,J687&gt;20000000))),"Введите целое число от 50 до 20000000",IF(NOT(ABS(IFERROR(VALUE(LEFT(M687,FIND("-",M687)-1)),M687)*100-(2500+2000000000)/2)&lt;=ABS(2500-2000000000)/2),"Цена со скидкой должна быть от 25 до 20000000",IF(AND(IFERROR(VALUE(LEFT(M687,FIND("-",M687)-1)),M687)*150&lt;=242139,IFERROR(VALUE(LEFT(M687,FIND("-",M687)-1)),M687)*200&gt;242139),"Вы уменьшили цену в несколько раз, товар попадет в карантин цен",IF(IFERROR(VALUE(LEFT(M687,FIND("-",M687)-1)),M687)*200&lt;=242139,"Не сохранили изменения, чтобы защитить от ошибки — новые цены меньше текущих более чем в 2 раза. Снижайте их постепенно",IF(AND(IFERROR(VALUE(I687),0)=0,ISNUMBER(J687),OR(J687&lt;361,ABS(IFERROR(VALUE(LEFT(M687,FIND("-",M687)-1)),M687))*100&lt;36100)),"Проверьте цену товара. Большинство товаров в выбранной категории стоят дороже 361","")))))),"")</f>
      </c>
    </row>
    <row r="688">
      <c r="A688" s="2" t="inlineStr">
        <is>
          <t/>
        </is>
      </c>
      <c r="B688" s="2" t="inlineStr">
        <is>
          <t>Блендеры</t>
        </is>
      </c>
      <c r="C688" s="2">
        <v>725226638</v>
      </c>
      <c r="D688" s="2" t="inlineStr">
        <is>
          <t>192688</t>
        </is>
      </c>
      <c r="E688" s="2" t="inlineStr">
        <is>
          <t>2048046287441</t>
        </is>
      </c>
      <c r="F688" s="2">
        <v>4</v>
      </c>
      <c r="G688" s="2">
        <v>7</v>
      </c>
      <c r="H688" s="2">
        <v>999</v>
      </c>
      <c r="I688" s="2" t="inlineStr">
        <is>
          <t>10768</t>
        </is>
      </c>
      <c r="J688" s="4"/>
      <c r="K688" s="2">
        <v>81</v>
      </c>
      <c r="L688" s="6"/>
      <c r="M688" s="2" t="str">
        <f>IF(J688="",ROUND(I688*(1-IF(ISBLANK(L688),K688,L688)/100),2),ROUND(J688*(1-IF(ISBLANK(L688),K688,L688)/100),2))</f>
      </c>
      <c r="N688" s="7" t="str">
        <f>IF(NOT(AND(J688="",L688="")),IF(OR(AND(L688&lt;&gt;"",NOT(ISNUMBER(L688))),IFERROR(MOD(L688,1),1)&gt;0,AND(ISNUMBER(L688),OR(L688&lt;0,L688&gt;95))),"Введите целое число от 0 до 95",IF(OR(AND(J688&lt;&gt;"",NOT(ISNUMBER(J688))),IFERROR(MOD(J688,1),1)&gt;0,AND(ISNUMBER(J688),OR(J688&lt;50,J688&gt;20000000))),"Введите целое число от 50 до 20000000",IF(NOT(ABS(IFERROR(VALUE(LEFT(M688,FIND("-",M688)-1)),M688)*100-(2500+2000000000)/2)&lt;=ABS(2500-2000000000)/2),"Цена со скидкой должна быть от 25 до 20000000",IF(AND(IFERROR(VALUE(LEFT(M688,FIND("-",M688)-1)),M688)*150&lt;=204591,IFERROR(VALUE(LEFT(M688,FIND("-",M688)-1)),M688)*200&gt;204591),"Вы уменьшили цену в несколько раз, товар попадет в карантин цен",IF(IFERROR(VALUE(LEFT(M688,FIND("-",M688)-1)),M688)*200&lt;=204591,"Не сохранили изменения, чтобы защитить от ошибки — новые цены меньше текущих более чем в 2 раза. Снижайте их постепенно",IF(AND(IFERROR(VALUE(I688),0)=0,ISNUMBER(J688),OR(J688&lt;361,ABS(IFERROR(VALUE(LEFT(M688,FIND("-",M688)-1)),M688))*100&lt;36100)),"Проверьте цену товара. Большинство товаров в выбранной категории стоят дороже 361","")))))),"")</f>
      </c>
    </row>
    <row r="689">
      <c r="A689" s="2" t="inlineStr">
        <is>
          <t/>
        </is>
      </c>
      <c r="B689" s="2" t="inlineStr">
        <is>
          <t>Блендеры</t>
        </is>
      </c>
      <c r="C689" s="2">
        <v>725226637</v>
      </c>
      <c r="D689" s="2" t="inlineStr">
        <is>
          <t>192687</t>
        </is>
      </c>
      <c r="E689" s="2" t="inlineStr">
        <is>
          <t>2048046287434</t>
        </is>
      </c>
      <c r="F689" s="2">
        <v>4</v>
      </c>
      <c r="G689" s="2">
        <v>6</v>
      </c>
      <c r="H689" s="2">
        <v>999</v>
      </c>
      <c r="I689" s="2" t="inlineStr">
        <is>
          <t>10393</t>
        </is>
      </c>
      <c r="J689" s="4"/>
      <c r="K689" s="2">
        <v>81</v>
      </c>
      <c r="L689" s="6"/>
      <c r="M689" s="2" t="str">
        <f>IF(J689="",ROUND(I689*(1-IF(ISBLANK(L689),K689,L689)/100),2),ROUND(J689*(1-IF(ISBLANK(L689),K689,L689)/100),2))</f>
      </c>
      <c r="N689" s="7" t="str">
        <f>IF(NOT(AND(J689="",L689="")),IF(OR(AND(L689&lt;&gt;"",NOT(ISNUMBER(L689))),IFERROR(MOD(L689,1),1)&gt;0,AND(ISNUMBER(L689),OR(L689&lt;0,L689&gt;95))),"Введите целое число от 0 до 95",IF(OR(AND(J689&lt;&gt;"",NOT(ISNUMBER(J689))),IFERROR(MOD(J689,1),1)&gt;0,AND(ISNUMBER(J689),OR(J689&lt;50,J689&gt;20000000))),"Введите целое число от 50 до 20000000",IF(NOT(ABS(IFERROR(VALUE(LEFT(M689,FIND("-",M689)-1)),M689)*100-(2500+2000000000)/2)&lt;=ABS(2500-2000000000)/2),"Цена со скидкой должна быть от 25 до 20000000",IF(AND(IFERROR(VALUE(LEFT(M689,FIND("-",M689)-1)),M689)*150&lt;=197466,IFERROR(VALUE(LEFT(M689,FIND("-",M689)-1)),M689)*200&gt;197466),"Вы уменьшили цену в несколько раз, товар попадет в карантин цен",IF(IFERROR(VALUE(LEFT(M689,FIND("-",M689)-1)),M689)*200&lt;=197466,"Не сохранили изменения, чтобы защитить от ошибки — новые цены меньше текущих более чем в 2 раза. Снижайте их постепенно",IF(AND(IFERROR(VALUE(I689),0)=0,ISNUMBER(J689),OR(J689&lt;361,ABS(IFERROR(VALUE(LEFT(M689,FIND("-",M689)-1)),M689))*100&lt;36100)),"Проверьте цену товара. Большинство товаров в выбранной категории стоят дороже 361","")))))),"")</f>
      </c>
    </row>
    <row r="690">
      <c r="A690" s="2" t="inlineStr">
        <is>
          <t/>
        </is>
      </c>
      <c r="B690" s="2" t="inlineStr">
        <is>
          <t>Блендеры</t>
        </is>
      </c>
      <c r="C690" s="2">
        <v>725226639</v>
      </c>
      <c r="D690" s="2" t="inlineStr">
        <is>
          <t>192689</t>
        </is>
      </c>
      <c r="E690" s="2" t="inlineStr">
        <is>
          <t>2048046287458</t>
        </is>
      </c>
      <c r="F690" s="2">
        <v>4</v>
      </c>
      <c r="G690" s="2">
        <v>5</v>
      </c>
      <c r="H690" s="2">
        <v>999</v>
      </c>
      <c r="I690" s="2" t="inlineStr">
        <is>
          <t>9728</t>
        </is>
      </c>
      <c r="J690" s="4"/>
      <c r="K690" s="2">
        <v>81</v>
      </c>
      <c r="L690" s="6"/>
      <c r="M690" s="2" t="str">
        <f>IF(J690="",ROUND(I690*(1-IF(ISBLANK(L690),K690,L690)/100),2),ROUND(J690*(1-IF(ISBLANK(L690),K690,L690)/100),2))</f>
      </c>
      <c r="N690" s="7" t="str">
        <f>IF(NOT(AND(J690="",L690="")),IF(OR(AND(L690&lt;&gt;"",NOT(ISNUMBER(L690))),IFERROR(MOD(L690,1),1)&gt;0,AND(ISNUMBER(L690),OR(L690&lt;0,L690&gt;95))),"Введите целое число от 0 до 95",IF(OR(AND(J690&lt;&gt;"",NOT(ISNUMBER(J690))),IFERROR(MOD(J690,1),1)&gt;0,AND(ISNUMBER(J690),OR(J690&lt;50,J690&gt;20000000))),"Введите целое число от 50 до 20000000",IF(NOT(ABS(IFERROR(VALUE(LEFT(M690,FIND("-",M690)-1)),M690)*100-(2500+2000000000)/2)&lt;=ABS(2500-2000000000)/2),"Цена со скидкой должна быть от 25 до 20000000",IF(AND(IFERROR(VALUE(LEFT(M690,FIND("-",M690)-1)),M690)*150&lt;=184831,IFERROR(VALUE(LEFT(M690,FIND("-",M690)-1)),M690)*200&gt;184831),"Вы уменьшили цену в несколько раз, товар попадет в карантин цен",IF(IFERROR(VALUE(LEFT(M690,FIND("-",M690)-1)),M690)*200&lt;=184831,"Не сохранили изменения, чтобы защитить от ошибки — новые цены меньше текущих более чем в 2 раза. Снижайте их постепенно",IF(AND(IFERROR(VALUE(I690),0)=0,ISNUMBER(J690),OR(J690&lt;361,ABS(IFERROR(VALUE(LEFT(M690,FIND("-",M690)-1)),M690))*100&lt;36100)),"Проверьте цену товара. Большинство товаров в выбранной категории стоят дороже 361","")))))),"")</f>
      </c>
    </row>
    <row r="691">
      <c r="A691" s="2" t="inlineStr">
        <is>
          <t/>
        </is>
      </c>
      <c r="B691" s="2" t="inlineStr">
        <is>
          <t>Блендеры</t>
        </is>
      </c>
      <c r="C691" s="2">
        <v>725226635</v>
      </c>
      <c r="D691" s="2" t="inlineStr">
        <is>
          <t>192602</t>
        </is>
      </c>
      <c r="E691" s="2" t="inlineStr">
        <is>
          <t>2048046287380</t>
        </is>
      </c>
      <c r="F691" s="2">
        <v>0</v>
      </c>
      <c r="G691" s="2">
        <v>0</v>
      </c>
      <c r="H691" s="2" t="inlineStr">
        <is>
          <t/>
        </is>
      </c>
      <c r="I691" s="2" t="inlineStr">
        <is>
          <t>20797</t>
        </is>
      </c>
      <c r="J691" s="4"/>
      <c r="K691" s="2">
        <v>65</v>
      </c>
      <c r="L691" s="6"/>
      <c r="M691" s="2" t="str">
        <f>IF(J691="",ROUND(I691*(1-IF(ISBLANK(L691),K691,L691)/100),2),ROUND(J691*(1-IF(ISBLANK(L691),K691,L691)/100),2))</f>
      </c>
      <c r="N691" s="7" t="str">
        <f>IF(NOT(AND(J691="",L691="")),IF(OR(AND(L691&lt;&gt;"",NOT(ISNUMBER(L691))),IFERROR(MOD(L691,1),1)&gt;0,AND(ISNUMBER(L691),OR(L691&lt;0,L691&gt;95))),"Введите целое число от 0 до 95",IF(OR(AND(J691&lt;&gt;"",NOT(ISNUMBER(J691))),IFERROR(MOD(J691,1),1)&gt;0,AND(ISNUMBER(J691),OR(J691&lt;50,J691&gt;20000000))),"Введите целое число от 50 до 20000000",IF(NOT(ABS(IFERROR(VALUE(LEFT(M691,FIND("-",M691)-1)),M691)*100-(2500+2000000000)/2)&lt;=ABS(2500-2000000000)/2),"Цена со скидкой должна быть от 25 до 20000000",IF(AND(IFERROR(VALUE(LEFT(M691,FIND("-",M691)-1)),M691)*150&lt;=727895,IFERROR(VALUE(LEFT(M691,FIND("-",M691)-1)),M691)*200&gt;727895),"Вы уменьшили цену в несколько раз, товар попадет в карантин цен",IF(IFERROR(VALUE(LEFT(M691,FIND("-",M691)-1)),M691)*200&lt;=727895,"Не сохранили изменения, чтобы защитить от ошибки — новые цены меньше текущих более чем в 2 раза. Снижайте их постепенно",IF(AND(IFERROR(VALUE(I691),0)=0,ISNUMBER(J691),OR(J691&lt;361,ABS(IFERROR(VALUE(LEFT(M691,FIND("-",M691)-1)),M691))*100&lt;36100)),"Проверьте цену товара. Большинство товаров в выбранной категории стоят дороже 361","")))))),"")</f>
      </c>
    </row>
    <row r="692">
      <c r="A692" s="2" t="inlineStr">
        <is>
          <t/>
        </is>
      </c>
      <c r="B692" s="2" t="inlineStr">
        <is>
          <t>Микроволновые печи</t>
        </is>
      </c>
      <c r="C692" s="2">
        <v>725245831</v>
      </c>
      <c r="D692" s="2" t="inlineStr">
        <is>
          <t>192697</t>
        </is>
      </c>
      <c r="E692" s="2" t="inlineStr">
        <is>
          <t>2048046464620</t>
        </is>
      </c>
      <c r="F692" s="2">
        <v>0</v>
      </c>
      <c r="G692" s="2">
        <v>4</v>
      </c>
      <c r="H692" s="2" t="inlineStr">
        <is>
          <t/>
        </is>
      </c>
      <c r="I692" s="2" t="inlineStr">
        <is>
          <t>50615</t>
        </is>
      </c>
      <c r="J692" s="4"/>
      <c r="K692" s="2">
        <v>78</v>
      </c>
      <c r="L692" s="6"/>
      <c r="M692" s="2" t="str">
        <f>IF(J692="",ROUND(I692*(1-IF(ISBLANK(L692),K692,L692)/100),2),ROUND(J692*(1-IF(ISBLANK(L692),K692,L692)/100),2))</f>
      </c>
      <c r="N692" s="7" t="str">
        <f>IF(NOT(AND(J692="",L692="")),IF(OR(AND(L692&lt;&gt;"",NOT(ISNUMBER(L692))),IFERROR(MOD(L692,1),1)&gt;0,AND(ISNUMBER(L692),OR(L692&lt;0,L692&gt;95))),"Введите целое число от 0 до 95",IF(OR(AND(J692&lt;&gt;"",NOT(ISNUMBER(J692))),IFERROR(MOD(J692,1),1)&gt;0,AND(ISNUMBER(J692),OR(J692&lt;50,J692&gt;20000000))),"Введите целое число от 50 до 20000000",IF(NOT(ABS(IFERROR(VALUE(LEFT(M692,FIND("-",M692)-1)),M692)*100-(2500+2000000000)/2)&lt;=ABS(2500-2000000000)/2),"Цена со скидкой должна быть от 25 до 20000000",IF(AND(IFERROR(VALUE(LEFT(M692,FIND("-",M692)-1)),M692)*150&lt;=1113530,IFERROR(VALUE(LEFT(M692,FIND("-",M692)-1)),M692)*200&gt;1113530),"Вы уменьшили цену в несколько раз, товар попадет в карантин цен",IF(IFERROR(VALUE(LEFT(M692,FIND("-",M692)-1)),M692)*200&lt;=1113530,"Не сохранили изменения, чтобы защитить от ошибки — новые цены меньше текущих более чем в 2 раза. Снижайте их постепенно",IF(AND(IFERROR(VALUE(I692),0)=0,ISNUMBER(J692),OR(J692&lt;233,ABS(IFERROR(VALUE(LEFT(M692,FIND("-",M692)-1)),M692))*100&lt;23300)),"Проверьте цену товара. Большинство товаров в выбранной категории стоят дороже 233","")))))),"")</f>
      </c>
    </row>
    <row r="693">
      <c r="A693" s="2" t="inlineStr">
        <is>
          <t/>
        </is>
      </c>
      <c r="B693" s="2" t="inlineStr">
        <is>
          <t>Блендеры</t>
        </is>
      </c>
      <c r="C693" s="2">
        <v>725226640</v>
      </c>
      <c r="D693" s="2" t="inlineStr">
        <is>
          <t>191173</t>
        </is>
      </c>
      <c r="E693" s="2" t="inlineStr">
        <is>
          <t>2048046287496</t>
        </is>
      </c>
      <c r="F693" s="2" t="inlineStr">
        <is>
          <t/>
        </is>
      </c>
      <c r="G693" s="2" t="inlineStr">
        <is>
          <t/>
        </is>
      </c>
      <c r="H693" s="2" t="inlineStr">
        <is>
          <t/>
        </is>
      </c>
      <c r="I693" s="2" t="inlineStr">
        <is>
          <t>28921</t>
        </is>
      </c>
      <c r="J693" s="4"/>
      <c r="K693" s="2">
        <v>65</v>
      </c>
      <c r="L693" s="6"/>
      <c r="M693" s="2" t="str">
        <f>IF(J693="",ROUND(I693*(1-IF(ISBLANK(L693),K693,L693)/100),2),ROUND(J693*(1-IF(ISBLANK(L693),K693,L693)/100),2))</f>
      </c>
      <c r="N693" s="7" t="str">
        <f>IF(NOT(AND(J693="",L693="")),IF(OR(AND(L693&lt;&gt;"",NOT(ISNUMBER(L693))),IFERROR(MOD(L693,1),1)&gt;0,AND(ISNUMBER(L693),OR(L693&lt;0,L693&gt;95))),"Введите целое число от 0 до 95",IF(OR(AND(J693&lt;&gt;"",NOT(ISNUMBER(J693))),IFERROR(MOD(J693,1),1)&gt;0,AND(ISNUMBER(J693),OR(J693&lt;50,J693&gt;20000000))),"Введите целое число от 50 до 20000000",IF(NOT(ABS(IFERROR(VALUE(LEFT(M693,FIND("-",M693)-1)),M693)*100-(2500+2000000000)/2)&lt;=ABS(2500-2000000000)/2),"Цена со скидкой должна быть от 25 до 20000000",IF(AND(IFERROR(VALUE(LEFT(M693,FIND("-",M693)-1)),M693)*150&lt;=1012234,IFERROR(VALUE(LEFT(M693,FIND("-",M693)-1)),M693)*200&gt;1012234),"Вы уменьшили цену в несколько раз, товар попадет в карантин цен",IF(IFERROR(VALUE(LEFT(M693,FIND("-",M693)-1)),M693)*200&lt;=1012234,"Не сохранили изменения, чтобы защитить от ошибки — новые цены меньше текущих более чем в 2 раза. Снижайте их постепенно",IF(AND(IFERROR(VALUE(I693),0)=0,ISNUMBER(J693),OR(J693&lt;361,ABS(IFERROR(VALUE(LEFT(M693,FIND("-",M693)-1)),M693))*100&lt;36100)),"Проверьте цену товара. Большинство товаров в выбранной категории стоят дороже 361","")))))),"")</f>
      </c>
    </row>
    <row r="694">
      <c r="A694" s="2" t="inlineStr">
        <is>
          <t/>
        </is>
      </c>
      <c r="B694" s="2" t="inlineStr">
        <is>
          <t>Микроволновые печи</t>
        </is>
      </c>
      <c r="C694" s="2">
        <v>725245828</v>
      </c>
      <c r="D694" s="2" t="inlineStr">
        <is>
          <t>192026</t>
        </is>
      </c>
      <c r="E694" s="2" t="inlineStr">
        <is>
          <t>2048046464590</t>
        </is>
      </c>
      <c r="F694" s="2">
        <v>0</v>
      </c>
      <c r="G694" s="2">
        <v>1</v>
      </c>
      <c r="H694" s="2" t="inlineStr">
        <is>
          <t/>
        </is>
      </c>
      <c r="I694" s="2" t="inlineStr">
        <is>
          <t>50832</t>
        </is>
      </c>
      <c r="J694" s="4"/>
      <c r="K694" s="2">
        <v>78</v>
      </c>
      <c r="L694" s="6"/>
      <c r="M694" s="2" t="str">
        <f>IF(J694="",ROUND(I694*(1-IF(ISBLANK(L694),K694,L694)/100),2),ROUND(J694*(1-IF(ISBLANK(L694),K694,L694)/100),2))</f>
      </c>
      <c r="N694" s="7" t="str">
        <f>IF(NOT(AND(J694="",L694="")),IF(OR(AND(L694&lt;&gt;"",NOT(ISNUMBER(L694))),IFERROR(MOD(L694,1),1)&gt;0,AND(ISNUMBER(L694),OR(L694&lt;0,L694&gt;95))),"Введите целое число от 0 до 95",IF(OR(AND(J694&lt;&gt;"",NOT(ISNUMBER(J694))),IFERROR(MOD(J694,1),1)&gt;0,AND(ISNUMBER(J694),OR(J694&lt;50,J694&gt;20000000))),"Введите целое число от 50 до 20000000",IF(NOT(ABS(IFERROR(VALUE(LEFT(M694,FIND("-",M694)-1)),M694)*100-(2500+2000000000)/2)&lt;=ABS(2500-2000000000)/2),"Цена со скидкой должна быть от 25 до 20000000",IF(AND(IFERROR(VALUE(LEFT(M694,FIND("-",M694)-1)),M694)*150&lt;=1118304,IFERROR(VALUE(LEFT(M694,FIND("-",M694)-1)),M694)*200&gt;1118304),"Вы уменьшили цену в несколько раз, товар попадет в карантин цен",IF(IFERROR(VALUE(LEFT(M694,FIND("-",M694)-1)),M694)*200&lt;=1118304,"Не сохранили изменения, чтобы защитить от ошибки — новые цены меньше текущих более чем в 2 раза. Снижайте их постепенно",IF(AND(IFERROR(VALUE(I694),0)=0,ISNUMBER(J694),OR(J694&lt;233,ABS(IFERROR(VALUE(LEFT(M694,FIND("-",M694)-1)),M694))*100&lt;23300)),"Проверьте цену товара. Большинство товаров в выбранной категории стоят дороже 233","")))))),"")</f>
      </c>
    </row>
    <row r="695">
      <c r="A695" s="2" t="inlineStr">
        <is>
          <t/>
        </is>
      </c>
      <c r="B695" s="2" t="inlineStr">
        <is>
          <t>Духовые шкафы</t>
        </is>
      </c>
      <c r="C695" s="2">
        <v>725235140</v>
      </c>
      <c r="D695" s="2" t="inlineStr">
        <is>
          <t>192033</t>
        </is>
      </c>
      <c r="E695" s="2" t="inlineStr">
        <is>
          <t>2048046362902</t>
        </is>
      </c>
      <c r="F695" s="2" t="inlineStr">
        <is>
          <t/>
        </is>
      </c>
      <c r="G695" s="2" t="inlineStr">
        <is>
          <t/>
        </is>
      </c>
      <c r="H695" s="2" t="inlineStr">
        <is>
          <t/>
        </is>
      </c>
      <c r="I695" s="2" t="inlineStr">
        <is>
          <t>39145</t>
        </is>
      </c>
      <c r="J695" s="4"/>
      <c r="K695" s="2">
        <v>65</v>
      </c>
      <c r="L695" s="6"/>
      <c r="M695" s="2" t="str">
        <f>IF(J695="",ROUND(I695*(1-IF(ISBLANK(L695),K695,L695)/100),2),ROUND(J695*(1-IF(ISBLANK(L695),K695,L695)/100),2))</f>
      </c>
      <c r="N695" s="7" t="str">
        <f>IF(NOT(AND(J695="",L695="")),IF(OR(AND(L695&lt;&gt;"",NOT(ISNUMBER(L695))),IFERROR(MOD(L695,1),1)&gt;0,AND(ISNUMBER(L695),OR(L695&lt;0,L695&gt;95))),"Введите целое число от 0 до 95",IF(OR(AND(J695&lt;&gt;"",NOT(ISNUMBER(J695))),IFERROR(MOD(J695,1),1)&gt;0,AND(ISNUMBER(J695),OR(J695&lt;50,J695&gt;20000000))),"Введите целое число от 50 до 20000000",IF(NOT(ABS(IFERROR(VALUE(LEFT(M695,FIND("-",M695)-1)),M695)*100-(2500+2000000000)/2)&lt;=ABS(2500-2000000000)/2),"Цена со скидкой должна быть от 25 до 20000000",IF(AND(IFERROR(VALUE(LEFT(M695,FIND("-",M695)-1)),M695)*150&lt;=1370075,IFERROR(VALUE(LEFT(M695,FIND("-",M695)-1)),M695)*200&gt;1370075),"Вы уменьшили цену в несколько раз, товар попадет в карантин цен",IF(IFERROR(VALUE(LEFT(M695,FIND("-",M695)-1)),M695)*200&lt;=1370075,"Не сохранили изменения, чтобы защитить от ошибки — новые цены меньше текущих более чем в 2 раза. Снижайте их постепенно",IF(AND(IFERROR(VALUE(I695),0)=0,ISNUMBER(J695),OR(J695&lt;16886,ABS(IFERROR(VALUE(LEFT(M695,FIND("-",M695)-1)),M695))*100&lt;1688600)),"Проверьте цену товара. Большинство товаров в выбранной категории стоят дороже 16886","")))))),"")</f>
      </c>
    </row>
    <row r="696">
      <c r="A696" s="2" t="inlineStr">
        <is>
          <t/>
        </is>
      </c>
      <c r="B696" s="2" t="inlineStr">
        <is>
          <t>Микроволновые печи</t>
        </is>
      </c>
      <c r="C696" s="2">
        <v>725245830</v>
      </c>
      <c r="D696" s="2" t="inlineStr">
        <is>
          <t>191904</t>
        </is>
      </c>
      <c r="E696" s="2" t="inlineStr">
        <is>
          <t>2048046464613</t>
        </is>
      </c>
      <c r="F696" s="2">
        <v>0</v>
      </c>
      <c r="G696" s="2">
        <v>1</v>
      </c>
      <c r="H696" s="2" t="inlineStr">
        <is>
          <t/>
        </is>
      </c>
      <c r="I696" s="2" t="inlineStr">
        <is>
          <t>55792</t>
        </is>
      </c>
      <c r="J696" s="4"/>
      <c r="K696" s="2">
        <v>78</v>
      </c>
      <c r="L696" s="6"/>
      <c r="M696" s="2" t="str">
        <f>IF(J696="",ROUND(I696*(1-IF(ISBLANK(L696),K696,L696)/100),2),ROUND(J696*(1-IF(ISBLANK(L696),K696,L696)/100),2))</f>
      </c>
      <c r="N696" s="7" t="str">
        <f>IF(NOT(AND(J696="",L696="")),IF(OR(AND(L696&lt;&gt;"",NOT(ISNUMBER(L696))),IFERROR(MOD(L696,1),1)&gt;0,AND(ISNUMBER(L696),OR(L696&lt;0,L696&gt;95))),"Введите целое число от 0 до 95",IF(OR(AND(J696&lt;&gt;"",NOT(ISNUMBER(J696))),IFERROR(MOD(J696,1),1)&gt;0,AND(ISNUMBER(J696),OR(J696&lt;50,J696&gt;20000000))),"Введите целое число от 50 до 20000000",IF(NOT(ABS(IFERROR(VALUE(LEFT(M696,FIND("-",M696)-1)),M696)*100-(2500+2000000000)/2)&lt;=ABS(2500-2000000000)/2),"Цена со скидкой должна быть от 25 до 20000000",IF(AND(IFERROR(VALUE(LEFT(M696,FIND("-",M696)-1)),M696)*150&lt;=1227423,IFERROR(VALUE(LEFT(M696,FIND("-",M696)-1)),M696)*200&gt;1227423),"Вы уменьшили цену в несколько раз, товар попадет в карантин цен",IF(IFERROR(VALUE(LEFT(M696,FIND("-",M696)-1)),M696)*200&lt;=1227423,"Не сохранили изменения, чтобы защитить от ошибки — новые цены меньше текущих более чем в 2 раза. Снижайте их постепенно",IF(AND(IFERROR(VALUE(I696),0)=0,ISNUMBER(J696),OR(J696&lt;233,ABS(IFERROR(VALUE(LEFT(M696,FIND("-",M696)-1)),M696))*100&lt;23300)),"Проверьте цену товара. Большинство товаров в выбранной категории стоят дороже 233","")))))),"")</f>
      </c>
    </row>
    <row r="697">
      <c r="A697" s="2" t="inlineStr">
        <is>
          <t/>
        </is>
      </c>
      <c r="B697" s="2" t="inlineStr">
        <is>
          <t>Блендеры</t>
        </is>
      </c>
      <c r="C697" s="2">
        <v>725226632</v>
      </c>
      <c r="D697" s="2" t="inlineStr">
        <is>
          <t>192550</t>
        </is>
      </c>
      <c r="E697" s="2" t="inlineStr">
        <is>
          <t>2048046287328</t>
        </is>
      </c>
      <c r="F697" s="2">
        <v>1</v>
      </c>
      <c r="G697" s="2">
        <v>7</v>
      </c>
      <c r="H697" s="2">
        <v>999</v>
      </c>
      <c r="I697" s="2" t="inlineStr">
        <is>
          <t>9905</t>
        </is>
      </c>
      <c r="J697" s="4"/>
      <c r="K697" s="2">
        <v>82</v>
      </c>
      <c r="L697" s="6"/>
      <c r="M697" s="2" t="str">
        <f>IF(J697="",ROUND(I697*(1-IF(ISBLANK(L697),K697,L697)/100),2),ROUND(J697*(1-IF(ISBLANK(L697),K697,L697)/100),2))</f>
      </c>
      <c r="N697" s="7" t="str">
        <f>IF(NOT(AND(J697="",L697="")),IF(OR(AND(L697&lt;&gt;"",NOT(ISNUMBER(L697))),IFERROR(MOD(L697,1),1)&gt;0,AND(ISNUMBER(L697),OR(L697&lt;0,L697&gt;95))),"Введите целое число от 0 до 95",IF(OR(AND(J697&lt;&gt;"",NOT(ISNUMBER(J697))),IFERROR(MOD(J697,1),1)&gt;0,AND(ISNUMBER(J697),OR(J697&lt;50,J697&gt;20000000))),"Введите целое число от 50 до 20000000",IF(NOT(ABS(IFERROR(VALUE(LEFT(M697,FIND("-",M697)-1)),M697)*100-(2500+2000000000)/2)&lt;=ABS(2500-2000000000)/2),"Цена со скидкой должна быть от 25 до 20000000",IF(AND(IFERROR(VALUE(LEFT(M697,FIND("-",M697)-1)),M697)*150&lt;=178290,IFERROR(VALUE(LEFT(M697,FIND("-",M697)-1)),M697)*200&gt;178290),"Вы уменьшили цену в несколько раз, товар попадет в карантин цен",IF(IFERROR(VALUE(LEFT(M697,FIND("-",M697)-1)),M697)*200&lt;=178290,"Не сохранили изменения, чтобы защитить от ошибки — новые цены меньше текущих более чем в 2 раза. Снижайте их постепенно",IF(AND(IFERROR(VALUE(I697),0)=0,ISNUMBER(J697),OR(J697&lt;361,ABS(IFERROR(VALUE(LEFT(M697,FIND("-",M697)-1)),M697))*100&lt;36100)),"Проверьте цену товара. Большинство товаров в выбранной категории стоят дороже 361","")))))),"")</f>
      </c>
    </row>
    <row r="698">
      <c r="A698" s="2" t="inlineStr">
        <is>
          <t/>
        </is>
      </c>
      <c r="B698" s="2" t="inlineStr">
        <is>
          <t>Мультиварки</t>
        </is>
      </c>
      <c r="C698" s="2">
        <v>725263314</v>
      </c>
      <c r="D698" s="2" t="inlineStr">
        <is>
          <t>190865</t>
        </is>
      </c>
      <c r="E698" s="2" t="inlineStr">
        <is>
          <t>2048046614957</t>
        </is>
      </c>
      <c r="F698" s="2">
        <v>0</v>
      </c>
      <c r="G698" s="2">
        <v>0</v>
      </c>
      <c r="H698" s="2" t="inlineStr">
        <is>
          <t/>
        </is>
      </c>
      <c r="I698" s="2" t="inlineStr">
        <is>
          <t>32032</t>
        </is>
      </c>
      <c r="J698" s="4"/>
      <c r="K698" s="2">
        <v>65</v>
      </c>
      <c r="L698" s="6"/>
      <c r="M698" s="2" t="str">
        <f>IF(J698="",ROUND(I698*(1-IF(ISBLANK(L698),K698,L698)/100),2),ROUND(J698*(1-IF(ISBLANK(L698),K698,L698)/100),2))</f>
      </c>
      <c r="N698" s="7" t="str">
        <f>IF(NOT(AND(J698="",L698="")),IF(OR(AND(L698&lt;&gt;"",NOT(ISNUMBER(L698))),IFERROR(MOD(L698,1),1)&gt;0,AND(ISNUMBER(L698),OR(L698&lt;0,L698&gt;95))),"Введите целое число от 0 до 95",IF(OR(AND(J698&lt;&gt;"",NOT(ISNUMBER(J698))),IFERROR(MOD(J698,1),1)&gt;0,AND(ISNUMBER(J698),OR(J698&lt;50,J698&gt;20000000))),"Введите целое число от 50 до 20000000",IF(NOT(ABS(IFERROR(VALUE(LEFT(M698,FIND("-",M698)-1)),M698)*100-(2500+2000000000)/2)&lt;=ABS(2500-2000000000)/2),"Цена со скидкой должна быть от 25 до 20000000",IF(AND(IFERROR(VALUE(LEFT(M698,FIND("-",M698)-1)),M698)*150&lt;=1121120,IFERROR(VALUE(LEFT(M698,FIND("-",M698)-1)),M698)*200&gt;1121120),"Вы уменьшили цену в несколько раз, товар попадет в карантин цен",IF(IFERROR(VALUE(LEFT(M698,FIND("-",M698)-1)),M698)*200&lt;=1121120,"Не сохранили изменения, чтобы защитить от ошибки — новые цены меньше текущих более чем в 2 раза. Снижайте их постепенно",IF(AND(IFERROR(VALUE(I698),0)=0,ISNUMBER(J698),OR(J698&lt;482,ABS(IFERROR(VALUE(LEFT(M698,FIND("-",M698)-1)),M698))*100&lt;48200)),"Проверьте цену товара. Большинство товаров в выбранной категории стоят дороже 482","")))))),"")</f>
      </c>
    </row>
    <row r="699">
      <c r="A699" s="2" t="inlineStr">
        <is>
          <t/>
        </is>
      </c>
      <c r="B699" s="2" t="inlineStr">
        <is>
          <t>Духовые шкафы</t>
        </is>
      </c>
      <c r="C699" s="2">
        <v>725235141</v>
      </c>
      <c r="D699" s="2" t="inlineStr">
        <is>
          <t>192524</t>
        </is>
      </c>
      <c r="E699" s="2" t="inlineStr">
        <is>
          <t>2048046362926</t>
        </is>
      </c>
      <c r="F699" s="2" t="inlineStr">
        <is>
          <t/>
        </is>
      </c>
      <c r="G699" s="2" t="inlineStr">
        <is>
          <t/>
        </is>
      </c>
      <c r="H699" s="2" t="inlineStr">
        <is>
          <t/>
        </is>
      </c>
      <c r="I699" s="2" t="inlineStr">
        <is>
          <t>55448</t>
        </is>
      </c>
      <c r="J699" s="4"/>
      <c r="K699" s="2">
        <v>65</v>
      </c>
      <c r="L699" s="6"/>
      <c r="M699" s="2" t="str">
        <f>IF(J699="",ROUND(I699*(1-IF(ISBLANK(L699),K699,L699)/100),2),ROUND(J699*(1-IF(ISBLANK(L699),K699,L699)/100),2))</f>
      </c>
      <c r="N699" s="7" t="str">
        <f>IF(NOT(AND(J699="",L699="")),IF(OR(AND(L699&lt;&gt;"",NOT(ISNUMBER(L699))),IFERROR(MOD(L699,1),1)&gt;0,AND(ISNUMBER(L699),OR(L699&lt;0,L699&gt;95))),"Введите целое число от 0 до 95",IF(OR(AND(J699&lt;&gt;"",NOT(ISNUMBER(J699))),IFERROR(MOD(J699,1),1)&gt;0,AND(ISNUMBER(J699),OR(J699&lt;50,J699&gt;20000000))),"Введите целое число от 50 до 20000000",IF(NOT(ABS(IFERROR(VALUE(LEFT(M699,FIND("-",M699)-1)),M699)*100-(2500+2000000000)/2)&lt;=ABS(2500-2000000000)/2),"Цена со скидкой должна быть от 25 до 20000000",IF(AND(IFERROR(VALUE(LEFT(M699,FIND("-",M699)-1)),M699)*150&lt;=1940680,IFERROR(VALUE(LEFT(M699,FIND("-",M699)-1)),M699)*200&gt;1940680),"Вы уменьшили цену в несколько раз, товар попадет в карантин цен",IF(IFERROR(VALUE(LEFT(M699,FIND("-",M699)-1)),M699)*200&lt;=1940680,"Не сохранили изменения, чтобы защитить от ошибки — новые цены меньше текущих более чем в 2 раза. Снижайте их постепенно",IF(AND(IFERROR(VALUE(I699),0)=0,ISNUMBER(J699),OR(J699&lt;16886,ABS(IFERROR(VALUE(LEFT(M699,FIND("-",M699)-1)),M699))*100&lt;1688600)),"Проверьте цену товара. Большинство товаров в выбранной категории стоят дороже 16886","")))))),"")</f>
      </c>
    </row>
    <row r="700">
      <c r="A700" s="2" t="inlineStr">
        <is>
          <t/>
        </is>
      </c>
      <c r="B700" s="2" t="inlineStr">
        <is>
          <t>Формы для запекания</t>
        </is>
      </c>
      <c r="C700" s="2">
        <v>618382638</v>
      </c>
      <c r="D700" s="2" t="inlineStr">
        <is>
          <t>12767</t>
        </is>
      </c>
      <c r="E700" s="2" t="inlineStr">
        <is>
          <t>2047308549488</t>
        </is>
      </c>
      <c r="F700" s="2">
        <v>0</v>
      </c>
      <c r="G700" s="2">
        <v>3</v>
      </c>
      <c r="H700" s="2" t="inlineStr">
        <is>
          <t/>
        </is>
      </c>
      <c r="I700" s="2" t="inlineStr">
        <is>
          <t>11607</t>
        </is>
      </c>
      <c r="J700" s="4"/>
      <c r="K700" s="2">
        <v>78</v>
      </c>
      <c r="L700" s="6"/>
      <c r="M700" s="2" t="str">
        <f>IF(J700="",ROUND(I700*(1-IF(ISBLANK(L700),K700,L700)/100),2),ROUND(J700*(1-IF(ISBLANK(L700),K700,L700)/100),2))</f>
      </c>
      <c r="N700" s="7" t="str">
        <f>IF(NOT(AND(J700="",L700="")),IF(OR(AND(L700&lt;&gt;"",NOT(ISNUMBER(L700))),IFERROR(MOD(L700,1),1)&gt;0,AND(ISNUMBER(L700),OR(L700&lt;0,L700&gt;95))),"Введите целое число от 0 до 95",IF(OR(AND(J700&lt;&gt;"",NOT(ISNUMBER(J700))),IFERROR(MOD(J700,1),1)&gt;0,AND(ISNUMBER(J700),OR(J700&lt;50,J700&gt;20000000))),"Введите целое число от 50 до 20000000",IF(NOT(ABS(IFERROR(VALUE(LEFT(M700,FIND("-",M700)-1)),M700)*100-(2500+2000000000)/2)&lt;=ABS(2500-2000000000)/2),"Цена со скидкой должна быть от 25 до 20000000",IF(AND(IFERROR(VALUE(LEFT(M700,FIND("-",M700)-1)),M700)*150&lt;=255353,IFERROR(VALUE(LEFT(M700,FIND("-",M700)-1)),M700)*200&gt;255353),"Вы уменьшили цену в несколько раз, товар попадет в карантин цен",IF(IFERROR(VALUE(LEFT(M700,FIND("-",M700)-1)),M700)*200&lt;=255353,"Не сохранили изменения, чтобы защитить от ошибки — новые цены меньше текущих более чем в 2 раза. Снижайте их постепенно",IF(AND(IFERROR(VALUE(I700),0)=0,ISNUMBER(J700),OR(J700&lt;290,ABS(IFERROR(VALUE(LEFT(M700,FIND("-",M700)-1)),M700))*100&lt;29000)),"Проверьте цену товара. Большинство товаров в выбранной категории стоят дороже 290","")))))),"")</f>
      </c>
    </row>
    <row r="701">
      <c r="A701" s="2" t="inlineStr">
        <is>
          <t/>
        </is>
      </c>
      <c r="B701" s="2" t="inlineStr">
        <is>
          <t>Формы для запекания</t>
        </is>
      </c>
      <c r="C701" s="2">
        <v>618382637</v>
      </c>
      <c r="D701" s="2" t="inlineStr">
        <is>
          <t>12048</t>
        </is>
      </c>
      <c r="E701" s="2" t="inlineStr">
        <is>
          <t>2047308549471</t>
        </is>
      </c>
      <c r="F701" s="2">
        <v>0</v>
      </c>
      <c r="G701" s="2">
        <v>7</v>
      </c>
      <c r="H701" s="2" t="inlineStr">
        <is>
          <t/>
        </is>
      </c>
      <c r="I701" s="2" t="inlineStr">
        <is>
          <t>10916</t>
        </is>
      </c>
      <c r="J701" s="4"/>
      <c r="K701" s="2">
        <v>78</v>
      </c>
      <c r="L701" s="6"/>
      <c r="M701" s="2" t="str">
        <f>IF(J701="",ROUND(I701*(1-IF(ISBLANK(L701),K701,L701)/100),2),ROUND(J701*(1-IF(ISBLANK(L701),K701,L701)/100),2))</f>
      </c>
      <c r="N701" s="7" t="str">
        <f>IF(NOT(AND(J701="",L701="")),IF(OR(AND(L701&lt;&gt;"",NOT(ISNUMBER(L701))),IFERROR(MOD(L701,1),1)&gt;0,AND(ISNUMBER(L701),OR(L701&lt;0,L701&gt;95))),"Введите целое число от 0 до 95",IF(OR(AND(J701&lt;&gt;"",NOT(ISNUMBER(J701))),IFERROR(MOD(J701,1),1)&gt;0,AND(ISNUMBER(J701),OR(J701&lt;50,J701&gt;20000000))),"Введите целое число от 50 до 20000000",IF(NOT(ABS(IFERROR(VALUE(LEFT(M701,FIND("-",M701)-1)),M701)*100-(2500+2000000000)/2)&lt;=ABS(2500-2000000000)/2),"Цена со скидкой должна быть от 25 до 20000000",IF(AND(IFERROR(VALUE(LEFT(M701,FIND("-",M701)-1)),M701)*150&lt;=240151,IFERROR(VALUE(LEFT(M701,FIND("-",M701)-1)),M701)*200&gt;240151),"Вы уменьшили цену в несколько раз, товар попадет в карантин цен",IF(IFERROR(VALUE(LEFT(M701,FIND("-",M701)-1)),M701)*200&lt;=240151,"Не сохранили изменения, чтобы защитить от ошибки — новые цены меньше текущих более чем в 2 раза. Снижайте их постепенно",IF(AND(IFERROR(VALUE(I701),0)=0,ISNUMBER(J701),OR(J701&lt;290,ABS(IFERROR(VALUE(LEFT(M701,FIND("-",M701)-1)),M701))*100&lt;29000)),"Проверьте цену товара. Большинство товаров в выбранной категории стоят дороже 290","")))))),"")</f>
      </c>
    </row>
    <row r="702">
      <c r="A702" s="2" t="inlineStr">
        <is>
          <t/>
        </is>
      </c>
      <c r="B702" s="2" t="inlineStr">
        <is>
          <t>Формы для запекания</t>
        </is>
      </c>
      <c r="C702" s="2">
        <v>618382635</v>
      </c>
      <c r="D702" s="2" t="inlineStr">
        <is>
          <t>12047</t>
        </is>
      </c>
      <c r="E702" s="2" t="inlineStr">
        <is>
          <t>2047308549457</t>
        </is>
      </c>
      <c r="F702" s="2">
        <v>0</v>
      </c>
      <c r="G702" s="2">
        <v>6</v>
      </c>
      <c r="H702" s="2" t="inlineStr">
        <is>
          <t/>
        </is>
      </c>
      <c r="I702" s="2" t="inlineStr">
        <is>
          <t>10424</t>
        </is>
      </c>
      <c r="J702" s="4"/>
      <c r="K702" s="2">
        <v>78</v>
      </c>
      <c r="L702" s="6"/>
      <c r="M702" s="2" t="str">
        <f>IF(J702="",ROUND(I702*(1-IF(ISBLANK(L702),K702,L702)/100),2),ROUND(J702*(1-IF(ISBLANK(L702),K702,L702)/100),2))</f>
      </c>
      <c r="N702" s="7" t="str">
        <f>IF(NOT(AND(J702="",L702="")),IF(OR(AND(L702&lt;&gt;"",NOT(ISNUMBER(L702))),IFERROR(MOD(L702,1),1)&gt;0,AND(ISNUMBER(L702),OR(L702&lt;0,L702&gt;95))),"Введите целое число от 0 до 95",IF(OR(AND(J702&lt;&gt;"",NOT(ISNUMBER(J702))),IFERROR(MOD(J702,1),1)&gt;0,AND(ISNUMBER(J702),OR(J702&lt;50,J702&gt;20000000))),"Введите целое число от 50 до 20000000",IF(NOT(ABS(IFERROR(VALUE(LEFT(M702,FIND("-",M702)-1)),M702)*100-(2500+2000000000)/2)&lt;=ABS(2500-2000000000)/2),"Цена со скидкой должна быть от 25 до 20000000",IF(AND(IFERROR(VALUE(LEFT(M702,FIND("-",M702)-1)),M702)*150&lt;=229327,IFERROR(VALUE(LEFT(M702,FIND("-",M702)-1)),M702)*200&gt;229327),"Вы уменьшили цену в несколько раз, товар попадет в карантин цен",IF(IFERROR(VALUE(LEFT(M702,FIND("-",M702)-1)),M702)*200&lt;=229327,"Не сохранили изменения, чтобы защитить от ошибки — новые цены меньше текущих более чем в 2 раза. Снижайте их постепенно",IF(AND(IFERROR(VALUE(I702),0)=0,ISNUMBER(J702),OR(J702&lt;290,ABS(IFERROR(VALUE(LEFT(M702,FIND("-",M702)-1)),M702))*100&lt;29000)),"Проверьте цену товара. Большинство товаров в выбранной категории стоят дороже 290","")))))),"")</f>
      </c>
    </row>
    <row r="703">
      <c r="A703" s="2" t="inlineStr">
        <is>
          <t/>
        </is>
      </c>
      <c r="B703" s="2" t="inlineStr">
        <is>
          <t>Мультиварки</t>
        </is>
      </c>
      <c r="C703" s="2">
        <v>725263316</v>
      </c>
      <c r="D703" s="2" t="inlineStr">
        <is>
          <t>192028</t>
        </is>
      </c>
      <c r="E703" s="2" t="inlineStr">
        <is>
          <t>2048046614971</t>
        </is>
      </c>
      <c r="F703" s="2">
        <v>0</v>
      </c>
      <c r="G703" s="2">
        <v>3</v>
      </c>
      <c r="H703" s="2" t="inlineStr">
        <is>
          <t/>
        </is>
      </c>
      <c r="I703" s="2" t="inlineStr">
        <is>
          <t>33266</t>
        </is>
      </c>
      <c r="J703" s="4"/>
      <c r="K703" s="2">
        <v>65</v>
      </c>
      <c r="L703" s="6"/>
      <c r="M703" s="2" t="str">
        <f>IF(J703="",ROUND(I703*(1-IF(ISBLANK(L703),K703,L703)/100),2),ROUND(J703*(1-IF(ISBLANK(L703),K703,L703)/100),2))</f>
      </c>
      <c r="N703" s="7" t="str">
        <f>IF(NOT(AND(J703="",L703="")),IF(OR(AND(L703&lt;&gt;"",NOT(ISNUMBER(L703))),IFERROR(MOD(L703,1),1)&gt;0,AND(ISNUMBER(L703),OR(L703&lt;0,L703&gt;95))),"Введите целое число от 0 до 95",IF(OR(AND(J703&lt;&gt;"",NOT(ISNUMBER(J703))),IFERROR(MOD(J703,1),1)&gt;0,AND(ISNUMBER(J703),OR(J703&lt;50,J703&gt;20000000))),"Введите целое число от 50 до 20000000",IF(NOT(ABS(IFERROR(VALUE(LEFT(M703,FIND("-",M703)-1)),M703)*100-(2500+2000000000)/2)&lt;=ABS(2500-2000000000)/2),"Цена со скидкой должна быть от 25 до 20000000",IF(AND(IFERROR(VALUE(LEFT(M703,FIND("-",M703)-1)),M703)*150&lt;=1164309,IFERROR(VALUE(LEFT(M703,FIND("-",M703)-1)),M703)*200&gt;1164309),"Вы уменьшили цену в несколько раз, товар попадет в карантин цен",IF(IFERROR(VALUE(LEFT(M703,FIND("-",M703)-1)),M703)*200&lt;=1164309,"Не сохранили изменения, чтобы защитить от ошибки — новые цены меньше текущих более чем в 2 раза. Снижайте их постепенно",IF(AND(IFERROR(VALUE(I703),0)=0,ISNUMBER(J703),OR(J703&lt;482,ABS(IFERROR(VALUE(LEFT(M703,FIND("-",M703)-1)),M703))*100&lt;48200)),"Проверьте цену товара. Большинство товаров в выбранной категории стоят дороже 482","")))))),"")</f>
      </c>
    </row>
    <row r="704">
      <c r="A704" s="2" t="inlineStr">
        <is>
          <t/>
        </is>
      </c>
      <c r="B704" s="2" t="inlineStr">
        <is>
          <t>Плиты настольные</t>
        </is>
      </c>
      <c r="C704" s="2">
        <v>725307007</v>
      </c>
      <c r="D704" s="2" t="inlineStr">
        <is>
          <t>191739</t>
        </is>
      </c>
      <c r="E704" s="2" t="inlineStr">
        <is>
          <t>2048047038998</t>
        </is>
      </c>
      <c r="F704" s="2">
        <v>1</v>
      </c>
      <c r="G704" s="2">
        <v>6</v>
      </c>
      <c r="H704" s="2">
        <v>999</v>
      </c>
      <c r="I704" s="2" t="inlineStr">
        <is>
          <t>31738</t>
        </is>
      </c>
      <c r="J704" s="4"/>
      <c r="K704" s="2">
        <v>81</v>
      </c>
      <c r="L704" s="6"/>
      <c r="M704" s="2" t="str">
        <f>IF(J704="",ROUND(I704*(1-IF(ISBLANK(L704),K704,L704)/100),2),ROUND(J704*(1-IF(ISBLANK(L704),K704,L704)/100),2))</f>
      </c>
      <c r="N704" s="7" t="str">
        <f>IF(NOT(AND(J704="",L704="")),IF(OR(AND(L704&lt;&gt;"",NOT(ISNUMBER(L704))),IFERROR(MOD(L704,1),1)&gt;0,AND(ISNUMBER(L704),OR(L704&lt;0,L704&gt;95))),"Введите целое число от 0 до 95",IF(OR(AND(J704&lt;&gt;"",NOT(ISNUMBER(J704))),IFERROR(MOD(J704,1),1)&gt;0,AND(ISNUMBER(J704),OR(J704&lt;50,J704&gt;20000000))),"Введите целое число от 50 до 20000000",IF(NOT(ABS(IFERROR(VALUE(LEFT(M704,FIND("-",M704)-1)),M704)*100-(2500+2000000000)/2)&lt;=ABS(2500-2000000000)/2),"Цена со скидкой должна быть от 25 до 20000000",IF(AND(IFERROR(VALUE(LEFT(M704,FIND("-",M704)-1)),M704)*150&lt;=603021,IFERROR(VALUE(LEFT(M704,FIND("-",M704)-1)),M704)*200&gt;603021),"Вы уменьшили цену в несколько раз, товар попадет в карантин цен",IF(IFERROR(VALUE(LEFT(M704,FIND("-",M704)-1)),M704)*200&lt;=603021,"Не сохранили изменения, чтобы защитить от ошибки — новые цены меньше текущих более чем в 2 раза. Снижайте их постепенно",IF(AND(IFERROR(VALUE(I704),0)=0,ISNUMBER(J704),OR(J704&lt;316,ABS(IFERROR(VALUE(LEFT(M704,FIND("-",M704)-1)),M704))*100&lt;31600)),"Проверьте цену товара. Большинство товаров в выбранной категории стоят дороже 316","")))))),"")</f>
      </c>
    </row>
    <row r="705">
      <c r="A705" s="2" t="inlineStr">
        <is>
          <t/>
        </is>
      </c>
      <c r="B705" s="2" t="inlineStr">
        <is>
          <t>Плиты настольные</t>
        </is>
      </c>
      <c r="C705" s="2">
        <v>725307008</v>
      </c>
      <c r="D705" s="2" t="inlineStr">
        <is>
          <t>19811</t>
        </is>
      </c>
      <c r="E705" s="2" t="inlineStr">
        <is>
          <t>2048047039001</t>
        </is>
      </c>
      <c r="F705" s="2">
        <v>0</v>
      </c>
      <c r="G705" s="2">
        <v>6</v>
      </c>
      <c r="H705" s="2" t="inlineStr">
        <is>
          <t/>
        </is>
      </c>
      <c r="I705" s="2" t="inlineStr">
        <is>
          <t>13303</t>
        </is>
      </c>
      <c r="J705" s="4"/>
      <c r="K705" s="2">
        <v>78</v>
      </c>
      <c r="L705" s="6"/>
      <c r="M705" s="2" t="str">
        <f>IF(J705="",ROUND(I705*(1-IF(ISBLANK(L705),K705,L705)/100),2),ROUND(J705*(1-IF(ISBLANK(L705),K705,L705)/100),2))</f>
      </c>
      <c r="N705" s="7" t="str">
        <f>IF(NOT(AND(J705="",L705="")),IF(OR(AND(L705&lt;&gt;"",NOT(ISNUMBER(L705))),IFERROR(MOD(L705,1),1)&gt;0,AND(ISNUMBER(L705),OR(L705&lt;0,L705&gt;95))),"Введите целое число от 0 до 95",IF(OR(AND(J705&lt;&gt;"",NOT(ISNUMBER(J705))),IFERROR(MOD(J705,1),1)&gt;0,AND(ISNUMBER(J705),OR(J705&lt;50,J705&gt;20000000))),"Введите целое число от 50 до 20000000",IF(NOT(ABS(IFERROR(VALUE(LEFT(M705,FIND("-",M705)-1)),M705)*100-(2500+2000000000)/2)&lt;=ABS(2500-2000000000)/2),"Цена со скидкой должна быть от 25 до 20000000",IF(AND(IFERROR(VALUE(LEFT(M705,FIND("-",M705)-1)),M705)*150&lt;=292666,IFERROR(VALUE(LEFT(M705,FIND("-",M705)-1)),M705)*200&gt;292666),"Вы уменьшили цену в несколько раз, товар попадет в карантин цен",IF(IFERROR(VALUE(LEFT(M705,FIND("-",M705)-1)),M705)*200&lt;=292666,"Не сохранили изменения, чтобы защитить от ошибки — новые цены меньше текущих более чем в 2 раза. Снижайте их постепенно",IF(AND(IFERROR(VALUE(I705),0)=0,ISNUMBER(J705),OR(J705&lt;316,ABS(IFERROR(VALUE(LEFT(M705,FIND("-",M705)-1)),M705))*100&lt;31600)),"Проверьте цену товара. Большинство товаров в выбранной категории стоят дороже 316","")))))),"")</f>
      </c>
    </row>
    <row r="706">
      <c r="A706" s="2" t="inlineStr">
        <is>
          <t/>
        </is>
      </c>
      <c r="B706" s="2" t="inlineStr">
        <is>
          <t>Формы для запекания</t>
        </is>
      </c>
      <c r="C706" s="2">
        <v>618382624</v>
      </c>
      <c r="D706" s="2" t="inlineStr">
        <is>
          <t>075818</t>
        </is>
      </c>
      <c r="E706" s="2" t="inlineStr">
        <is>
          <t>2047308549310</t>
        </is>
      </c>
      <c r="F706" s="2">
        <v>0</v>
      </c>
      <c r="G706" s="2">
        <v>0</v>
      </c>
      <c r="H706" s="2" t="inlineStr">
        <is>
          <t/>
        </is>
      </c>
      <c r="I706" s="2" t="inlineStr">
        <is>
          <t>7797</t>
        </is>
      </c>
      <c r="J706" s="4"/>
      <c r="K706" s="2">
        <v>65</v>
      </c>
      <c r="L706" s="6"/>
      <c r="M706" s="2" t="str">
        <f>IF(J706="",ROUND(I706*(1-IF(ISBLANK(L706),K706,L706)/100),2),ROUND(J706*(1-IF(ISBLANK(L706),K706,L706)/100),2))</f>
      </c>
      <c r="N706" s="7" t="str">
        <f>IF(NOT(AND(J706="",L706="")),IF(OR(AND(L706&lt;&gt;"",NOT(ISNUMBER(L706))),IFERROR(MOD(L706,1),1)&gt;0,AND(ISNUMBER(L706),OR(L706&lt;0,L706&gt;95))),"Введите целое число от 0 до 95",IF(OR(AND(J706&lt;&gt;"",NOT(ISNUMBER(J706))),IFERROR(MOD(J706,1),1)&gt;0,AND(ISNUMBER(J706),OR(J706&lt;50,J706&gt;20000000))),"Введите целое число от 50 до 20000000",IF(NOT(ABS(IFERROR(VALUE(LEFT(M706,FIND("-",M706)-1)),M706)*100-(2500+2000000000)/2)&lt;=ABS(2500-2000000000)/2),"Цена со скидкой должна быть от 25 до 20000000",IF(AND(IFERROR(VALUE(LEFT(M706,FIND("-",M706)-1)),M706)*150&lt;=272895,IFERROR(VALUE(LEFT(M706,FIND("-",M706)-1)),M706)*200&gt;272895),"Вы уменьшили цену в несколько раз, товар попадет в карантин цен",IF(IFERROR(VALUE(LEFT(M706,FIND("-",M706)-1)),M706)*200&lt;=272895,"Не сохранили изменения, чтобы защитить от ошибки — новые цены меньше текущих более чем в 2 раза. Снижайте их постепенно",IF(AND(IFERROR(VALUE(I706),0)=0,ISNUMBER(J706),OR(J706&lt;290,ABS(IFERROR(VALUE(LEFT(M706,FIND("-",M706)-1)),M706))*100&lt;29000)),"Проверьте цену товара. Большинство товаров в выбранной категории стоят дороже 290","")))))),"")</f>
      </c>
    </row>
    <row r="707">
      <c r="A707" s="2" t="inlineStr">
        <is>
          <t/>
        </is>
      </c>
      <c r="B707" s="2" t="inlineStr">
        <is>
          <t>Плиты настольные</t>
        </is>
      </c>
      <c r="C707" s="2">
        <v>725307006</v>
      </c>
      <c r="D707" s="2" t="inlineStr">
        <is>
          <t>191367</t>
        </is>
      </c>
      <c r="E707" s="2" t="inlineStr">
        <is>
          <t>2048047038981</t>
        </is>
      </c>
      <c r="F707" s="2">
        <v>0</v>
      </c>
      <c r="G707" s="2">
        <v>0</v>
      </c>
      <c r="H707" s="2" t="inlineStr">
        <is>
          <t/>
        </is>
      </c>
      <c r="I707" s="2" t="inlineStr">
        <is>
          <t>27648</t>
        </is>
      </c>
      <c r="J707" s="4"/>
      <c r="K707" s="2">
        <v>69</v>
      </c>
      <c r="L707" s="6"/>
      <c r="M707" s="2" t="str">
        <f>IF(J707="",ROUND(I707*(1-IF(ISBLANK(L707),K707,L707)/100),2),ROUND(J707*(1-IF(ISBLANK(L707),K707,L707)/100),2))</f>
      </c>
      <c r="N707" s="7" t="str">
        <f>IF(NOT(AND(J707="",L707="")),IF(OR(AND(L707&lt;&gt;"",NOT(ISNUMBER(L707))),IFERROR(MOD(L707,1),1)&gt;0,AND(ISNUMBER(L707),OR(L707&lt;0,L707&gt;95))),"Введите целое число от 0 до 95",IF(OR(AND(J707&lt;&gt;"",NOT(ISNUMBER(J707))),IFERROR(MOD(J707,1),1)&gt;0,AND(ISNUMBER(J707),OR(J707&lt;50,J707&gt;20000000))),"Введите целое число от 50 до 20000000",IF(NOT(ABS(IFERROR(VALUE(LEFT(M707,FIND("-",M707)-1)),M707)*100-(2500+2000000000)/2)&lt;=ABS(2500-2000000000)/2),"Цена со скидкой должна быть от 25 до 20000000",IF(AND(IFERROR(VALUE(LEFT(M707,FIND("-",M707)-1)),M707)*150&lt;=857088,IFERROR(VALUE(LEFT(M707,FIND("-",M707)-1)),M707)*200&gt;857088),"Вы уменьшили цену в несколько раз, товар попадет в карантин цен",IF(IFERROR(VALUE(LEFT(M707,FIND("-",M707)-1)),M707)*200&lt;=857088,"Не сохранили изменения, чтобы защитить от ошибки — новые цены меньше текущих более чем в 2 раза. Снижайте их постепенно",IF(AND(IFERROR(VALUE(I707),0)=0,ISNUMBER(J707),OR(J707&lt;316,ABS(IFERROR(VALUE(LEFT(M707,FIND("-",M707)-1)),M707))*100&lt;31600)),"Проверьте цену товара. Большинство товаров в выбранной категории стоят дороже 316","")))))),"")</f>
      </c>
    </row>
    <row r="708">
      <c r="A708" s="2" t="inlineStr">
        <is>
          <t/>
        </is>
      </c>
      <c r="B708" s="2" t="inlineStr">
        <is>
          <t>Плиты настольные</t>
        </is>
      </c>
      <c r="C708" s="2">
        <v>725307011</v>
      </c>
      <c r="D708" s="2" t="inlineStr">
        <is>
          <t>192075</t>
        </is>
      </c>
      <c r="E708" s="2" t="inlineStr">
        <is>
          <t>2048047039049</t>
        </is>
      </c>
      <c r="F708" s="2">
        <v>0</v>
      </c>
      <c r="G708" s="2">
        <v>5</v>
      </c>
      <c r="H708" s="2" t="inlineStr">
        <is>
          <t/>
        </is>
      </c>
      <c r="I708" s="2" t="inlineStr">
        <is>
          <t>13813</t>
        </is>
      </c>
      <c r="J708" s="4"/>
      <c r="K708" s="2">
        <v>69</v>
      </c>
      <c r="L708" s="6"/>
      <c r="M708" s="2" t="str">
        <f>IF(J708="",ROUND(I708*(1-IF(ISBLANK(L708),K708,L708)/100),2),ROUND(J708*(1-IF(ISBLANK(L708),K708,L708)/100),2))</f>
      </c>
      <c r="N708" s="7" t="str">
        <f>IF(NOT(AND(J708="",L708="")),IF(OR(AND(L708&lt;&gt;"",NOT(ISNUMBER(L708))),IFERROR(MOD(L708,1),1)&gt;0,AND(ISNUMBER(L708),OR(L708&lt;0,L708&gt;95))),"Введите целое число от 0 до 95",IF(OR(AND(J708&lt;&gt;"",NOT(ISNUMBER(J708))),IFERROR(MOD(J708,1),1)&gt;0,AND(ISNUMBER(J708),OR(J708&lt;50,J708&gt;20000000))),"Введите целое число от 50 до 20000000",IF(NOT(ABS(IFERROR(VALUE(LEFT(M708,FIND("-",M708)-1)),M708)*100-(2500+2000000000)/2)&lt;=ABS(2500-2000000000)/2),"Цена со скидкой должна быть от 25 до 20000000",IF(AND(IFERROR(VALUE(LEFT(M708,FIND("-",M708)-1)),M708)*150&lt;=428203,IFERROR(VALUE(LEFT(M708,FIND("-",M708)-1)),M708)*200&gt;428203),"Вы уменьшили цену в несколько раз, товар попадет в карантин цен",IF(IFERROR(VALUE(LEFT(M708,FIND("-",M708)-1)),M708)*200&lt;=428203,"Не сохранили изменения, чтобы защитить от ошибки — новые цены меньше текущих более чем в 2 раза. Снижайте их постепенно",IF(AND(IFERROR(VALUE(I708),0)=0,ISNUMBER(J708),OR(J708&lt;316,ABS(IFERROR(VALUE(LEFT(M708,FIND("-",M708)-1)),M708))*100&lt;31600)),"Проверьте цену товара. Большинство товаров в выбранной категории стоят дороже 316","")))))),"")</f>
      </c>
    </row>
    <row r="709">
      <c r="A709" s="2" t="inlineStr">
        <is>
          <t/>
        </is>
      </c>
      <c r="B709" s="2" t="inlineStr">
        <is>
          <t>Формы для запекания</t>
        </is>
      </c>
      <c r="C709" s="2">
        <v>618382632</v>
      </c>
      <c r="D709" s="2" t="inlineStr">
        <is>
          <t>121825</t>
        </is>
      </c>
      <c r="E709" s="2" t="inlineStr">
        <is>
          <t>2047308549419</t>
        </is>
      </c>
      <c r="F709" s="2">
        <v>0</v>
      </c>
      <c r="G709" s="2">
        <v>5</v>
      </c>
      <c r="H709" s="2" t="inlineStr">
        <is>
          <t/>
        </is>
      </c>
      <c r="I709" s="2" t="inlineStr">
        <is>
          <t>16002</t>
        </is>
      </c>
      <c r="J709" s="4"/>
      <c r="K709" s="2">
        <v>79</v>
      </c>
      <c r="L709" s="6"/>
      <c r="M709" s="2" t="str">
        <f>IF(J709="",ROUND(I709*(1-IF(ISBLANK(L709),K709,L709)/100),2),ROUND(J709*(1-IF(ISBLANK(L709),K709,L709)/100),2))</f>
      </c>
      <c r="N709" s="7" t="str">
        <f>IF(NOT(AND(J709="",L709="")),IF(OR(AND(L709&lt;&gt;"",NOT(ISNUMBER(L709))),IFERROR(MOD(L709,1),1)&gt;0,AND(ISNUMBER(L709),OR(L709&lt;0,L709&gt;95))),"Введите целое число от 0 до 95",IF(OR(AND(J709&lt;&gt;"",NOT(ISNUMBER(J709))),IFERROR(MOD(J709,1),1)&gt;0,AND(ISNUMBER(J709),OR(J709&lt;50,J709&gt;20000000))),"Введите целое число от 50 до 20000000",IF(NOT(ABS(IFERROR(VALUE(LEFT(M709,FIND("-",M709)-1)),M709)*100-(2500+2000000000)/2)&lt;=ABS(2500-2000000000)/2),"Цена со скидкой должна быть от 25 до 20000000",IF(AND(IFERROR(VALUE(LEFT(M709,FIND("-",M709)-1)),M709)*150&lt;=336041,IFERROR(VALUE(LEFT(M709,FIND("-",M709)-1)),M709)*200&gt;336041),"Вы уменьшили цену в несколько раз, товар попадет в карантин цен",IF(IFERROR(VALUE(LEFT(M709,FIND("-",M709)-1)),M709)*200&lt;=336041,"Не сохранили изменения, чтобы защитить от ошибки — новые цены меньше текущих более чем в 2 раза. Снижайте их постепенно",IF(AND(IFERROR(VALUE(I709),0)=0,ISNUMBER(J709),OR(J709&lt;290,ABS(IFERROR(VALUE(LEFT(M709,FIND("-",M709)-1)),M709))*100&lt;29000)),"Проверьте цену товара. Большинство товаров в выбранной категории стоят дороже 290","")))))),"")</f>
      </c>
    </row>
    <row r="710">
      <c r="A710" s="2" t="inlineStr">
        <is>
          <t/>
        </is>
      </c>
      <c r="B710" s="2" t="inlineStr">
        <is>
          <t>Плиты настольные</t>
        </is>
      </c>
      <c r="C710" s="2">
        <v>725307012</v>
      </c>
      <c r="D710" s="2" t="inlineStr">
        <is>
          <t>192548</t>
        </is>
      </c>
      <c r="E710" s="2" t="inlineStr">
        <is>
          <t>2048047039056</t>
        </is>
      </c>
      <c r="F710" s="2">
        <v>0</v>
      </c>
      <c r="G710" s="2">
        <v>3</v>
      </c>
      <c r="H710" s="2" t="inlineStr">
        <is>
          <t/>
        </is>
      </c>
      <c r="I710" s="2" t="inlineStr">
        <is>
          <t>11060</t>
        </is>
      </c>
      <c r="J710" s="4"/>
      <c r="K710" s="2">
        <v>78</v>
      </c>
      <c r="L710" s="6"/>
      <c r="M710" s="2" t="str">
        <f>IF(J710="",ROUND(I710*(1-IF(ISBLANK(L710),K710,L710)/100),2),ROUND(J710*(1-IF(ISBLANK(L710),K710,L710)/100),2))</f>
      </c>
      <c r="N710" s="7" t="str">
        <f>IF(NOT(AND(J710="",L710="")),IF(OR(AND(L710&lt;&gt;"",NOT(ISNUMBER(L710))),IFERROR(MOD(L710,1),1)&gt;0,AND(ISNUMBER(L710),OR(L710&lt;0,L710&gt;95))),"Введите целое число от 0 до 95",IF(OR(AND(J710&lt;&gt;"",NOT(ISNUMBER(J710))),IFERROR(MOD(J710,1),1)&gt;0,AND(ISNUMBER(J710),OR(J710&lt;50,J710&gt;20000000))),"Введите целое число от 50 до 20000000",IF(NOT(ABS(IFERROR(VALUE(LEFT(M710,FIND("-",M710)-1)),M710)*100-(2500+2000000000)/2)&lt;=ABS(2500-2000000000)/2),"Цена со скидкой должна быть от 25 до 20000000",IF(AND(IFERROR(VALUE(LEFT(M710,FIND("-",M710)-1)),M710)*150&lt;=243319,IFERROR(VALUE(LEFT(M710,FIND("-",M710)-1)),M710)*200&gt;243319),"Вы уменьшили цену в несколько раз, товар попадет в карантин цен",IF(IFERROR(VALUE(LEFT(M710,FIND("-",M710)-1)),M710)*200&lt;=243319,"Не сохранили изменения, чтобы защитить от ошибки — новые цены меньше текущих более чем в 2 раза. Снижайте их постепенно",IF(AND(IFERROR(VALUE(I710),0)=0,ISNUMBER(J710),OR(J710&lt;316,ABS(IFERROR(VALUE(LEFT(M710,FIND("-",M710)-1)),M710))*100&lt;31600)),"Проверьте цену товара. Большинство товаров в выбранной категории стоят дороже 316","")))))),"")</f>
      </c>
    </row>
    <row r="711">
      <c r="A711" s="2" t="inlineStr">
        <is>
          <t/>
        </is>
      </c>
      <c r="B711" s="2" t="inlineStr">
        <is>
          <t>Наборы кухонных принадлежностей</t>
        </is>
      </c>
      <c r="C711" s="2">
        <v>725368730</v>
      </c>
      <c r="D711" s="2" t="inlineStr">
        <is>
          <t>513414</t>
        </is>
      </c>
      <c r="E711" s="2" t="inlineStr">
        <is>
          <t>2048047560017</t>
        </is>
      </c>
      <c r="F711" s="2">
        <v>19</v>
      </c>
      <c r="G711" s="2">
        <v>0</v>
      </c>
      <c r="H711" s="2">
        <v>999</v>
      </c>
      <c r="I711" s="2" t="inlineStr">
        <is>
          <t>3492</t>
        </is>
      </c>
      <c r="J711" s="4"/>
      <c r="K711" s="2">
        <v>81</v>
      </c>
      <c r="L711" s="6"/>
      <c r="M711" s="2" t="str">
        <f>IF(J711="",ROUND(I711*(1-IF(ISBLANK(L711),K711,L711)/100),2),ROUND(J711*(1-IF(ISBLANK(L711),K711,L711)/100),2))</f>
      </c>
      <c r="N711" s="7" t="str">
        <f>IF(NOT(AND(J711="",L711="")),IF(OR(AND(L711&lt;&gt;"",NOT(ISNUMBER(L711))),IFERROR(MOD(L711,1),1)&gt;0,AND(ISNUMBER(L711),OR(L711&lt;0,L711&gt;95))),"Введите целое число от 0 до 95",IF(OR(AND(J711&lt;&gt;"",NOT(ISNUMBER(J711))),IFERROR(MOD(J711,1),1)&gt;0,AND(ISNUMBER(J711),OR(J711&lt;50,J711&gt;20000000))),"Введите целое число от 50 до 20000000",IF(NOT(ABS(IFERROR(VALUE(LEFT(M711,FIND("-",M711)-1)),M711)*100-(2500+2000000000)/2)&lt;=ABS(2500-2000000000)/2),"Цена со скидкой должна быть от 25 до 20000000",IF(AND(IFERROR(VALUE(LEFT(M711,FIND("-",M711)-1)),M711)*150&lt;=66347,IFERROR(VALUE(LEFT(M711,FIND("-",M711)-1)),M711)*200&gt;66347),"Вы уменьшили цену в несколько раз, товар попадет в карантин цен",IF(IFERROR(VALUE(LEFT(M711,FIND("-",M711)-1)),M711)*200&lt;=66347,"Не сохранили изменения, чтобы защитить от ошибки — новые цены меньше текущих более чем в 2 раза. Снижайте их постепенно",IF(AND(IFERROR(VALUE(I711),0)=0,ISNUMBER(J711),OR(J711&lt;396,ABS(IFERROR(VALUE(LEFT(M711,FIND("-",M711)-1)),M711))*100&lt;39600)),"Проверьте цену товара. Большинство товаров в выбранной категории стоят дороже 396","")))))),"")</f>
      </c>
    </row>
    <row r="712">
      <c r="A712" s="2" t="inlineStr">
        <is>
          <t/>
        </is>
      </c>
      <c r="B712" s="2" t="inlineStr">
        <is>
          <t>Плиты настольные</t>
        </is>
      </c>
      <c r="C712" s="2">
        <v>725307009</v>
      </c>
      <c r="D712" s="2" t="inlineStr">
        <is>
          <t>19429</t>
        </is>
      </c>
      <c r="E712" s="2" t="inlineStr">
        <is>
          <t>2048047039018</t>
        </is>
      </c>
      <c r="F712" s="2">
        <v>0</v>
      </c>
      <c r="G712" s="2">
        <v>6</v>
      </c>
      <c r="H712" s="2" t="inlineStr">
        <is>
          <t/>
        </is>
      </c>
      <c r="I712" s="2" t="inlineStr">
        <is>
          <t>13303</t>
        </is>
      </c>
      <c r="J712" s="4"/>
      <c r="K712" s="2">
        <v>78</v>
      </c>
      <c r="L712" s="6"/>
      <c r="M712" s="2" t="str">
        <f>IF(J712="",ROUND(I712*(1-IF(ISBLANK(L712),K712,L712)/100),2),ROUND(J712*(1-IF(ISBLANK(L712),K712,L712)/100),2))</f>
      </c>
      <c r="N712" s="7" t="str">
        <f>IF(NOT(AND(J712="",L712="")),IF(OR(AND(L712&lt;&gt;"",NOT(ISNUMBER(L712))),IFERROR(MOD(L712,1),1)&gt;0,AND(ISNUMBER(L712),OR(L712&lt;0,L712&gt;95))),"Введите целое число от 0 до 95",IF(OR(AND(J712&lt;&gt;"",NOT(ISNUMBER(J712))),IFERROR(MOD(J712,1),1)&gt;0,AND(ISNUMBER(J712),OR(J712&lt;50,J712&gt;20000000))),"Введите целое число от 50 до 20000000",IF(NOT(ABS(IFERROR(VALUE(LEFT(M712,FIND("-",M712)-1)),M712)*100-(2500+2000000000)/2)&lt;=ABS(2500-2000000000)/2),"Цена со скидкой должна быть от 25 до 20000000",IF(AND(IFERROR(VALUE(LEFT(M712,FIND("-",M712)-1)),M712)*150&lt;=292666,IFERROR(VALUE(LEFT(M712,FIND("-",M712)-1)),M712)*200&gt;292666),"Вы уменьшили цену в несколько раз, товар попадет в карантин цен",IF(IFERROR(VALUE(LEFT(M712,FIND("-",M712)-1)),M712)*200&lt;=292666,"Не сохранили изменения, чтобы защитить от ошибки — новые цены меньше текущих более чем в 2 раза. Снижайте их постепенно",IF(AND(IFERROR(VALUE(I712),0)=0,ISNUMBER(J712),OR(J712&lt;316,ABS(IFERROR(VALUE(LEFT(M712,FIND("-",M712)-1)),M712))*100&lt;31600)),"Проверьте цену товара. Большинство товаров в выбранной категории стоят дороже 316","")))))),"")</f>
      </c>
    </row>
    <row r="713">
      <c r="A713" s="2" t="inlineStr">
        <is>
          <t/>
        </is>
      </c>
      <c r="B713" s="2" t="inlineStr">
        <is>
          <t>Наборы кухонных принадлежностей</t>
        </is>
      </c>
      <c r="C713" s="2">
        <v>725368727</v>
      </c>
      <c r="D713" s="2" t="inlineStr">
        <is>
          <t>523569</t>
        </is>
      </c>
      <c r="E713" s="2" t="inlineStr">
        <is>
          <t>2048047559974</t>
        </is>
      </c>
      <c r="F713" s="2">
        <v>0</v>
      </c>
      <c r="G713" s="2">
        <v>0</v>
      </c>
      <c r="H713" s="2" t="inlineStr">
        <is>
          <t/>
        </is>
      </c>
      <c r="I713" s="2" t="inlineStr">
        <is>
          <t>11170</t>
        </is>
      </c>
      <c r="J713" s="4"/>
      <c r="K713" s="2">
        <v>65</v>
      </c>
      <c r="L713" s="6"/>
      <c r="M713" s="2" t="str">
        <f>IF(J713="",ROUND(I713*(1-IF(ISBLANK(L713),K713,L713)/100),2),ROUND(J713*(1-IF(ISBLANK(L713),K713,L713)/100),2))</f>
      </c>
      <c r="N713" s="7" t="str">
        <f>IF(NOT(AND(J713="",L713="")),IF(OR(AND(L713&lt;&gt;"",NOT(ISNUMBER(L713))),IFERROR(MOD(L713,1),1)&gt;0,AND(ISNUMBER(L713),OR(L713&lt;0,L713&gt;95))),"Введите целое число от 0 до 95",IF(OR(AND(J713&lt;&gt;"",NOT(ISNUMBER(J713))),IFERROR(MOD(J713,1),1)&gt;0,AND(ISNUMBER(J713),OR(J713&lt;50,J713&gt;20000000))),"Введите целое число от 50 до 20000000",IF(NOT(ABS(IFERROR(VALUE(LEFT(M713,FIND("-",M713)-1)),M713)*100-(2500+2000000000)/2)&lt;=ABS(2500-2000000000)/2),"Цена со скидкой должна быть от 25 до 20000000",IF(AND(IFERROR(VALUE(LEFT(M713,FIND("-",M713)-1)),M713)*150&lt;=390949,IFERROR(VALUE(LEFT(M713,FIND("-",M713)-1)),M713)*200&gt;390949),"Вы уменьшили цену в несколько раз, товар попадет в карантин цен",IF(IFERROR(VALUE(LEFT(M713,FIND("-",M713)-1)),M713)*200&lt;=390949,"Не сохранили изменения, чтобы защитить от ошибки — новые цены меньше текущих более чем в 2 раза. Снижайте их постепенно",IF(AND(IFERROR(VALUE(I713),0)=0,ISNUMBER(J713),OR(J713&lt;396,ABS(IFERROR(VALUE(LEFT(M713,FIND("-",M713)-1)),M713))*100&lt;39600)),"Проверьте цену товара. Большинство товаров в выбранной категории стоят дороже 396","")))))),"")</f>
      </c>
    </row>
    <row r="714">
      <c r="A714" s="2" t="inlineStr">
        <is>
          <t/>
        </is>
      </c>
      <c r="B714" s="2" t="inlineStr">
        <is>
          <t>Плиты настольные</t>
        </is>
      </c>
      <c r="C714" s="2">
        <v>725307010</v>
      </c>
      <c r="D714" s="2" t="inlineStr">
        <is>
          <t>190065</t>
        </is>
      </c>
      <c r="E714" s="2" t="inlineStr">
        <is>
          <t>2048047039025</t>
        </is>
      </c>
      <c r="F714" s="2">
        <v>0</v>
      </c>
      <c r="G714" s="2">
        <v>14</v>
      </c>
      <c r="H714" s="2" t="inlineStr">
        <is>
          <t/>
        </is>
      </c>
      <c r="I714" s="2" t="inlineStr">
        <is>
          <t>13272</t>
        </is>
      </c>
      <c r="J714" s="4"/>
      <c r="K714" s="2">
        <v>78</v>
      </c>
      <c r="L714" s="6"/>
      <c r="M714" s="2" t="str">
        <f>IF(J714="",ROUND(I714*(1-IF(ISBLANK(L714),K714,L714)/100),2),ROUND(J714*(1-IF(ISBLANK(L714),K714,L714)/100),2))</f>
      </c>
      <c r="N714" s="7" t="str">
        <f>IF(NOT(AND(J714="",L714="")),IF(OR(AND(L714&lt;&gt;"",NOT(ISNUMBER(L714))),IFERROR(MOD(L714,1),1)&gt;0,AND(ISNUMBER(L714),OR(L714&lt;0,L714&gt;95))),"Введите целое число от 0 до 95",IF(OR(AND(J714&lt;&gt;"",NOT(ISNUMBER(J714))),IFERROR(MOD(J714,1),1)&gt;0,AND(ISNUMBER(J714),OR(J714&lt;50,J714&gt;20000000))),"Введите целое число от 50 до 20000000",IF(NOT(ABS(IFERROR(VALUE(LEFT(M714,FIND("-",M714)-1)),M714)*100-(2500+2000000000)/2)&lt;=ABS(2500-2000000000)/2),"Цена со скидкой должна быть от 25 до 20000000",IF(AND(IFERROR(VALUE(LEFT(M714,FIND("-",M714)-1)),M714)*150&lt;=291983,IFERROR(VALUE(LEFT(M714,FIND("-",M714)-1)),M714)*200&gt;291983),"Вы уменьшили цену в несколько раз, товар попадет в карантин цен",IF(IFERROR(VALUE(LEFT(M714,FIND("-",M714)-1)),M714)*200&lt;=291983,"Не сохранили изменения, чтобы защитить от ошибки — новые цены меньше текущих более чем в 2 раза. Снижайте их постепенно",IF(AND(IFERROR(VALUE(I714),0)=0,ISNUMBER(J714),OR(J714&lt;316,ABS(IFERROR(VALUE(LEFT(M714,FIND("-",M714)-1)),M714))*100&lt;31600)),"Проверьте цену товара. Большинство товаров в выбранной категории стоят дороже 316","")))))),"")</f>
      </c>
    </row>
    <row r="715">
      <c r="A715" s="2" t="inlineStr">
        <is>
          <t/>
        </is>
      </c>
      <c r="B715" s="2" t="inlineStr">
        <is>
          <t>Чайники электрические</t>
        </is>
      </c>
      <c r="C715" s="2">
        <v>725312325</v>
      </c>
      <c r="D715" s="2" t="inlineStr">
        <is>
          <t>190113</t>
        </is>
      </c>
      <c r="E715" s="2" t="inlineStr">
        <is>
          <t>2048047081802</t>
        </is>
      </c>
      <c r="F715" s="2">
        <v>0</v>
      </c>
      <c r="G715" s="2">
        <v>21</v>
      </c>
      <c r="H715" s="2" t="inlineStr">
        <is>
          <t/>
        </is>
      </c>
      <c r="I715" s="2" t="inlineStr">
        <is>
          <t>9173</t>
        </is>
      </c>
      <c r="J715" s="4"/>
      <c r="K715" s="2">
        <v>69</v>
      </c>
      <c r="L715" s="6"/>
      <c r="M715" s="2" t="str">
        <f>IF(J715="",ROUND(I715*(1-IF(ISBLANK(L715),K715,L715)/100),2),ROUND(J715*(1-IF(ISBLANK(L715),K715,L715)/100),2))</f>
      </c>
      <c r="N715" s="7" t="str">
        <f>IF(NOT(AND(J715="",L715="")),IF(OR(AND(L715&lt;&gt;"",NOT(ISNUMBER(L715))),IFERROR(MOD(L715,1),1)&gt;0,AND(ISNUMBER(L715),OR(L715&lt;0,L715&gt;95))),"Введите целое число от 0 до 95",IF(OR(AND(J715&lt;&gt;"",NOT(ISNUMBER(J715))),IFERROR(MOD(J715,1),1)&gt;0,AND(ISNUMBER(J715),OR(J715&lt;50,J715&gt;20000000))),"Введите целое число от 50 до 20000000",IF(NOT(ABS(IFERROR(VALUE(LEFT(M715,FIND("-",M715)-1)),M715)*100-(2500+2000000000)/2)&lt;=ABS(2500-2000000000)/2),"Цена со скидкой должна быть от 25 до 20000000",IF(AND(IFERROR(VALUE(LEFT(M715,FIND("-",M715)-1)),M715)*150&lt;=284363,IFERROR(VALUE(LEFT(M715,FIND("-",M715)-1)),M715)*200&gt;284363),"Вы уменьшили цену в несколько раз, товар попадет в карантин цен",IF(IFERROR(VALUE(LEFT(M715,FIND("-",M715)-1)),M715)*200&lt;=284363,"Не сохранили изменения, чтобы защитить от ошибки — новые цены меньше текущих более чем в 2 раза. Снижайте их постепенно",IF(AND(IFERROR(VALUE(I715),0)=0,ISNUMBER(J715),OR(J715&lt;496,ABS(IFERROR(VALUE(LEFT(M715,FIND("-",M715)-1)),M715))*100&lt;49600)),"Проверьте цену товара. Большинство товаров в выбранной категории стоят дороже 496","")))))),"")</f>
      </c>
    </row>
    <row r="716">
      <c r="A716" s="2" t="inlineStr">
        <is>
          <t/>
        </is>
      </c>
      <c r="B716" s="2" t="inlineStr">
        <is>
          <t>Наборы кухонных принадлежностей</t>
        </is>
      </c>
      <c r="C716" s="2">
        <v>725368729</v>
      </c>
      <c r="D716" s="2" t="inlineStr">
        <is>
          <t>523604</t>
        </is>
      </c>
      <c r="E716" s="2" t="inlineStr">
        <is>
          <t>2048047560000</t>
        </is>
      </c>
      <c r="F716" s="2">
        <v>0</v>
      </c>
      <c r="G716" s="2">
        <v>0</v>
      </c>
      <c r="H716" s="2" t="inlineStr">
        <is>
          <t/>
        </is>
      </c>
      <c r="I716" s="2" t="inlineStr">
        <is>
          <t>14273</t>
        </is>
      </c>
      <c r="J716" s="4"/>
      <c r="K716" s="2">
        <v>65</v>
      </c>
      <c r="L716" s="6"/>
      <c r="M716" s="2" t="str">
        <f>IF(J716="",ROUND(I716*(1-IF(ISBLANK(L716),K716,L716)/100),2),ROUND(J716*(1-IF(ISBLANK(L716),K716,L716)/100),2))</f>
      </c>
      <c r="N716" s="7" t="str">
        <f>IF(NOT(AND(J716="",L716="")),IF(OR(AND(L716&lt;&gt;"",NOT(ISNUMBER(L716))),IFERROR(MOD(L716,1),1)&gt;0,AND(ISNUMBER(L716),OR(L716&lt;0,L716&gt;95))),"Введите целое число от 0 до 95",IF(OR(AND(J716&lt;&gt;"",NOT(ISNUMBER(J716))),IFERROR(MOD(J716,1),1)&gt;0,AND(ISNUMBER(J716),OR(J716&lt;50,J716&gt;20000000))),"Введите целое число от 50 до 20000000",IF(NOT(ABS(IFERROR(VALUE(LEFT(M716,FIND("-",M716)-1)),M716)*100-(2500+2000000000)/2)&lt;=ABS(2500-2000000000)/2),"Цена со скидкой должна быть от 25 до 20000000",IF(AND(IFERROR(VALUE(LEFT(M716,FIND("-",M716)-1)),M716)*150&lt;=499554,IFERROR(VALUE(LEFT(M716,FIND("-",M716)-1)),M716)*200&gt;499554),"Вы уменьшили цену в несколько раз, товар попадет в карантин цен",IF(IFERROR(VALUE(LEFT(M716,FIND("-",M716)-1)),M716)*200&lt;=499554,"Не сохранили изменения, чтобы защитить от ошибки — новые цены меньше текущих более чем в 2 раза. Снижайте их постепенно",IF(AND(IFERROR(VALUE(I716),0)=0,ISNUMBER(J716),OR(J716&lt;396,ABS(IFERROR(VALUE(LEFT(M716,FIND("-",M716)-1)),M716))*100&lt;39600)),"Проверьте цену товара. Большинство товаров в выбранной категории стоят дороже 396","")))))),"")</f>
      </c>
    </row>
    <row r="717">
      <c r="A717" s="2" t="inlineStr">
        <is>
          <t/>
        </is>
      </c>
      <c r="B717" s="2" t="inlineStr">
        <is>
          <t>Терки</t>
        </is>
      </c>
      <c r="C717" s="2">
        <v>725406658</v>
      </c>
      <c r="D717" s="2" t="inlineStr">
        <is>
          <t>93526</t>
        </is>
      </c>
      <c r="E717" s="2" t="inlineStr">
        <is>
          <t>2048047924925</t>
        </is>
      </c>
      <c r="F717" s="2">
        <v>0</v>
      </c>
      <c r="G717" s="2">
        <v>6</v>
      </c>
      <c r="H717" s="2" t="inlineStr">
        <is>
          <t/>
        </is>
      </c>
      <c r="I717" s="2" t="inlineStr">
        <is>
          <t>5752</t>
        </is>
      </c>
      <c r="J717" s="4"/>
      <c r="K717" s="2">
        <v>78</v>
      </c>
      <c r="L717" s="6"/>
      <c r="M717" s="2" t="str">
        <f>IF(J717="",ROUND(I717*(1-IF(ISBLANK(L717),K717,L717)/100),2),ROUND(J717*(1-IF(ISBLANK(L717),K717,L717)/100),2))</f>
      </c>
      <c r="N717" s="7" t="str">
        <f>IF(NOT(AND(J717="",L717="")),IF(OR(AND(L717&lt;&gt;"",NOT(ISNUMBER(L717))),IFERROR(MOD(L717,1),1)&gt;0,AND(ISNUMBER(L717),OR(L717&lt;0,L717&gt;95))),"Введите целое число от 0 до 95",IF(OR(AND(J717&lt;&gt;"",NOT(ISNUMBER(J717))),IFERROR(MOD(J717,1),1)&gt;0,AND(ISNUMBER(J717),OR(J717&lt;50,J717&gt;20000000))),"Введите целое число от 50 до 20000000",IF(NOT(ABS(IFERROR(VALUE(LEFT(M717,FIND("-",M717)-1)),M717)*100-(2500+2000000000)/2)&lt;=ABS(2500-2000000000)/2),"Цена со скидкой должна быть от 25 до 20000000",IF(AND(IFERROR(VALUE(LEFT(M717,FIND("-",M717)-1)),M717)*150&lt;=126543,IFERROR(VALUE(LEFT(M717,FIND("-",M717)-1)),M717)*200&gt;126543),"Вы уменьшили цену в несколько раз, товар попадет в карантин цен",IF(IFERROR(VALUE(LEFT(M717,FIND("-",M717)-1)),M717)*200&lt;=126543,"Не сохранили изменения, чтобы защитить от ошибки — новые цены меньше текущих более чем в 2 раза. Снижайте их постепенно",IF(AND(IFERROR(VALUE(I717),0)=0,ISNUMBER(J717),OR(J717&lt;261,ABS(IFERROR(VALUE(LEFT(M717,FIND("-",M717)-1)),M717))*100&lt;26100)),"Проверьте цену товара. Большинство товаров в выбранной категории стоят дороже 261","")))))),"")</f>
      </c>
    </row>
    <row r="718">
      <c r="A718" s="2" t="inlineStr">
        <is>
          <t/>
        </is>
      </c>
      <c r="B718" s="2" t="inlineStr">
        <is>
          <t>Наборы кухонных принадлежностей</t>
        </is>
      </c>
      <c r="C718" s="2">
        <v>725368728</v>
      </c>
      <c r="D718" s="2" t="inlineStr">
        <is>
          <t>457258</t>
        </is>
      </c>
      <c r="E718" s="2" t="inlineStr">
        <is>
          <t>2048047559998</t>
        </is>
      </c>
      <c r="F718" s="2">
        <v>12</v>
      </c>
      <c r="G718" s="2">
        <v>0</v>
      </c>
      <c r="H718" s="2">
        <v>999</v>
      </c>
      <c r="I718" s="2" t="inlineStr">
        <is>
          <t>2924</t>
        </is>
      </c>
      <c r="J718" s="4"/>
      <c r="K718" s="2">
        <v>81</v>
      </c>
      <c r="L718" s="6"/>
      <c r="M718" s="2" t="str">
        <f>IF(J718="",ROUND(I718*(1-IF(ISBLANK(L718),K718,L718)/100),2),ROUND(J718*(1-IF(ISBLANK(L718),K718,L718)/100),2))</f>
      </c>
      <c r="N718" s="7" t="str">
        <f>IF(NOT(AND(J718="",L718="")),IF(OR(AND(L718&lt;&gt;"",NOT(ISNUMBER(L718))),IFERROR(MOD(L718,1),1)&gt;0,AND(ISNUMBER(L718),OR(L718&lt;0,L718&gt;95))),"Введите целое число от 0 до 95",IF(OR(AND(J718&lt;&gt;"",NOT(ISNUMBER(J718))),IFERROR(MOD(J718,1),1)&gt;0,AND(ISNUMBER(J718),OR(J718&lt;50,J718&gt;20000000))),"Введите целое число от 50 до 20000000",IF(NOT(ABS(IFERROR(VALUE(LEFT(M718,FIND("-",M718)-1)),M718)*100-(2500+2000000000)/2)&lt;=ABS(2500-2000000000)/2),"Цена со скидкой должна быть от 25 до 20000000",IF(AND(IFERROR(VALUE(LEFT(M718,FIND("-",M718)-1)),M718)*150&lt;=55555,IFERROR(VALUE(LEFT(M718,FIND("-",M718)-1)),M718)*200&gt;55555),"Вы уменьшили цену в несколько раз, товар попадет в карантин цен",IF(IFERROR(VALUE(LEFT(M718,FIND("-",M718)-1)),M718)*200&lt;=55555,"Не сохранили изменения, чтобы защитить от ошибки — новые цены меньше текущих более чем в 2 раза. Снижайте их постепенно",IF(AND(IFERROR(VALUE(I718),0)=0,ISNUMBER(J718),OR(J718&lt;396,ABS(IFERROR(VALUE(LEFT(M718,FIND("-",M718)-1)),M718))*100&lt;39600)),"Проверьте цену товара. Большинство товаров в выбранной категории стоят дороже 396","")))))),"")</f>
      </c>
    </row>
    <row r="719">
      <c r="A719" s="2" t="inlineStr">
        <is>
          <t/>
        </is>
      </c>
      <c r="B719" s="2" t="inlineStr">
        <is>
          <t>Терки</t>
        </is>
      </c>
      <c r="C719" s="2">
        <v>725406661</v>
      </c>
      <c r="D719" s="2" t="inlineStr">
        <is>
          <t>49258</t>
        </is>
      </c>
      <c r="E719" s="2" t="inlineStr">
        <is>
          <t>2048047924956</t>
        </is>
      </c>
      <c r="F719" s="2">
        <v>5</v>
      </c>
      <c r="G719" s="2">
        <v>0</v>
      </c>
      <c r="H719" s="2">
        <v>999</v>
      </c>
      <c r="I719" s="2" t="inlineStr">
        <is>
          <t>5682</t>
        </is>
      </c>
      <c r="J719" s="4"/>
      <c r="K719" s="2">
        <v>79</v>
      </c>
      <c r="L719" s="6"/>
      <c r="M719" s="2" t="str">
        <f>IF(J719="",ROUND(I719*(1-IF(ISBLANK(L719),K719,L719)/100),2),ROUND(J719*(1-IF(ISBLANK(L719),K719,L719)/100),2))</f>
      </c>
      <c r="N719" s="7" t="str">
        <f>IF(NOT(AND(J719="",L719="")),IF(OR(AND(L719&lt;&gt;"",NOT(ISNUMBER(L719))),IFERROR(MOD(L719,1),1)&gt;0,AND(ISNUMBER(L719),OR(L719&lt;0,L719&gt;95))),"Введите целое число от 0 до 95",IF(OR(AND(J719&lt;&gt;"",NOT(ISNUMBER(J719))),IFERROR(MOD(J719,1),1)&gt;0,AND(ISNUMBER(J719),OR(J719&lt;50,J719&gt;20000000))),"Введите целое число от 50 до 20000000",IF(NOT(ABS(IFERROR(VALUE(LEFT(M719,FIND("-",M719)-1)),M719)*100-(2500+2000000000)/2)&lt;=ABS(2500-2000000000)/2),"Цена со скидкой должна быть от 25 до 20000000",IF(AND(IFERROR(VALUE(LEFT(M719,FIND("-",M719)-1)),M719)*150&lt;=119321,IFERROR(VALUE(LEFT(M719,FIND("-",M719)-1)),M719)*200&gt;119321),"Вы уменьшили цену в несколько раз, товар попадет в карантин цен",IF(IFERROR(VALUE(LEFT(M719,FIND("-",M719)-1)),M719)*200&lt;=119321,"Не сохранили изменения, чтобы защитить от ошибки — новые цены меньше текущих более чем в 2 раза. Снижайте их постепенно",IF(AND(IFERROR(VALUE(I719),0)=0,ISNUMBER(J719),OR(J719&lt;261,ABS(IFERROR(VALUE(LEFT(M719,FIND("-",M719)-1)),M719))*100&lt;26100)),"Проверьте цену товара. Большинство товаров в выбранной категории стоят дороже 261","")))))),"")</f>
      </c>
    </row>
    <row r="720">
      <c r="A720" s="2" t="inlineStr">
        <is>
          <t/>
        </is>
      </c>
      <c r="B720" s="2" t="inlineStr">
        <is>
          <t>Наборы кухонных принадлежностей</t>
        </is>
      </c>
      <c r="C720" s="2">
        <v>725368731</v>
      </c>
      <c r="D720" s="2" t="inlineStr">
        <is>
          <t>513415</t>
        </is>
      </c>
      <c r="E720" s="2" t="inlineStr">
        <is>
          <t>2048047560024</t>
        </is>
      </c>
      <c r="F720" s="2">
        <v>0</v>
      </c>
      <c r="G720" s="2">
        <v>41</v>
      </c>
      <c r="H720" s="2" t="inlineStr">
        <is>
          <t/>
        </is>
      </c>
      <c r="I720" s="2" t="inlineStr">
        <is>
          <t>3408</t>
        </is>
      </c>
      <c r="J720" s="4"/>
      <c r="K720" s="2">
        <v>78</v>
      </c>
      <c r="L720" s="6"/>
      <c r="M720" s="2" t="str">
        <f>IF(J720="",ROUND(I720*(1-IF(ISBLANK(L720),K720,L720)/100),2),ROUND(J720*(1-IF(ISBLANK(L720),K720,L720)/100),2))</f>
      </c>
      <c r="N720" s="7" t="str">
        <f>IF(NOT(AND(J720="",L720="")),IF(OR(AND(L720&lt;&gt;"",NOT(ISNUMBER(L720))),IFERROR(MOD(L720,1),1)&gt;0,AND(ISNUMBER(L720),OR(L720&lt;0,L720&gt;95))),"Введите целое число от 0 до 95",IF(OR(AND(J720&lt;&gt;"",NOT(ISNUMBER(J720))),IFERROR(MOD(J720,1),1)&gt;0,AND(ISNUMBER(J720),OR(J720&lt;50,J720&gt;20000000))),"Введите целое число от 50 до 20000000",IF(NOT(ABS(IFERROR(VALUE(LEFT(M720,FIND("-",M720)-1)),M720)*100-(2500+2000000000)/2)&lt;=ABS(2500-2000000000)/2),"Цена со скидкой должна быть от 25 до 20000000",IF(AND(IFERROR(VALUE(LEFT(M720,FIND("-",M720)-1)),M720)*150&lt;=74975,IFERROR(VALUE(LEFT(M720,FIND("-",M720)-1)),M720)*200&gt;74975),"Вы уменьшили цену в несколько раз, товар попадет в карантин цен",IF(IFERROR(VALUE(LEFT(M720,FIND("-",M720)-1)),M720)*200&lt;=74975,"Не сохранили изменения, чтобы защитить от ошибки — новые цены меньше текущих более чем в 2 раза. Снижайте их постепенно",IF(AND(IFERROR(VALUE(I720),0)=0,ISNUMBER(J720),OR(J720&lt;396,ABS(IFERROR(VALUE(LEFT(M720,FIND("-",M720)-1)),M720))*100&lt;39600)),"Проверьте цену товара. Большинство товаров в выбранной категории стоят дороже 396","")))))),"")</f>
      </c>
    </row>
    <row r="721">
      <c r="A721" s="2" t="inlineStr">
        <is>
          <t/>
        </is>
      </c>
      <c r="B721" s="2" t="inlineStr">
        <is>
          <t>Терки</t>
        </is>
      </c>
      <c r="C721" s="2">
        <v>725406659</v>
      </c>
      <c r="D721" s="2" t="inlineStr">
        <is>
          <t>93599</t>
        </is>
      </c>
      <c r="E721" s="2" t="inlineStr">
        <is>
          <t>2048047924932</t>
        </is>
      </c>
      <c r="F721" s="2">
        <v>0</v>
      </c>
      <c r="G721" s="2">
        <v>0</v>
      </c>
      <c r="H721" s="2" t="inlineStr">
        <is>
          <t/>
        </is>
      </c>
      <c r="I721" s="2" t="inlineStr">
        <is>
          <t>6312</t>
        </is>
      </c>
      <c r="J721" s="4"/>
      <c r="K721" s="2">
        <v>65</v>
      </c>
      <c r="L721" s="6"/>
      <c r="M721" s="2" t="str">
        <f>IF(J721="",ROUND(I721*(1-IF(ISBLANK(L721),K721,L721)/100),2),ROUND(J721*(1-IF(ISBLANK(L721),K721,L721)/100),2))</f>
      </c>
      <c r="N721" s="7" t="str">
        <f>IF(NOT(AND(J721="",L721="")),IF(OR(AND(L721&lt;&gt;"",NOT(ISNUMBER(L721))),IFERROR(MOD(L721,1),1)&gt;0,AND(ISNUMBER(L721),OR(L721&lt;0,L721&gt;95))),"Введите целое число от 0 до 95",IF(OR(AND(J721&lt;&gt;"",NOT(ISNUMBER(J721))),IFERROR(MOD(J721,1),1)&gt;0,AND(ISNUMBER(J721),OR(J721&lt;50,J721&gt;20000000))),"Введите целое число от 50 до 20000000",IF(NOT(ABS(IFERROR(VALUE(LEFT(M721,FIND("-",M721)-1)),M721)*100-(2500+2000000000)/2)&lt;=ABS(2500-2000000000)/2),"Цена со скидкой должна быть от 25 до 20000000",IF(AND(IFERROR(VALUE(LEFT(M721,FIND("-",M721)-1)),M721)*150&lt;=220919,IFERROR(VALUE(LEFT(M721,FIND("-",M721)-1)),M721)*200&gt;220919),"Вы уменьшили цену в несколько раз, товар попадет в карантин цен",IF(IFERROR(VALUE(LEFT(M721,FIND("-",M721)-1)),M721)*200&lt;=220919,"Не сохранили изменения, чтобы защитить от ошибки — новые цены меньше текущих более чем в 2 раза. Снижайте их постепенно",IF(AND(IFERROR(VALUE(I721),0)=0,ISNUMBER(J721),OR(J721&lt;261,ABS(IFERROR(VALUE(LEFT(M721,FIND("-",M721)-1)),M721))*100&lt;26100)),"Проверьте цену товара. Большинство товаров в выбранной категории стоят дороже 261","")))))),"")</f>
      </c>
    </row>
    <row r="722">
      <c r="A722" s="2" t="inlineStr">
        <is>
          <t/>
        </is>
      </c>
      <c r="B722" s="2" t="inlineStr">
        <is>
          <t>Подставки для ножей</t>
        </is>
      </c>
      <c r="C722" s="2">
        <v>725414501</v>
      </c>
      <c r="D722" s="2" t="inlineStr">
        <is>
          <t>281766</t>
        </is>
      </c>
      <c r="E722" s="2" t="inlineStr">
        <is>
          <t>2048047990135</t>
        </is>
      </c>
      <c r="F722" s="2">
        <v>8</v>
      </c>
      <c r="G722" s="2">
        <v>0</v>
      </c>
      <c r="H722" s="2">
        <v>999</v>
      </c>
      <c r="I722" s="2" t="inlineStr">
        <is>
          <t>4352</t>
        </is>
      </c>
      <c r="J722" s="4"/>
      <c r="K722" s="2">
        <v>80</v>
      </c>
      <c r="L722" s="6"/>
      <c r="M722" s="2" t="str">
        <f>IF(J722="",ROUND(I722*(1-IF(ISBLANK(L722),K722,L722)/100),2),ROUND(J722*(1-IF(ISBLANK(L722),K722,L722)/100),2))</f>
      </c>
      <c r="N722" s="7" t="str">
        <f>IF(NOT(AND(J722="",L722="")),IF(OR(AND(L722&lt;&gt;"",NOT(ISNUMBER(L722))),IFERROR(MOD(L722,1),1)&gt;0,AND(ISNUMBER(L722),OR(L722&lt;0,L722&gt;95))),"Введите целое число от 0 до 95",IF(OR(AND(J722&lt;&gt;"",NOT(ISNUMBER(J722))),IFERROR(MOD(J722,1),1)&gt;0,AND(ISNUMBER(J722),OR(J722&lt;50,J722&gt;20000000))),"Введите целое число от 50 до 20000000",IF(NOT(ABS(IFERROR(VALUE(LEFT(M722,FIND("-",M722)-1)),M722)*100-(2500+2000000000)/2)&lt;=ABS(2500-2000000000)/2),"Цена со скидкой должна быть от 25 до 20000000",IF(AND(IFERROR(VALUE(LEFT(M722,FIND("-",M722)-1)),M722)*150&lt;=87039,IFERROR(VALUE(LEFT(M722,FIND("-",M722)-1)),M722)*200&gt;87039),"Вы уменьшили цену в несколько раз, товар попадет в карантин цен",IF(IFERROR(VALUE(LEFT(M722,FIND("-",M722)-1)),M722)*200&lt;=87039,"Не сохранили изменения, чтобы защитить от ошибки — новые цены меньше текущих более чем в 2 раза. Снижайте их постепенно",IF(AND(IFERROR(VALUE(I722),0)=0,ISNUMBER(J722),OR(J722&lt;488,ABS(IFERROR(VALUE(LEFT(M722,FIND("-",M722)-1)),M722))*100&lt;48800)),"Проверьте цену товара. Большинство товаров в выбранной категории стоят дороже 488","")))))),"")</f>
      </c>
    </row>
    <row r="723">
      <c r="A723" s="2" t="inlineStr">
        <is>
          <t/>
        </is>
      </c>
      <c r="B723" s="2" t="inlineStr">
        <is>
          <t>Подставки для ножей</t>
        </is>
      </c>
      <c r="C723" s="2">
        <v>725414497</v>
      </c>
      <c r="D723" s="2" t="inlineStr">
        <is>
          <t>52022</t>
        </is>
      </c>
      <c r="E723" s="2" t="inlineStr">
        <is>
          <t>2048047990081</t>
        </is>
      </c>
      <c r="F723" s="2">
        <v>19</v>
      </c>
      <c r="G723" s="2">
        <v>0</v>
      </c>
      <c r="H723" s="2">
        <v>999</v>
      </c>
      <c r="I723" s="2" t="inlineStr">
        <is>
          <t>2880</t>
        </is>
      </c>
      <c r="J723" s="4"/>
      <c r="K723" s="2">
        <v>82</v>
      </c>
      <c r="L723" s="6"/>
      <c r="M723" s="2" t="str">
        <f>IF(J723="",ROUND(I723*(1-IF(ISBLANK(L723),K723,L723)/100),2),ROUND(J723*(1-IF(ISBLANK(L723),K723,L723)/100),2))</f>
      </c>
      <c r="N723" s="7" t="str">
        <f>IF(NOT(AND(J723="",L723="")),IF(OR(AND(L723&lt;&gt;"",NOT(ISNUMBER(L723))),IFERROR(MOD(L723,1),1)&gt;0,AND(ISNUMBER(L723),OR(L723&lt;0,L723&gt;95))),"Введите целое число от 0 до 95",IF(OR(AND(J723&lt;&gt;"",NOT(ISNUMBER(J723))),IFERROR(MOD(J723,1),1)&gt;0,AND(ISNUMBER(J723),OR(J723&lt;50,J723&gt;20000000))),"Введите целое число от 50 до 20000000",IF(NOT(ABS(IFERROR(VALUE(LEFT(M723,FIND("-",M723)-1)),M723)*100-(2500+2000000000)/2)&lt;=ABS(2500-2000000000)/2),"Цена со скидкой должна быть от 25 до 20000000",IF(AND(IFERROR(VALUE(LEFT(M723,FIND("-",M723)-1)),M723)*150&lt;=51840,IFERROR(VALUE(LEFT(M723,FIND("-",M723)-1)),M723)*200&gt;51840),"Вы уменьшили цену в несколько раз, товар попадет в карантин цен",IF(IFERROR(VALUE(LEFT(M723,FIND("-",M723)-1)),M723)*200&lt;=51840,"Не сохранили изменения, чтобы защитить от ошибки — новые цены меньше текущих более чем в 2 раза. Снижайте их постепенно",IF(AND(IFERROR(VALUE(I723),0)=0,ISNUMBER(J723),OR(J723&lt;488,ABS(IFERROR(VALUE(LEFT(M723,FIND("-",M723)-1)),M723))*100&lt;48800)),"Проверьте цену товара. Большинство товаров в выбранной категории стоят дороже 488","")))))),"")</f>
      </c>
    </row>
    <row r="724">
      <c r="A724" s="2" t="inlineStr">
        <is>
          <t/>
        </is>
      </c>
      <c r="B724" s="2" t="inlineStr">
        <is>
          <t>Подставки для ножей</t>
        </is>
      </c>
      <c r="C724" s="2">
        <v>725414499</v>
      </c>
      <c r="D724" s="2" t="inlineStr">
        <is>
          <t>522815</t>
        </is>
      </c>
      <c r="E724" s="2" t="inlineStr">
        <is>
          <t>2048047990111</t>
        </is>
      </c>
      <c r="F724" s="2">
        <v>14</v>
      </c>
      <c r="G724" s="2">
        <v>0</v>
      </c>
      <c r="H724" s="2">
        <v>999</v>
      </c>
      <c r="I724" s="2" t="inlineStr">
        <is>
          <t>2928</t>
        </is>
      </c>
      <c r="J724" s="4"/>
      <c r="K724" s="2">
        <v>79</v>
      </c>
      <c r="L724" s="6"/>
      <c r="M724" s="2" t="str">
        <f>IF(J724="",ROUND(I724*(1-IF(ISBLANK(L724),K724,L724)/100),2),ROUND(J724*(1-IF(ISBLANK(L724),K724,L724)/100),2))</f>
      </c>
      <c r="N724" s="7" t="str">
        <f>IF(NOT(AND(J724="",L724="")),IF(OR(AND(L724&lt;&gt;"",NOT(ISNUMBER(L724))),IFERROR(MOD(L724,1),1)&gt;0,AND(ISNUMBER(L724),OR(L724&lt;0,L724&gt;95))),"Введите целое число от 0 до 95",IF(OR(AND(J724&lt;&gt;"",NOT(ISNUMBER(J724))),IFERROR(MOD(J724,1),1)&gt;0,AND(ISNUMBER(J724),OR(J724&lt;50,J724&gt;20000000))),"Введите целое число от 50 до 20000000",IF(NOT(ABS(IFERROR(VALUE(LEFT(M724,FIND("-",M724)-1)),M724)*100-(2500+2000000000)/2)&lt;=ABS(2500-2000000000)/2),"Цена со скидкой должна быть от 25 до 20000000",IF(AND(IFERROR(VALUE(LEFT(M724,FIND("-",M724)-1)),M724)*150&lt;=61487,IFERROR(VALUE(LEFT(M724,FIND("-",M724)-1)),M724)*200&gt;61487),"Вы уменьшили цену в несколько раз, товар попадет в карантин цен",IF(IFERROR(VALUE(LEFT(M724,FIND("-",M724)-1)),M724)*200&lt;=61487,"Не сохранили изменения, чтобы защитить от ошибки — новые цены меньше текущих более чем в 2 раза. Снижайте их постепенно",IF(AND(IFERROR(VALUE(I724),0)=0,ISNUMBER(J724),OR(J724&lt;488,ABS(IFERROR(VALUE(LEFT(M724,FIND("-",M724)-1)),M724))*100&lt;48800)),"Проверьте цену товара. Большинство товаров в выбранной категории стоят дороже 488","")))))),"")</f>
      </c>
    </row>
    <row r="725">
      <c r="A725" s="2" t="inlineStr">
        <is>
          <t/>
        </is>
      </c>
      <c r="B725" s="2" t="inlineStr">
        <is>
          <t>Подставки для ножей</t>
        </is>
      </c>
      <c r="C725" s="2">
        <v>725414495</v>
      </c>
      <c r="D725" s="2" t="inlineStr">
        <is>
          <t>523606</t>
        </is>
      </c>
      <c r="E725" s="2" t="inlineStr">
        <is>
          <t>2048047990067</t>
        </is>
      </c>
      <c r="F725" s="2">
        <v>17</v>
      </c>
      <c r="G725" s="2">
        <v>0</v>
      </c>
      <c r="H725" s="2">
        <v>999</v>
      </c>
      <c r="I725" s="2" t="inlineStr">
        <is>
          <t>2520</t>
        </is>
      </c>
      <c r="J725" s="4"/>
      <c r="K725" s="2">
        <v>81</v>
      </c>
      <c r="L725" s="6"/>
      <c r="M725" s="2" t="str">
        <f>IF(J725="",ROUND(I725*(1-IF(ISBLANK(L725),K725,L725)/100),2),ROUND(J725*(1-IF(ISBLANK(L725),K725,L725)/100),2))</f>
      </c>
      <c r="N725" s="7" t="str">
        <f>IF(NOT(AND(J725="",L725="")),IF(OR(AND(L725&lt;&gt;"",NOT(ISNUMBER(L725))),IFERROR(MOD(L725,1),1)&gt;0,AND(ISNUMBER(L725),OR(L725&lt;0,L725&gt;95))),"Введите целое число от 0 до 95",IF(OR(AND(J725&lt;&gt;"",NOT(ISNUMBER(J725))),IFERROR(MOD(J725,1),1)&gt;0,AND(ISNUMBER(J725),OR(J725&lt;50,J725&gt;20000000))),"Введите целое число от 50 до 20000000",IF(NOT(ABS(IFERROR(VALUE(LEFT(M725,FIND("-",M725)-1)),M725)*100-(2500+2000000000)/2)&lt;=ABS(2500-2000000000)/2),"Цена со скидкой должна быть от 25 до 20000000",IF(AND(IFERROR(VALUE(LEFT(M725,FIND("-",M725)-1)),M725)*150&lt;=47879,IFERROR(VALUE(LEFT(M725,FIND("-",M725)-1)),M725)*200&gt;47879),"Вы уменьшили цену в несколько раз, товар попадет в карантин цен",IF(IFERROR(VALUE(LEFT(M725,FIND("-",M725)-1)),M725)*200&lt;=47879,"Не сохранили изменения, чтобы защитить от ошибки — новые цены меньше текущих более чем в 2 раза. Снижайте их постепенно",IF(AND(IFERROR(VALUE(I725),0)=0,ISNUMBER(J725),OR(J725&lt;488,ABS(IFERROR(VALUE(LEFT(M725,FIND("-",M725)-1)),M725))*100&lt;48800)),"Проверьте цену товара. Большинство товаров в выбранной категории стоят дороже 488","")))))),"")</f>
      </c>
    </row>
    <row r="726">
      <c r="A726" s="2" t="inlineStr">
        <is>
          <t/>
        </is>
      </c>
      <c r="B726" s="2" t="inlineStr">
        <is>
          <t>Подставки для ножей</t>
        </is>
      </c>
      <c r="C726" s="2">
        <v>725414500</v>
      </c>
      <c r="D726" s="2" t="inlineStr">
        <is>
          <t>52883</t>
        </is>
      </c>
      <c r="E726" s="2" t="inlineStr">
        <is>
          <t>2048047990128</t>
        </is>
      </c>
      <c r="F726" s="2">
        <v>0</v>
      </c>
      <c r="G726" s="2">
        <v>0</v>
      </c>
      <c r="H726" s="2" t="inlineStr">
        <is>
          <t/>
        </is>
      </c>
      <c r="I726" s="2" t="inlineStr">
        <is>
          <t>4104</t>
        </is>
      </c>
      <c r="J726" s="4"/>
      <c r="K726" s="2">
        <v>78</v>
      </c>
      <c r="L726" s="6"/>
      <c r="M726" s="2" t="str">
        <f>IF(J726="",ROUND(I726*(1-IF(ISBLANK(L726),K726,L726)/100),2),ROUND(J726*(1-IF(ISBLANK(L726),K726,L726)/100),2))</f>
      </c>
      <c r="N726" s="7" t="str">
        <f>IF(NOT(AND(J726="",L726="")),IF(OR(AND(L726&lt;&gt;"",NOT(ISNUMBER(L726))),IFERROR(MOD(L726,1),1)&gt;0,AND(ISNUMBER(L726),OR(L726&lt;0,L726&gt;95))),"Введите целое число от 0 до 95",IF(OR(AND(J726&lt;&gt;"",NOT(ISNUMBER(J726))),IFERROR(MOD(J726,1),1)&gt;0,AND(ISNUMBER(J726),OR(J726&lt;50,J726&gt;20000000))),"Введите целое число от 50 до 20000000",IF(NOT(ABS(IFERROR(VALUE(LEFT(M726,FIND("-",M726)-1)),M726)*100-(2500+2000000000)/2)&lt;=ABS(2500-2000000000)/2),"Цена со скидкой должна быть от 25 до 20000000",IF(AND(IFERROR(VALUE(LEFT(M726,FIND("-",M726)-1)),M726)*150&lt;=90287,IFERROR(VALUE(LEFT(M726,FIND("-",M726)-1)),M726)*200&gt;90287),"Вы уменьшили цену в несколько раз, товар попадет в карантин цен",IF(IFERROR(VALUE(LEFT(M726,FIND("-",M726)-1)),M726)*200&lt;=90287,"Не сохранили изменения, чтобы защитить от ошибки — новые цены меньше текущих более чем в 2 раза. Снижайте их постепенно",IF(AND(IFERROR(VALUE(I726),0)=0,ISNUMBER(J726),OR(J726&lt;488,ABS(IFERROR(VALUE(LEFT(M726,FIND("-",M726)-1)),M726))*100&lt;48800)),"Проверьте цену товара. Большинство товаров в выбранной категории стоят дороже 488","")))))),"")</f>
      </c>
    </row>
    <row r="727">
      <c r="A727" s="2" t="inlineStr">
        <is>
          <t/>
        </is>
      </c>
      <c r="B727" s="2" t="inlineStr">
        <is>
          <t>Подставки для ножей</t>
        </is>
      </c>
      <c r="C727" s="2">
        <v>725414496</v>
      </c>
      <c r="D727" s="2" t="inlineStr">
        <is>
          <t>523605</t>
        </is>
      </c>
      <c r="E727" s="2" t="inlineStr">
        <is>
          <t>2048047990074</t>
        </is>
      </c>
      <c r="F727" s="2">
        <v>12</v>
      </c>
      <c r="G727" s="2">
        <v>0</v>
      </c>
      <c r="H727" s="2">
        <v>999</v>
      </c>
      <c r="I727" s="2" t="inlineStr">
        <is>
          <t>2712</t>
        </is>
      </c>
      <c r="J727" s="4"/>
      <c r="K727" s="2">
        <v>80</v>
      </c>
      <c r="L727" s="6"/>
      <c r="M727" s="2" t="str">
        <f>IF(J727="",ROUND(I727*(1-IF(ISBLANK(L727),K727,L727)/100),2),ROUND(J727*(1-IF(ISBLANK(L727),K727,L727)/100),2))</f>
      </c>
      <c r="N727" s="7" t="str">
        <f>IF(NOT(AND(J727="",L727="")),IF(OR(AND(L727&lt;&gt;"",NOT(ISNUMBER(L727))),IFERROR(MOD(L727,1),1)&gt;0,AND(ISNUMBER(L727),OR(L727&lt;0,L727&gt;95))),"Введите целое число от 0 до 95",IF(OR(AND(J727&lt;&gt;"",NOT(ISNUMBER(J727))),IFERROR(MOD(J727,1),1)&gt;0,AND(ISNUMBER(J727),OR(J727&lt;50,J727&gt;20000000))),"Введите целое число от 50 до 20000000",IF(NOT(ABS(IFERROR(VALUE(LEFT(M727,FIND("-",M727)-1)),M727)*100-(2500+2000000000)/2)&lt;=ABS(2500-2000000000)/2),"Цена со скидкой должна быть от 25 до 20000000",IF(AND(IFERROR(VALUE(LEFT(M727,FIND("-",M727)-1)),M727)*150&lt;=54239,IFERROR(VALUE(LEFT(M727,FIND("-",M727)-1)),M727)*200&gt;54239),"Вы уменьшили цену в несколько раз, товар попадет в карантин цен",IF(IFERROR(VALUE(LEFT(M727,FIND("-",M727)-1)),M727)*200&lt;=54239,"Не сохранили изменения, чтобы защитить от ошибки — новые цены меньше текущих более чем в 2 раза. Снижайте их постепенно",IF(AND(IFERROR(VALUE(I727),0)=0,ISNUMBER(J727),OR(J727&lt;488,ABS(IFERROR(VALUE(LEFT(M727,FIND("-",M727)-1)),M727))*100&lt;48800)),"Проверьте цену товара. Большинство товаров в выбранной категории стоят дороже 488","")))))),"")</f>
      </c>
    </row>
    <row r="728">
      <c r="A728" s="2" t="inlineStr">
        <is>
          <t/>
        </is>
      </c>
      <c r="B728" s="2" t="inlineStr">
        <is>
          <t>Разделочные доски</t>
        </is>
      </c>
      <c r="C728" s="2">
        <v>600652774</v>
      </c>
      <c r="D728" s="2" t="inlineStr">
        <is>
          <t>93826</t>
        </is>
      </c>
      <c r="E728" s="2" t="inlineStr">
        <is>
          <t>2047129195154</t>
        </is>
      </c>
      <c r="F728" s="2">
        <v>0</v>
      </c>
      <c r="G728" s="2">
        <v>0</v>
      </c>
      <c r="H728" s="2" t="inlineStr">
        <is>
          <t/>
        </is>
      </c>
      <c r="I728" s="2" t="inlineStr">
        <is>
          <t>7946</t>
        </is>
      </c>
      <c r="J728" s="4"/>
      <c r="K728" s="2">
        <v>65</v>
      </c>
      <c r="L728" s="6"/>
      <c r="M728" s="2" t="str">
        <f>IF(J728="",ROUND(I728*(1-IF(ISBLANK(L728),K728,L728)/100),2),ROUND(J728*(1-IF(ISBLANK(L728),K728,L728)/100),2))</f>
      </c>
      <c r="N728" s="7" t="str">
        <f>IF(NOT(AND(J728="",L728="")),IF(OR(AND(L728&lt;&gt;"",NOT(ISNUMBER(L728))),IFERROR(MOD(L728,1),1)&gt;0,AND(ISNUMBER(L728),OR(L728&lt;0,L728&gt;95))),"Введите целое число от 0 до 95",IF(OR(AND(J728&lt;&gt;"",NOT(ISNUMBER(J728))),IFERROR(MOD(J728,1),1)&gt;0,AND(ISNUMBER(J728),OR(J728&lt;50,J728&gt;20000000))),"Введите целое число от 50 до 20000000",IF(NOT(ABS(IFERROR(VALUE(LEFT(M728,FIND("-",M728)-1)),M728)*100-(2500+2000000000)/2)&lt;=ABS(2500-2000000000)/2),"Цена со скидкой должна быть от 25 до 20000000",IF(AND(IFERROR(VALUE(LEFT(M728,FIND("-",M728)-1)),M728)*150&lt;=278110,IFERROR(VALUE(LEFT(M728,FIND("-",M728)-1)),M728)*200&gt;278110),"Вы уменьшили цену в несколько раз, товар попадет в карантин цен",IF(IFERROR(VALUE(LEFT(M728,FIND("-",M728)-1)),M728)*200&lt;=278110,"Не сохранили изменения, чтобы защитить от ошибки — новые цены меньше текущих более чем в 2 раза. Снижайте их постепенно",IF(AND(IFERROR(VALUE(I728),0)=0,ISNUMBER(J728),OR(J728&lt;341,ABS(IFERROR(VALUE(LEFT(M728,FIND("-",M728)-1)),M728))*100&lt;34100)),"Проверьте цену товара. Большинство товаров в выбранной категории стоят дороже 341","")))))),"")</f>
      </c>
    </row>
    <row r="729">
      <c r="A729" s="2" t="inlineStr">
        <is>
          <t/>
        </is>
      </c>
      <c r="B729" s="2" t="inlineStr">
        <is>
          <t>Терки</t>
        </is>
      </c>
      <c r="C729" s="2">
        <v>725406657</v>
      </c>
      <c r="D729" s="2" t="inlineStr">
        <is>
          <t>820223</t>
        </is>
      </c>
      <c r="E729" s="2" t="inlineStr">
        <is>
          <t>2048047924901</t>
        </is>
      </c>
      <c r="F729" s="2">
        <v>0</v>
      </c>
      <c r="G729" s="2">
        <v>0</v>
      </c>
      <c r="H729" s="2" t="inlineStr">
        <is>
          <t/>
        </is>
      </c>
      <c r="I729" s="2" t="inlineStr">
        <is>
          <t>11389</t>
        </is>
      </c>
      <c r="J729" s="4"/>
      <c r="K729" s="2">
        <v>65</v>
      </c>
      <c r="L729" s="6"/>
      <c r="M729" s="2" t="str">
        <f>IF(J729="",ROUND(I729*(1-IF(ISBLANK(L729),K729,L729)/100),2),ROUND(J729*(1-IF(ISBLANK(L729),K729,L729)/100),2))</f>
      </c>
      <c r="N729" s="7" t="str">
        <f>IF(NOT(AND(J729="",L729="")),IF(OR(AND(L729&lt;&gt;"",NOT(ISNUMBER(L729))),IFERROR(MOD(L729,1),1)&gt;0,AND(ISNUMBER(L729),OR(L729&lt;0,L729&gt;95))),"Введите целое число от 0 до 95",IF(OR(AND(J729&lt;&gt;"",NOT(ISNUMBER(J729))),IFERROR(MOD(J729,1),1)&gt;0,AND(ISNUMBER(J729),OR(J729&lt;50,J729&gt;20000000))),"Введите целое число от 50 до 20000000",IF(NOT(ABS(IFERROR(VALUE(LEFT(M729,FIND("-",M729)-1)),M729)*100-(2500+2000000000)/2)&lt;=ABS(2500-2000000000)/2),"Цена со скидкой должна быть от 25 до 20000000",IF(AND(IFERROR(VALUE(LEFT(M729,FIND("-",M729)-1)),M729)*150&lt;=398614,IFERROR(VALUE(LEFT(M729,FIND("-",M729)-1)),M729)*200&gt;398614),"Вы уменьшили цену в несколько раз, товар попадет в карантин цен",IF(IFERROR(VALUE(LEFT(M729,FIND("-",M729)-1)),M729)*200&lt;=398614,"Не сохранили изменения, чтобы защитить от ошибки — новые цены меньше текущих более чем в 2 раза. Снижайте их постепенно",IF(AND(IFERROR(VALUE(I729),0)=0,ISNUMBER(J729),OR(J729&lt;261,ABS(IFERROR(VALUE(LEFT(M729,FIND("-",M729)-1)),M729))*100&lt;26100)),"Проверьте цену товара. Большинство товаров в выбранной категории стоят дороже 261","")))))),"")</f>
      </c>
    </row>
    <row r="730">
      <c r="A730" s="2" t="inlineStr">
        <is>
          <t/>
        </is>
      </c>
      <c r="B730" s="2" t="inlineStr">
        <is>
          <t>Разделочные доски</t>
        </is>
      </c>
      <c r="C730" s="2">
        <v>600652784</v>
      </c>
      <c r="D730" s="2" t="inlineStr">
        <is>
          <t>93381</t>
        </is>
      </c>
      <c r="E730" s="2" t="inlineStr">
        <is>
          <t>2047129195147</t>
        </is>
      </c>
      <c r="F730" s="2">
        <v>0</v>
      </c>
      <c r="G730" s="2">
        <v>0</v>
      </c>
      <c r="H730" s="2" t="inlineStr">
        <is>
          <t/>
        </is>
      </c>
      <c r="I730" s="2" t="inlineStr">
        <is>
          <t>14893</t>
        </is>
      </c>
      <c r="J730" s="4"/>
      <c r="K730" s="2">
        <v>65</v>
      </c>
      <c r="L730" s="6"/>
      <c r="M730" s="2" t="str">
        <f>IF(J730="",ROUND(I730*(1-IF(ISBLANK(L730),K730,L730)/100),2),ROUND(J730*(1-IF(ISBLANK(L730),K730,L730)/100),2))</f>
      </c>
      <c r="N730" s="7" t="str">
        <f>IF(NOT(AND(J730="",L730="")),IF(OR(AND(L730&lt;&gt;"",NOT(ISNUMBER(L730))),IFERROR(MOD(L730,1),1)&gt;0,AND(ISNUMBER(L730),OR(L730&lt;0,L730&gt;95))),"Введите целое число от 0 до 95",IF(OR(AND(J730&lt;&gt;"",NOT(ISNUMBER(J730))),IFERROR(MOD(J730,1),1)&gt;0,AND(ISNUMBER(J730),OR(J730&lt;50,J730&gt;20000000))),"Введите целое число от 50 до 20000000",IF(NOT(ABS(IFERROR(VALUE(LEFT(M730,FIND("-",M730)-1)),M730)*100-(2500+2000000000)/2)&lt;=ABS(2500-2000000000)/2),"Цена со скидкой должна быть от 25 до 20000000",IF(AND(IFERROR(VALUE(LEFT(M730,FIND("-",M730)-1)),M730)*150&lt;=521254,IFERROR(VALUE(LEFT(M730,FIND("-",M730)-1)),M730)*200&gt;521254),"Вы уменьшили цену в несколько раз, товар попадет в карантин цен",IF(IFERROR(VALUE(LEFT(M730,FIND("-",M730)-1)),M730)*200&lt;=521254,"Не сохранили изменения, чтобы защитить от ошибки — новые цены меньше текущих более чем в 2 раза. Снижайте их постепенно",IF(AND(IFERROR(VALUE(I730),0)=0,ISNUMBER(J730),OR(J730&lt;341,ABS(IFERROR(VALUE(LEFT(M730,FIND("-",M730)-1)),M730))*100&lt;34100)),"Проверьте цену товара. Большинство товаров в выбранной категории стоят дороже 341","")))))),"")</f>
      </c>
    </row>
    <row r="731">
      <c r="A731" s="2" t="inlineStr">
        <is>
          <t/>
        </is>
      </c>
      <c r="B731" s="2" t="inlineStr">
        <is>
          <t>Подставки для ножей</t>
        </is>
      </c>
      <c r="C731" s="2">
        <v>725414498</v>
      </c>
      <c r="D731" s="2" t="inlineStr">
        <is>
          <t>52882</t>
        </is>
      </c>
      <c r="E731" s="2" t="inlineStr">
        <is>
          <t>2048047990104</t>
        </is>
      </c>
      <c r="F731" s="2">
        <v>11</v>
      </c>
      <c r="G731" s="2">
        <v>0</v>
      </c>
      <c r="H731" s="2">
        <v>999</v>
      </c>
      <c r="I731" s="2" t="inlineStr">
        <is>
          <t>3248</t>
        </is>
      </c>
      <c r="J731" s="4"/>
      <c r="K731" s="2">
        <v>80</v>
      </c>
      <c r="L731" s="6"/>
      <c r="M731" s="2" t="str">
        <f>IF(J731="",ROUND(I731*(1-IF(ISBLANK(L731),K731,L731)/100),2),ROUND(J731*(1-IF(ISBLANK(L731),K731,L731)/100),2))</f>
      </c>
      <c r="N731" s="7" t="str">
        <f>IF(NOT(AND(J731="",L731="")),IF(OR(AND(L731&lt;&gt;"",NOT(ISNUMBER(L731))),IFERROR(MOD(L731,1),1)&gt;0,AND(ISNUMBER(L731),OR(L731&lt;0,L731&gt;95))),"Введите целое число от 0 до 95",IF(OR(AND(J731&lt;&gt;"",NOT(ISNUMBER(J731))),IFERROR(MOD(J731,1),1)&gt;0,AND(ISNUMBER(J731),OR(J731&lt;50,J731&gt;20000000))),"Введите целое число от 50 до 20000000",IF(NOT(ABS(IFERROR(VALUE(LEFT(M731,FIND("-",M731)-1)),M731)*100-(2500+2000000000)/2)&lt;=ABS(2500-2000000000)/2),"Цена со скидкой должна быть от 25 до 20000000",IF(AND(IFERROR(VALUE(LEFT(M731,FIND("-",M731)-1)),M731)*150&lt;=64959,IFERROR(VALUE(LEFT(M731,FIND("-",M731)-1)),M731)*200&gt;64959),"Вы уменьшили цену в несколько раз, товар попадет в карантин цен",IF(IFERROR(VALUE(LEFT(M731,FIND("-",M731)-1)),M731)*200&lt;=64959,"Не сохранили изменения, чтобы защитить от ошибки — новые цены меньше текущих более чем в 2 раза. Снижайте их постепенно",IF(AND(IFERROR(VALUE(I731),0)=0,ISNUMBER(J731),OR(J731&lt;488,ABS(IFERROR(VALUE(LEFT(M731,FIND("-",M731)-1)),M731))*100&lt;48800)),"Проверьте цену товара. Большинство товаров в выбранной категории стоят дороже 488","")))))),"")</f>
      </c>
    </row>
    <row r="732">
      <c r="A732" s="2" t="inlineStr">
        <is>
          <t/>
        </is>
      </c>
      <c r="B732" s="2" t="inlineStr">
        <is>
          <t>Разделочные доски</t>
        </is>
      </c>
      <c r="C732" s="2">
        <v>600652778</v>
      </c>
      <c r="D732" s="2" t="inlineStr">
        <is>
          <t>93020</t>
        </is>
      </c>
      <c r="E732" s="2" t="inlineStr">
        <is>
          <t>2047129195086</t>
        </is>
      </c>
      <c r="F732" s="2">
        <v>0</v>
      </c>
      <c r="G732" s="2">
        <v>14</v>
      </c>
      <c r="H732" s="2" t="inlineStr">
        <is>
          <t/>
        </is>
      </c>
      <c r="I732" s="2" t="inlineStr">
        <is>
          <t>8480</t>
        </is>
      </c>
      <c r="J732" s="4"/>
      <c r="K732" s="2">
        <v>78</v>
      </c>
      <c r="L732" s="6"/>
      <c r="M732" s="2" t="str">
        <f>IF(J732="",ROUND(I732*(1-IF(ISBLANK(L732),K732,L732)/100),2),ROUND(J732*(1-IF(ISBLANK(L732),K732,L732)/100),2))</f>
      </c>
      <c r="N732" s="7" t="str">
        <f>IF(NOT(AND(J732="",L732="")),IF(OR(AND(L732&lt;&gt;"",NOT(ISNUMBER(L732))),IFERROR(MOD(L732,1),1)&gt;0,AND(ISNUMBER(L732),OR(L732&lt;0,L732&gt;95))),"Введите целое число от 0 до 95",IF(OR(AND(J732&lt;&gt;"",NOT(ISNUMBER(J732))),IFERROR(MOD(J732,1),1)&gt;0,AND(ISNUMBER(J732),OR(J732&lt;50,J732&gt;20000000))),"Введите целое число от 50 до 20000000",IF(NOT(ABS(IFERROR(VALUE(LEFT(M732,FIND("-",M732)-1)),M732)*100-(2500+2000000000)/2)&lt;=ABS(2500-2000000000)/2),"Цена со скидкой должна быть от 25 до 20000000",IF(AND(IFERROR(VALUE(LEFT(M732,FIND("-",M732)-1)),M732)*150&lt;=186559,IFERROR(VALUE(LEFT(M732,FIND("-",M732)-1)),M732)*200&gt;186559),"Вы уменьшили цену в несколько раз, товар попадет в карантин цен",IF(IFERROR(VALUE(LEFT(M732,FIND("-",M732)-1)),M732)*200&lt;=186559,"Не сохранили изменения, чтобы защитить от ошибки — новые цены меньше текущих более чем в 2 раза. Снижайте их постепенно",IF(AND(IFERROR(VALUE(I732),0)=0,ISNUMBER(J732),OR(J732&lt;341,ABS(IFERROR(VALUE(LEFT(M732,FIND("-",M732)-1)),M732))*100&lt;34100)),"Проверьте цену товара. Большинство товаров в выбранной категории стоят дороже 341","")))))),"")</f>
      </c>
    </row>
    <row r="733">
      <c r="A733" s="2" t="inlineStr">
        <is>
          <t/>
        </is>
      </c>
      <c r="B733" s="2" t="inlineStr">
        <is>
          <t>Разделочные доски</t>
        </is>
      </c>
      <c r="C733" s="2">
        <v>600652779</v>
      </c>
      <c r="D733" s="2" t="inlineStr">
        <is>
          <t>93026</t>
        </is>
      </c>
      <c r="E733" s="2" t="inlineStr">
        <is>
          <t>2047129195093</t>
        </is>
      </c>
      <c r="F733" s="2">
        <v>0</v>
      </c>
      <c r="G733" s="2">
        <v>0</v>
      </c>
      <c r="H733" s="2" t="inlineStr">
        <is>
          <t/>
        </is>
      </c>
      <c r="I733" s="2" t="inlineStr">
        <is>
          <t>13567</t>
        </is>
      </c>
      <c r="J733" s="4"/>
      <c r="K733" s="2">
        <v>77</v>
      </c>
      <c r="L733" s="6"/>
      <c r="M733" s="2" t="str">
        <f>IF(J733="",ROUND(I733*(1-IF(ISBLANK(L733),K733,L733)/100),2),ROUND(J733*(1-IF(ISBLANK(L733),K733,L733)/100),2))</f>
      </c>
      <c r="N733" s="7" t="str">
        <f>IF(NOT(AND(J733="",L733="")),IF(OR(AND(L733&lt;&gt;"",NOT(ISNUMBER(L733))),IFERROR(MOD(L733,1),1)&gt;0,AND(ISNUMBER(L733),OR(L733&lt;0,L733&gt;95))),"Введите целое число от 0 до 95",IF(OR(AND(J733&lt;&gt;"",NOT(ISNUMBER(J733))),IFERROR(MOD(J733,1),1)&gt;0,AND(ISNUMBER(J733),OR(J733&lt;50,J733&gt;20000000))),"Введите целое число от 50 до 20000000",IF(NOT(ABS(IFERROR(VALUE(LEFT(M733,FIND("-",M733)-1)),M733)*100-(2500+2000000000)/2)&lt;=ABS(2500-2000000000)/2),"Цена со скидкой должна быть от 25 до 20000000",IF(AND(IFERROR(VALUE(LEFT(M733,FIND("-",M733)-1)),M733)*150&lt;=312041,IFERROR(VALUE(LEFT(M733,FIND("-",M733)-1)),M733)*200&gt;312041),"Вы уменьшили цену в несколько раз, товар попадет в карантин цен",IF(IFERROR(VALUE(LEFT(M733,FIND("-",M733)-1)),M733)*200&lt;=312041,"Не сохранили изменения, чтобы защитить от ошибки — новые цены меньше текущих более чем в 2 раза. Снижайте их постепенно",IF(AND(IFERROR(VALUE(I733),0)=0,ISNUMBER(J733),OR(J733&lt;341,ABS(IFERROR(VALUE(LEFT(M733,FIND("-",M733)-1)),M733))*100&lt;34100)),"Проверьте цену товара. Большинство товаров в выбранной категории стоят дороже 341","")))))),"")</f>
      </c>
    </row>
    <row r="734">
      <c r="A734" s="2" t="inlineStr">
        <is>
          <t/>
        </is>
      </c>
      <c r="B734" s="2" t="inlineStr">
        <is>
          <t>Скатерти</t>
        </is>
      </c>
      <c r="C734" s="2">
        <v>619525817</v>
      </c>
      <c r="D734" s="2" t="inlineStr">
        <is>
          <t>434607</t>
        </is>
      </c>
      <c r="E734" s="2" t="inlineStr">
        <is>
          <t>2047325447156</t>
        </is>
      </c>
      <c r="F734" s="2">
        <v>0</v>
      </c>
      <c r="G734" s="2">
        <v>0</v>
      </c>
      <c r="H734" s="2" t="inlineStr">
        <is>
          <t/>
        </is>
      </c>
      <c r="I734" s="2" t="inlineStr">
        <is>
          <t>4520</t>
        </is>
      </c>
      <c r="J734" s="4"/>
      <c r="K734" s="2">
        <v>78</v>
      </c>
      <c r="L734" s="6"/>
      <c r="M734" s="2" t="str">
        <f>IF(J734="",ROUND(I734*(1-IF(ISBLANK(L734),K734,L734)/100),2),ROUND(J734*(1-IF(ISBLANK(L734),K734,L734)/100),2))</f>
      </c>
      <c r="N734" s="7" t="str">
        <f>IF(NOT(AND(J734="",L734="")),IF(OR(AND(L734&lt;&gt;"",NOT(ISNUMBER(L734))),IFERROR(MOD(L734,1),1)&gt;0,AND(ISNUMBER(L734),OR(L734&lt;0,L734&gt;95))),"Введите целое число от 0 до 95",IF(OR(AND(J734&lt;&gt;"",NOT(ISNUMBER(J734))),IFERROR(MOD(J734,1),1)&gt;0,AND(ISNUMBER(J734),OR(J734&lt;50,J734&gt;20000000))),"Введите целое число от 50 до 20000000",IF(NOT(ABS(IFERROR(VALUE(LEFT(M734,FIND("-",M734)-1)),M734)*100-(2500+2000000000)/2)&lt;=ABS(2500-2000000000)/2),"Цена со скидкой должна быть от 25 до 20000000",IF(AND(IFERROR(VALUE(LEFT(M734,FIND("-",M734)-1)),M734)*150&lt;=99439,IFERROR(VALUE(LEFT(M734,FIND("-",M734)-1)),M734)*200&gt;99439),"Вы уменьшили цену в несколько раз, товар попадет в карантин цен",IF(IFERROR(VALUE(LEFT(M734,FIND("-",M734)-1)),M734)*200&lt;=99439,"Не сохранили изменения, чтобы защитить от ошибки — новые цены меньше текущих более чем в 2 раза. Снижайте их постепенно",IF(AND(IFERROR(VALUE(I734),0)=0,ISNUMBER(J734),OR(J734&lt;385,ABS(IFERROR(VALUE(LEFT(M734,FIND("-",M734)-1)),M734))*100&lt;38500)),"Проверьте цену товара. Большинство товаров в выбранной категории стоят дороже 385","")))))),"")</f>
      </c>
    </row>
    <row r="735">
      <c r="A735" s="2" t="inlineStr">
        <is>
          <t/>
        </is>
      </c>
      <c r="B735" s="2" t="inlineStr">
        <is>
          <t>Разделочные доски</t>
        </is>
      </c>
      <c r="C735" s="2">
        <v>600652773</v>
      </c>
      <c r="D735" s="2" t="inlineStr">
        <is>
          <t>93691</t>
        </is>
      </c>
      <c r="E735" s="2" t="inlineStr">
        <is>
          <t>2047129195161</t>
        </is>
      </c>
      <c r="F735" s="2">
        <v>0</v>
      </c>
      <c r="G735" s="2">
        <v>1</v>
      </c>
      <c r="H735" s="2" t="inlineStr">
        <is>
          <t/>
        </is>
      </c>
      <c r="I735" s="2" t="inlineStr">
        <is>
          <t>11331</t>
        </is>
      </c>
      <c r="J735" s="4"/>
      <c r="K735" s="2">
        <v>78</v>
      </c>
      <c r="L735" s="6"/>
      <c r="M735" s="2" t="str">
        <f>IF(J735="",ROUND(I735*(1-IF(ISBLANK(L735),K735,L735)/100),2),ROUND(J735*(1-IF(ISBLANK(L735),K735,L735)/100),2))</f>
      </c>
      <c r="N735" s="7" t="str">
        <f>IF(NOT(AND(J735="",L735="")),IF(OR(AND(L735&lt;&gt;"",NOT(ISNUMBER(L735))),IFERROR(MOD(L735,1),1)&gt;0,AND(ISNUMBER(L735),OR(L735&lt;0,L735&gt;95))),"Введите целое число от 0 до 95",IF(OR(AND(J735&lt;&gt;"",NOT(ISNUMBER(J735))),IFERROR(MOD(J735,1),1)&gt;0,AND(ISNUMBER(J735),OR(J735&lt;50,J735&gt;20000000))),"Введите целое число от 50 до 20000000",IF(NOT(ABS(IFERROR(VALUE(LEFT(M735,FIND("-",M735)-1)),M735)*100-(2500+2000000000)/2)&lt;=ABS(2500-2000000000)/2),"Цена со скидкой должна быть от 25 до 20000000",IF(AND(IFERROR(VALUE(LEFT(M735,FIND("-",M735)-1)),M735)*150&lt;=249281,IFERROR(VALUE(LEFT(M735,FIND("-",M735)-1)),M735)*200&gt;249281),"Вы уменьшили цену в несколько раз, товар попадет в карантин цен",IF(IFERROR(VALUE(LEFT(M735,FIND("-",M735)-1)),M735)*200&lt;=249281,"Не сохранили изменения, чтобы защитить от ошибки — новые цены меньше текущих более чем в 2 раза. Снижайте их постепенно",IF(AND(IFERROR(VALUE(I735),0)=0,ISNUMBER(J735),OR(J735&lt;341,ABS(IFERROR(VALUE(LEFT(M735,FIND("-",M735)-1)),M735))*100&lt;34100)),"Проверьте цену товара. Большинство товаров в выбранной категории стоят дороже 341","")))))),"")</f>
      </c>
    </row>
    <row r="736">
      <c r="A736" s="2" t="inlineStr">
        <is>
          <t/>
        </is>
      </c>
      <c r="B736" s="2" t="inlineStr">
        <is>
          <t>Скатерти</t>
        </is>
      </c>
      <c r="C736" s="2">
        <v>619525835</v>
      </c>
      <c r="D736" s="2" t="inlineStr">
        <is>
          <t>433941</t>
        </is>
      </c>
      <c r="E736" s="2" t="inlineStr">
        <is>
          <t>2047325447620</t>
        </is>
      </c>
      <c r="F736" s="2">
        <v>0</v>
      </c>
      <c r="G736" s="2">
        <v>0</v>
      </c>
      <c r="H736" s="2" t="inlineStr">
        <is>
          <t/>
        </is>
      </c>
      <c r="I736" s="2" t="inlineStr">
        <is>
          <t>8873</t>
        </is>
      </c>
      <c r="J736" s="4"/>
      <c r="K736" s="2">
        <v>65</v>
      </c>
      <c r="L736" s="6"/>
      <c r="M736" s="2" t="str">
        <f>IF(J736="",ROUND(I736*(1-IF(ISBLANK(L736),K736,L736)/100),2),ROUND(J736*(1-IF(ISBLANK(L736),K736,L736)/100),2))</f>
      </c>
      <c r="N736" s="7" t="str">
        <f>IF(NOT(AND(J736="",L736="")),IF(OR(AND(L736&lt;&gt;"",NOT(ISNUMBER(L736))),IFERROR(MOD(L736,1),1)&gt;0,AND(ISNUMBER(L736),OR(L736&lt;0,L736&gt;95))),"Введите целое число от 0 до 95",IF(OR(AND(J736&lt;&gt;"",NOT(ISNUMBER(J736))),IFERROR(MOD(J736,1),1)&gt;0,AND(ISNUMBER(J736),OR(J736&lt;50,J736&gt;20000000))),"Введите целое число от 50 до 20000000",IF(NOT(ABS(IFERROR(VALUE(LEFT(M736,FIND("-",M736)-1)),M736)*100-(2500+2000000000)/2)&lt;=ABS(2500-2000000000)/2),"Цена со скидкой должна быть от 25 до 20000000",IF(AND(IFERROR(VALUE(LEFT(M736,FIND("-",M736)-1)),M736)*150&lt;=310555,IFERROR(VALUE(LEFT(M736,FIND("-",M736)-1)),M736)*200&gt;310555),"Вы уменьшили цену в несколько раз, товар попадет в карантин цен",IF(IFERROR(VALUE(LEFT(M736,FIND("-",M736)-1)),M736)*200&lt;=310555,"Не сохранили изменения, чтобы защитить от ошибки — новые цены меньше текущих более чем в 2 раза. Снижайте их постепенно",IF(AND(IFERROR(VALUE(I736),0)=0,ISNUMBER(J736),OR(J736&lt;385,ABS(IFERROR(VALUE(LEFT(M736,FIND("-",M736)-1)),M736))*100&lt;38500)),"Проверьте цену товара. Большинство товаров в выбранной категории стоят дороже 385","")))))),"")</f>
      </c>
    </row>
    <row r="737">
      <c r="A737" s="2" t="inlineStr">
        <is>
          <t/>
        </is>
      </c>
      <c r="B737" s="2" t="inlineStr">
        <is>
          <t>Дождевики</t>
        </is>
      </c>
      <c r="C737" s="2">
        <v>600651720</v>
      </c>
      <c r="D737" s="2" t="inlineStr">
        <is>
          <t>523502</t>
        </is>
      </c>
      <c r="E737" s="2" t="inlineStr">
        <is>
          <t>2047129381199</t>
        </is>
      </c>
      <c r="F737" s="2">
        <v>0</v>
      </c>
      <c r="G737" s="2">
        <v>222</v>
      </c>
      <c r="H737" s="2" t="inlineStr">
        <is>
          <t/>
        </is>
      </c>
      <c r="I737" s="2" t="inlineStr">
        <is>
          <t>2280</t>
        </is>
      </c>
      <c r="J737" s="4"/>
      <c r="K737" s="2">
        <v>77</v>
      </c>
      <c r="L737" s="6"/>
      <c r="M737" s="2" t="str">
        <f>IF(J737="",ROUND(I737*(1-IF(ISBLANK(L737),K737,L737)/100),2),ROUND(J737*(1-IF(ISBLANK(L737),K737,L737)/100),2))</f>
      </c>
      <c r="N737" s="7" t="str">
        <f>IF(NOT(AND(J737="",L737="")),IF(OR(AND(L737&lt;&gt;"",NOT(ISNUMBER(L737))),IFERROR(MOD(L737,1),1)&gt;0,AND(ISNUMBER(L737),OR(L737&lt;0,L737&gt;95))),"Введите целое число от 0 до 95",IF(OR(AND(J737&lt;&gt;"",NOT(ISNUMBER(J737))),IFERROR(MOD(J737,1),1)&gt;0,AND(ISNUMBER(J737),OR(J737&lt;50,J737&gt;20000000))),"Введите целое число от 50 до 20000000",IF(NOT(ABS(IFERROR(VALUE(LEFT(M737,FIND("-",M737)-1)),M737)*100-(2500+2000000000)/2)&lt;=ABS(2500-2000000000)/2),"Цена со скидкой должна быть от 25 до 20000000",IF(AND(IFERROR(VALUE(LEFT(M737,FIND("-",M737)-1)),M737)*150&lt;=52440,IFERROR(VALUE(LEFT(M737,FIND("-",M737)-1)),M737)*200&gt;52440),"Вы уменьшили цену в несколько раз, товар попадет в карантин цен",IF(IFERROR(VALUE(LEFT(M737,FIND("-",M737)-1)),M737)*200&lt;=52440,"Не сохранили изменения, чтобы защитить от ошибки — новые цены меньше текущих более чем в 2 раза. Снижайте их постепенно",IF(AND(IFERROR(VALUE(I737),0)=0,ISNUMBER(J737),OR(J737&lt;348,ABS(IFERROR(VALUE(LEFT(M737,FIND("-",M737)-1)),M737))*100&lt;34800)),"Проверьте цену товара. Большинство товаров в выбранной категории стоят дороже 348","")))))),"")</f>
      </c>
    </row>
    <row r="738">
      <c r="A738" s="2" t="inlineStr">
        <is>
          <t/>
        </is>
      </c>
      <c r="B738" s="2" t="inlineStr">
        <is>
          <t>Тепловентиляторы</t>
        </is>
      </c>
      <c r="C738" s="2">
        <v>600650208</v>
      </c>
      <c r="D738" s="2" t="inlineStr">
        <is>
          <t>192070</t>
        </is>
      </c>
      <c r="E738" s="2" t="inlineStr">
        <is>
          <t>2047106057642</t>
        </is>
      </c>
      <c r="F738" s="2">
        <v>0</v>
      </c>
      <c r="G738" s="2">
        <v>11</v>
      </c>
      <c r="H738" s="2" t="inlineStr">
        <is>
          <t/>
        </is>
      </c>
      <c r="I738" s="2" t="inlineStr">
        <is>
          <t>9744</t>
        </is>
      </c>
      <c r="J738" s="4"/>
      <c r="K738" s="2">
        <v>78</v>
      </c>
      <c r="L738" s="6"/>
      <c r="M738" s="2" t="str">
        <f>IF(J738="",ROUND(I738*(1-IF(ISBLANK(L738),K738,L738)/100),2),ROUND(J738*(1-IF(ISBLANK(L738),K738,L738)/100),2))</f>
      </c>
      <c r="N738" s="7" t="str">
        <f>IF(NOT(AND(J738="",L738="")),IF(OR(AND(L738&lt;&gt;"",NOT(ISNUMBER(L738))),IFERROR(MOD(L738,1),1)&gt;0,AND(ISNUMBER(L738),OR(L738&lt;0,L738&gt;95))),"Введите целое число от 0 до 95",IF(OR(AND(J738&lt;&gt;"",NOT(ISNUMBER(J738))),IFERROR(MOD(J738,1),1)&gt;0,AND(ISNUMBER(J738),OR(J738&lt;50,J738&gt;20000000))),"Введите целое число от 50 до 20000000",IF(NOT(ABS(IFERROR(VALUE(LEFT(M738,FIND("-",M738)-1)),M738)*100-(2500+2000000000)/2)&lt;=ABS(2500-2000000000)/2),"Цена со скидкой должна быть от 25 до 20000000",IF(AND(IFERROR(VALUE(LEFT(M738,FIND("-",M738)-1)),M738)*150&lt;=214367,IFERROR(VALUE(LEFT(M738,FIND("-",M738)-1)),M738)*200&gt;214367),"Вы уменьшили цену в несколько раз, товар попадет в карантин цен",IF(IFERROR(VALUE(LEFT(M738,FIND("-",M738)-1)),M738)*200&lt;=214367,"Не сохранили изменения, чтобы защитить от ошибки — новые цены меньше текущих более чем в 2 раза. Снижайте их постепенно",IF(AND(IFERROR(VALUE(I738),0)=0,ISNUMBER(J738),OR(J738&lt;638,ABS(IFERROR(VALUE(LEFT(M738,FIND("-",M738)-1)),M738))*100&lt;63800)),"Проверьте цену товара. Большинство товаров в выбранной категории стоят дороже 638","")))))),"")</f>
      </c>
    </row>
    <row r="739">
      <c r="A739" s="2" t="inlineStr">
        <is>
          <t/>
        </is>
      </c>
      <c r="B739" s="2" t="inlineStr">
        <is>
          <t>Тепловентиляторы</t>
        </is>
      </c>
      <c r="C739" s="2">
        <v>600650212</v>
      </c>
      <c r="D739" s="2" t="inlineStr">
        <is>
          <t>190326</t>
        </is>
      </c>
      <c r="E739" s="2" t="inlineStr">
        <is>
          <t>2047106057680</t>
        </is>
      </c>
      <c r="F739" s="2">
        <v>0</v>
      </c>
      <c r="G739" s="2">
        <v>0</v>
      </c>
      <c r="H739" s="2" t="inlineStr">
        <is>
          <t/>
        </is>
      </c>
      <c r="I739" s="2" t="inlineStr">
        <is>
          <t>17735</t>
        </is>
      </c>
      <c r="J739" s="4"/>
      <c r="K739" s="2">
        <v>65</v>
      </c>
      <c r="L739" s="6"/>
      <c r="M739" s="2" t="str">
        <f>IF(J739="",ROUND(I739*(1-IF(ISBLANK(L739),K739,L739)/100),2),ROUND(J739*(1-IF(ISBLANK(L739),K739,L739)/100),2))</f>
      </c>
      <c r="N739" s="7" t="str">
        <f>IF(NOT(AND(J739="",L739="")),IF(OR(AND(L739&lt;&gt;"",NOT(ISNUMBER(L739))),IFERROR(MOD(L739,1),1)&gt;0,AND(ISNUMBER(L739),OR(L739&lt;0,L739&gt;95))),"Введите целое число от 0 до 95",IF(OR(AND(J739&lt;&gt;"",NOT(ISNUMBER(J739))),IFERROR(MOD(J739,1),1)&gt;0,AND(ISNUMBER(J739),OR(J739&lt;50,J739&gt;20000000))),"Введите целое число от 50 до 20000000",IF(NOT(ABS(IFERROR(VALUE(LEFT(M739,FIND("-",M739)-1)),M739)*100-(2500+2000000000)/2)&lt;=ABS(2500-2000000000)/2),"Цена со скидкой должна быть от 25 до 20000000",IF(AND(IFERROR(VALUE(LEFT(M739,FIND("-",M739)-1)),M739)*150&lt;=620725,IFERROR(VALUE(LEFT(M739,FIND("-",M739)-1)),M739)*200&gt;620725),"Вы уменьшили цену в несколько раз, товар попадет в карантин цен",IF(IFERROR(VALUE(LEFT(M739,FIND("-",M739)-1)),M739)*200&lt;=620725,"Не сохранили изменения, чтобы защитить от ошибки — новые цены меньше текущих более чем в 2 раза. Снижайте их постепенно",IF(AND(IFERROR(VALUE(I739),0)=0,ISNUMBER(J739),OR(J739&lt;638,ABS(IFERROR(VALUE(LEFT(M739,FIND("-",M739)-1)),M739))*100&lt;63800)),"Проверьте цену товара. Большинство товаров в выбранной категории стоят дороже 638","")))))),"")</f>
      </c>
    </row>
    <row r="740">
      <c r="A740" s="2" t="inlineStr">
        <is>
          <t/>
        </is>
      </c>
      <c r="B740" s="2" t="inlineStr">
        <is>
          <t>Тепловентиляторы</t>
        </is>
      </c>
      <c r="C740" s="2">
        <v>600650210</v>
      </c>
      <c r="D740" s="2" t="inlineStr">
        <is>
          <t>191470</t>
        </is>
      </c>
      <c r="E740" s="2" t="inlineStr">
        <is>
          <t>2047106057666</t>
        </is>
      </c>
      <c r="F740" s="2">
        <v>4</v>
      </c>
      <c r="G740" s="2">
        <v>0</v>
      </c>
      <c r="H740" s="2">
        <v>135</v>
      </c>
      <c r="I740" s="2" t="inlineStr">
        <is>
          <t>9148</t>
        </is>
      </c>
      <c r="J740" s="4"/>
      <c r="K740" s="2">
        <v>80</v>
      </c>
      <c r="L740" s="6"/>
      <c r="M740" s="2" t="str">
        <f>IF(J740="",ROUND(I740*(1-IF(ISBLANK(L740),K740,L740)/100),2),ROUND(J740*(1-IF(ISBLANK(L740),K740,L740)/100),2))</f>
      </c>
      <c r="N740" s="7" t="str">
        <f>IF(NOT(AND(J740="",L740="")),IF(OR(AND(L740&lt;&gt;"",NOT(ISNUMBER(L740))),IFERROR(MOD(L740,1),1)&gt;0,AND(ISNUMBER(L740),OR(L740&lt;0,L740&gt;95))),"Введите целое число от 0 до 95",IF(OR(AND(J740&lt;&gt;"",NOT(ISNUMBER(J740))),IFERROR(MOD(J740,1),1)&gt;0,AND(ISNUMBER(J740),OR(J740&lt;50,J740&gt;20000000))),"Введите целое число от 50 до 20000000",IF(NOT(ABS(IFERROR(VALUE(LEFT(M740,FIND("-",M740)-1)),M740)*100-(2500+2000000000)/2)&lt;=ABS(2500-2000000000)/2),"Цена со скидкой должна быть от 25 до 20000000",IF(AND(IFERROR(VALUE(LEFT(M740,FIND("-",M740)-1)),M740)*150&lt;=182959,IFERROR(VALUE(LEFT(M740,FIND("-",M740)-1)),M740)*200&gt;182959),"Вы уменьшили цену в несколько раз, товар попадет в карантин цен",IF(IFERROR(VALUE(LEFT(M740,FIND("-",M740)-1)),M740)*200&lt;=182959,"Не сохранили изменения, чтобы защитить от ошибки — новые цены меньше текущих более чем в 2 раза. Снижайте их постепенно",IF(AND(IFERROR(VALUE(I740),0)=0,ISNUMBER(J740),OR(J740&lt;638,ABS(IFERROR(VALUE(LEFT(M740,FIND("-",M740)-1)),M740))*100&lt;63800)),"Проверьте цену товара. Большинство товаров в выбранной категории стоят дороже 638","")))))),"")</f>
      </c>
    </row>
    <row r="741">
      <c r="A741" s="2" t="inlineStr">
        <is>
          <t/>
        </is>
      </c>
      <c r="B741" s="2" t="inlineStr">
        <is>
          <t>Кофеварки гейзерные</t>
        </is>
      </c>
      <c r="C741" s="2">
        <v>729470450</v>
      </c>
      <c r="D741" s="2" t="inlineStr">
        <is>
          <t>280335</t>
        </is>
      </c>
      <c r="E741" s="2" t="inlineStr">
        <is>
          <t>2048082472771</t>
        </is>
      </c>
      <c r="F741" s="2">
        <v>0</v>
      </c>
      <c r="G741" s="2">
        <v>13</v>
      </c>
      <c r="H741" s="2" t="inlineStr">
        <is>
          <t/>
        </is>
      </c>
      <c r="I741" s="2" t="inlineStr">
        <is>
          <t>11756</t>
        </is>
      </c>
      <c r="J741" s="4"/>
      <c r="K741" s="2">
        <v>78</v>
      </c>
      <c r="L741" s="6"/>
      <c r="M741" s="2" t="str">
        <f>IF(J741="",ROUND(I741*(1-IF(ISBLANK(L741),K741,L741)/100),2),ROUND(J741*(1-IF(ISBLANK(L741),K741,L741)/100),2))</f>
      </c>
      <c r="N741" s="7" t="str">
        <f>IF(NOT(AND(J741="",L741="")),IF(OR(AND(L741&lt;&gt;"",NOT(ISNUMBER(L741))),IFERROR(MOD(L741,1),1)&gt;0,AND(ISNUMBER(L741),OR(L741&lt;0,L741&gt;95))),"Введите целое число от 0 до 95",IF(OR(AND(J741&lt;&gt;"",NOT(ISNUMBER(J741))),IFERROR(MOD(J741,1),1)&gt;0,AND(ISNUMBER(J741),OR(J741&lt;50,J741&gt;20000000))),"Введите целое число от 50 до 20000000",IF(NOT(ABS(IFERROR(VALUE(LEFT(M741,FIND("-",M741)-1)),M741)*100-(2500+2000000000)/2)&lt;=ABS(2500-2000000000)/2),"Цена со скидкой должна быть от 25 до 20000000",IF(AND(IFERROR(VALUE(LEFT(M741,FIND("-",M741)-1)),M741)*150&lt;=258631,IFERROR(VALUE(LEFT(M741,FIND("-",M741)-1)),M741)*200&gt;258631),"Вы уменьшили цену в несколько раз, товар попадет в карантин цен",IF(IFERROR(VALUE(LEFT(M741,FIND("-",M741)-1)),M741)*200&lt;=258631,"Не сохранили изменения, чтобы защитить от ошибки — новые цены меньше текущих более чем в 2 раза. Снижайте их постепенно",IF(AND(IFERROR(VALUE(I741),0)=0,ISNUMBER(J741),OR(J741&lt;501,ABS(IFERROR(VALUE(LEFT(M741,FIND("-",M741)-1)),M741))*100&lt;50100)),"Проверьте цену товара. Большинство товаров в выбранной категории стоят дороже 501","")))))),"")</f>
      </c>
    </row>
    <row r="742">
      <c r="A742" s="2" t="inlineStr">
        <is>
          <t/>
        </is>
      </c>
      <c r="B742" s="2" t="inlineStr">
        <is>
          <t>Тепловентиляторы</t>
        </is>
      </c>
      <c r="C742" s="2">
        <v>600650213</v>
      </c>
      <c r="D742" s="2" t="inlineStr">
        <is>
          <t>192661</t>
        </is>
      </c>
      <c r="E742" s="2" t="inlineStr">
        <is>
          <t>2047106057697</t>
        </is>
      </c>
      <c r="F742" s="2">
        <v>0</v>
      </c>
      <c r="G742" s="2">
        <v>0</v>
      </c>
      <c r="H742" s="2" t="inlineStr">
        <is>
          <t/>
        </is>
      </c>
      <c r="I742" s="2" t="inlineStr">
        <is>
          <t>43516</t>
        </is>
      </c>
      <c r="J742" s="4"/>
      <c r="K742" s="2">
        <v>65</v>
      </c>
      <c r="L742" s="6"/>
      <c r="M742" s="2" t="str">
        <f>IF(J742="",ROUND(I742*(1-IF(ISBLANK(L742),K742,L742)/100),2),ROUND(J742*(1-IF(ISBLANK(L742),K742,L742)/100),2))</f>
      </c>
      <c r="N742" s="7" t="str">
        <f>IF(NOT(AND(J742="",L742="")),IF(OR(AND(L742&lt;&gt;"",NOT(ISNUMBER(L742))),IFERROR(MOD(L742,1),1)&gt;0,AND(ISNUMBER(L742),OR(L742&lt;0,L742&gt;95))),"Введите целое число от 0 до 95",IF(OR(AND(J742&lt;&gt;"",NOT(ISNUMBER(J742))),IFERROR(MOD(J742,1),1)&gt;0,AND(ISNUMBER(J742),OR(J742&lt;50,J742&gt;20000000))),"Введите целое число от 50 до 20000000",IF(NOT(ABS(IFERROR(VALUE(LEFT(M742,FIND("-",M742)-1)),M742)*100-(2500+2000000000)/2)&lt;=ABS(2500-2000000000)/2),"Цена со скидкой должна быть от 25 до 20000000",IF(AND(IFERROR(VALUE(LEFT(M742,FIND("-",M742)-1)),M742)*150&lt;=1523059,IFERROR(VALUE(LEFT(M742,FIND("-",M742)-1)),M742)*200&gt;1523059),"Вы уменьшили цену в несколько раз, товар попадет в карантин цен",IF(IFERROR(VALUE(LEFT(M742,FIND("-",M742)-1)),M742)*200&lt;=1523059,"Не сохранили изменения, чтобы защитить от ошибки — новые цены меньше текущих более чем в 2 раза. Снижайте их постепенно",IF(AND(IFERROR(VALUE(I742),0)=0,ISNUMBER(J742),OR(J742&lt;638,ABS(IFERROR(VALUE(LEFT(M742,FIND("-",M742)-1)),M742))*100&lt;63800)),"Проверьте цену товара. Большинство товаров в выбранной категории стоят дороже 638","")))))),"")</f>
      </c>
    </row>
    <row r="743">
      <c r="A743" s="2" t="inlineStr">
        <is>
          <t/>
        </is>
      </c>
      <c r="B743" s="2" t="inlineStr">
        <is>
          <t>Тепловентиляторы</t>
        </is>
      </c>
      <c r="C743" s="2">
        <v>600650209</v>
      </c>
      <c r="D743" s="2" t="inlineStr">
        <is>
          <t>19602</t>
        </is>
      </c>
      <c r="E743" s="2" t="inlineStr">
        <is>
          <t>2047106057659</t>
        </is>
      </c>
      <c r="F743" s="2">
        <v>4</v>
      </c>
      <c r="G743" s="2">
        <v>0</v>
      </c>
      <c r="H743" s="2">
        <v>138</v>
      </c>
      <c r="I743" s="2" t="inlineStr">
        <is>
          <t>9452</t>
        </is>
      </c>
      <c r="J743" s="4"/>
      <c r="K743" s="2">
        <v>80</v>
      </c>
      <c r="L743" s="6"/>
      <c r="M743" s="2" t="str">
        <f>IF(J743="",ROUND(I743*(1-IF(ISBLANK(L743),K743,L743)/100),2),ROUND(J743*(1-IF(ISBLANK(L743),K743,L743)/100),2))</f>
      </c>
      <c r="N743" s="7" t="str">
        <f>IF(NOT(AND(J743="",L743="")),IF(OR(AND(L743&lt;&gt;"",NOT(ISNUMBER(L743))),IFERROR(MOD(L743,1),1)&gt;0,AND(ISNUMBER(L743),OR(L743&lt;0,L743&gt;95))),"Введите целое число от 0 до 95",IF(OR(AND(J743&lt;&gt;"",NOT(ISNUMBER(J743))),IFERROR(MOD(J743,1),1)&gt;0,AND(ISNUMBER(J743),OR(J743&lt;50,J743&gt;20000000))),"Введите целое число от 50 до 20000000",IF(NOT(ABS(IFERROR(VALUE(LEFT(M743,FIND("-",M743)-1)),M743)*100-(2500+2000000000)/2)&lt;=ABS(2500-2000000000)/2),"Цена со скидкой должна быть от 25 до 20000000",IF(AND(IFERROR(VALUE(LEFT(M743,FIND("-",M743)-1)),M743)*150&lt;=189039,IFERROR(VALUE(LEFT(M743,FIND("-",M743)-1)),M743)*200&gt;189039),"Вы уменьшили цену в несколько раз, товар попадет в карантин цен",IF(IFERROR(VALUE(LEFT(M743,FIND("-",M743)-1)),M743)*200&lt;=189039,"Не сохранили изменения, чтобы защитить от ошибки — новые цены меньше текущих более чем в 2 раза. Снижайте их постепенно",IF(AND(IFERROR(VALUE(I743),0)=0,ISNUMBER(J743),OR(J743&lt;638,ABS(IFERROR(VALUE(LEFT(M743,FIND("-",M743)-1)),M743))*100&lt;63800)),"Проверьте цену товара. Большинство товаров в выбранной категории стоят дороже 638","")))))),"")</f>
      </c>
    </row>
    <row r="744">
      <c r="A744" s="2" t="inlineStr">
        <is>
          <t/>
        </is>
      </c>
      <c r="B744" s="2" t="inlineStr">
        <is>
          <t>Тепловентиляторы</t>
        </is>
      </c>
      <c r="C744" s="2">
        <v>600650211</v>
      </c>
      <c r="D744" s="2" t="inlineStr">
        <is>
          <t>19568</t>
        </is>
      </c>
      <c r="E744" s="2" t="inlineStr">
        <is>
          <t>2047106057673</t>
        </is>
      </c>
      <c r="F744" s="2">
        <v>0</v>
      </c>
      <c r="G744" s="2">
        <v>0</v>
      </c>
      <c r="H744" s="2" t="inlineStr">
        <is>
          <t/>
        </is>
      </c>
      <c r="I744" s="2" t="inlineStr">
        <is>
          <t>8660</t>
        </is>
      </c>
      <c r="J744" s="4"/>
      <c r="K744" s="2">
        <v>65</v>
      </c>
      <c r="L744" s="6"/>
      <c r="M744" s="2" t="str">
        <f>IF(J744="",ROUND(I744*(1-IF(ISBLANK(L744),K744,L744)/100),2),ROUND(J744*(1-IF(ISBLANK(L744),K744,L744)/100),2))</f>
      </c>
      <c r="N744" s="7" t="str">
        <f>IF(NOT(AND(J744="",L744="")),IF(OR(AND(L744&lt;&gt;"",NOT(ISNUMBER(L744))),IFERROR(MOD(L744,1),1)&gt;0,AND(ISNUMBER(L744),OR(L744&lt;0,L744&gt;95))),"Введите целое число от 0 до 95",IF(OR(AND(J744&lt;&gt;"",NOT(ISNUMBER(J744))),IFERROR(MOD(J744,1),1)&gt;0,AND(ISNUMBER(J744),OR(J744&lt;50,J744&gt;20000000))),"Введите целое число от 50 до 20000000",IF(NOT(ABS(IFERROR(VALUE(LEFT(M744,FIND("-",M744)-1)),M744)*100-(2500+2000000000)/2)&lt;=ABS(2500-2000000000)/2),"Цена со скидкой должна быть от 25 до 20000000",IF(AND(IFERROR(VALUE(LEFT(M744,FIND("-",M744)-1)),M744)*150&lt;=303100,IFERROR(VALUE(LEFT(M744,FIND("-",M744)-1)),M744)*200&gt;303100),"Вы уменьшили цену в несколько раз, товар попадет в карантин цен",IF(IFERROR(VALUE(LEFT(M744,FIND("-",M744)-1)),M744)*200&lt;=303100,"Не сохранили изменения, чтобы защитить от ошибки — новые цены меньше текущих более чем в 2 раза. Снижайте их постепенно",IF(AND(IFERROR(VALUE(I744),0)=0,ISNUMBER(J744),OR(J744&lt;638,ABS(IFERROR(VALUE(LEFT(M744,FIND("-",M744)-1)),M744))*100&lt;63800)),"Проверьте цену товара. Большинство товаров в выбранной категории стоят дороже 638","")))))),"")</f>
      </c>
    </row>
    <row r="745">
      <c r="A745" s="2" t="inlineStr">
        <is>
          <t/>
        </is>
      </c>
      <c r="B745" s="2" t="inlineStr">
        <is>
          <t>Ножи кухонные</t>
        </is>
      </c>
      <c r="C745" s="2">
        <v>727124421</v>
      </c>
      <c r="D745" s="2" t="inlineStr">
        <is>
          <t>36220</t>
        </is>
      </c>
      <c r="E745" s="2" t="inlineStr">
        <is>
          <t>2048060226785</t>
        </is>
      </c>
      <c r="F745" s="2">
        <v>0</v>
      </c>
      <c r="G745" s="2">
        <v>16</v>
      </c>
      <c r="H745" s="2" t="inlineStr">
        <is>
          <t/>
        </is>
      </c>
      <c r="I745" s="2" t="inlineStr">
        <is>
          <t>3888</t>
        </is>
      </c>
      <c r="J745" s="4"/>
      <c r="K745" s="2">
        <v>78</v>
      </c>
      <c r="L745" s="6"/>
      <c r="M745" s="2" t="str">
        <f>IF(J745="",ROUND(I745*(1-IF(ISBLANK(L745),K745,L745)/100),2),ROUND(J745*(1-IF(ISBLANK(L745),K745,L745)/100),2))</f>
      </c>
      <c r="N745" s="7" t="str">
        <f>IF(NOT(AND(J745="",L745="")),IF(OR(AND(L745&lt;&gt;"",NOT(ISNUMBER(L745))),IFERROR(MOD(L745,1),1)&gt;0,AND(ISNUMBER(L745),OR(L745&lt;0,L745&gt;95))),"Введите целое число от 0 до 95",IF(OR(AND(J745&lt;&gt;"",NOT(ISNUMBER(J745))),IFERROR(MOD(J745,1),1)&gt;0,AND(ISNUMBER(J745),OR(J745&lt;50,J745&gt;20000000))),"Введите целое число от 50 до 20000000",IF(NOT(ABS(IFERROR(VALUE(LEFT(M745,FIND("-",M745)-1)),M745)*100-(2500+2000000000)/2)&lt;=ABS(2500-2000000000)/2),"Цена со скидкой должна быть от 25 до 20000000",IF(AND(IFERROR(VALUE(LEFT(M745,FIND("-",M745)-1)),M745)*150&lt;=85535,IFERROR(VALUE(LEFT(M745,FIND("-",M745)-1)),M745)*200&gt;85535),"Вы уменьшили цену в несколько раз, товар попадет в карантин цен",IF(IFERROR(VALUE(LEFT(M745,FIND("-",M745)-1)),M745)*200&lt;=85535,"Не сохранили изменения, чтобы защитить от ошибки — новые цены меньше текущих более чем в 2 раза. Снижайте их постепенно",IF(AND(IFERROR(VALUE(I745),0)=0,ISNUMBER(J745),OR(J745&lt;318,ABS(IFERROR(VALUE(LEFT(M745,FIND("-",M745)-1)),M745))*100&lt;31800)),"Проверьте цену товара. Большинство товаров в выбранной категории стоят дороже 318","")))))),"")</f>
      </c>
    </row>
    <row r="746">
      <c r="A746" s="2" t="inlineStr">
        <is>
          <t/>
        </is>
      </c>
      <c r="B746" s="2" t="inlineStr">
        <is>
          <t>Машинки для стрижки волос</t>
        </is>
      </c>
      <c r="C746" s="2">
        <v>598657595</v>
      </c>
      <c r="D746" s="2" t="inlineStr">
        <is>
          <t>192456</t>
        </is>
      </c>
      <c r="E746" s="2" t="inlineStr">
        <is>
          <t>2047106057826</t>
        </is>
      </c>
      <c r="F746" s="2">
        <v>0</v>
      </c>
      <c r="G746" s="2">
        <v>0</v>
      </c>
      <c r="H746" s="2" t="inlineStr">
        <is>
          <t/>
        </is>
      </c>
      <c r="I746" s="2" t="inlineStr">
        <is>
          <t>4737</t>
        </is>
      </c>
      <c r="J746" s="4"/>
      <c r="K746" s="2">
        <v>65</v>
      </c>
      <c r="L746" s="6"/>
      <c r="M746" s="2" t="str">
        <f>IF(J746="",ROUND(I746*(1-IF(ISBLANK(L746),K746,L746)/100),2),ROUND(J746*(1-IF(ISBLANK(L746),K746,L746)/100),2))</f>
      </c>
      <c r="N746" s="7" t="str">
        <f>IF(NOT(AND(J746="",L746="")),IF(OR(AND(L746&lt;&gt;"",NOT(ISNUMBER(L746))),IFERROR(MOD(L746,1),1)&gt;0,AND(ISNUMBER(L746),OR(L746&lt;0,L746&gt;95))),"Введите целое число от 0 до 95",IF(OR(AND(J746&lt;&gt;"",NOT(ISNUMBER(J746))),IFERROR(MOD(J746,1),1)&gt;0,AND(ISNUMBER(J746),OR(J746&lt;50,J746&gt;20000000))),"Введите целое число от 50 до 20000000",IF(NOT(ABS(IFERROR(VALUE(LEFT(M746,FIND("-",M746)-1)),M746)*100-(2500+2000000000)/2)&lt;=ABS(2500-2000000000)/2),"Цена со скидкой должна быть от 25 до 20000000",IF(AND(IFERROR(VALUE(LEFT(M746,FIND("-",M746)-1)),M746)*150&lt;=165794,IFERROR(VALUE(LEFT(M746,FIND("-",M746)-1)),M746)*200&gt;165794),"Вы уменьшили цену в несколько раз, товар попадет в карантин цен",IF(IFERROR(VALUE(LEFT(M746,FIND("-",M746)-1)),M746)*200&lt;=165794,"Не сохранили изменения, чтобы защитить от ошибки — новые цены меньше текущих более чем в 2 раза. Снижайте их постепенно",IF(AND(IFERROR(VALUE(I746),0)=0,ISNUMBER(J746),OR(J746&lt;289,ABS(IFERROR(VALUE(LEFT(M746,FIND("-",M746)-1)),M746))*100&lt;28900)),"Проверьте цену товара. Большинство товаров в выбранной категории стоят дороже 289","")))))),"")</f>
      </c>
    </row>
    <row r="747">
      <c r="A747" s="2" t="inlineStr">
        <is>
          <t/>
        </is>
      </c>
      <c r="B747" s="2" t="inlineStr">
        <is>
          <t>Фитолампы для растений и аксессуары</t>
        </is>
      </c>
      <c r="C747" s="2">
        <v>607804975</v>
      </c>
      <c r="D747" s="2" t="inlineStr">
        <is>
          <t>880459</t>
        </is>
      </c>
      <c r="E747" s="2" t="inlineStr">
        <is>
          <t>2047198550168</t>
        </is>
      </c>
      <c r="F747" s="2">
        <v>0</v>
      </c>
      <c r="G747" s="2">
        <v>9</v>
      </c>
      <c r="H747" s="2" t="inlineStr">
        <is>
          <t/>
        </is>
      </c>
      <c r="I747" s="2" t="inlineStr">
        <is>
          <t>6128</t>
        </is>
      </c>
      <c r="J747" s="4"/>
      <c r="K747" s="2">
        <v>78</v>
      </c>
      <c r="L747" s="6"/>
      <c r="M747" s="2" t="str">
        <f>IF(J747="",ROUND(I747*(1-IF(ISBLANK(L747),K747,L747)/100),2),ROUND(J747*(1-IF(ISBLANK(L747),K747,L747)/100),2))</f>
      </c>
      <c r="N747" s="7" t="str">
        <f>IF(NOT(AND(J747="",L747="")),IF(OR(AND(L747&lt;&gt;"",NOT(ISNUMBER(L747))),IFERROR(MOD(L747,1),1)&gt;0,AND(ISNUMBER(L747),OR(L747&lt;0,L747&gt;95))),"Введите целое число от 0 до 95",IF(OR(AND(J747&lt;&gt;"",NOT(ISNUMBER(J747))),IFERROR(MOD(J747,1),1)&gt;0,AND(ISNUMBER(J747),OR(J747&lt;50,J747&gt;20000000))),"Введите целое число от 50 до 20000000",IF(NOT(ABS(IFERROR(VALUE(LEFT(M747,FIND("-",M747)-1)),M747)*100-(2500+2000000000)/2)&lt;=ABS(2500-2000000000)/2),"Цена со скидкой должна быть от 25 до 20000000",IF(AND(IFERROR(VALUE(LEFT(M747,FIND("-",M747)-1)),M747)*150&lt;=134816,IFERROR(VALUE(LEFT(M747,FIND("-",M747)-1)),M747)*200&gt;134816),"Вы уменьшили цену в несколько раз, товар попадет в карантин цен",IF(IFERROR(VALUE(LEFT(M747,FIND("-",M747)-1)),M747)*200&lt;=134816,"Не сохранили изменения, чтобы защитить от ошибки — новые цены меньше текущих более чем в 2 раза. Снижайте их постепенно",IF(AND(IFERROR(VALUE(I747),0)=0,ISNUMBER(J747),OR(J747&lt;302,ABS(IFERROR(VALUE(LEFT(M747,FIND("-",M747)-1)),M747))*100&lt;30200)),"Проверьте цену товара. Большинство товаров в выбранной категории стоят дороже 302","")))))),"")</f>
      </c>
    </row>
    <row r="748">
      <c r="A748" s="2" t="inlineStr">
        <is>
          <t>Veloria</t>
        </is>
      </c>
      <c r="B748" s="2" t="inlineStr">
        <is>
          <t>Скатерти</t>
        </is>
      </c>
      <c r="C748" s="2">
        <v>727195903</v>
      </c>
      <c r="D748" s="2" t="inlineStr">
        <is>
          <t>434806</t>
        </is>
      </c>
      <c r="E748" s="2" t="inlineStr">
        <is>
          <t>2048060785824</t>
        </is>
      </c>
      <c r="F748" s="2">
        <v>0</v>
      </c>
      <c r="G748" s="2">
        <v>0</v>
      </c>
      <c r="H748" s="2" t="inlineStr">
        <is>
          <t/>
        </is>
      </c>
      <c r="I748" s="2" t="inlineStr">
        <is>
          <t>6086</t>
        </is>
      </c>
      <c r="J748" s="4"/>
      <c r="K748" s="2">
        <v>78</v>
      </c>
      <c r="L748" s="6"/>
      <c r="M748" s="2" t="str">
        <f>IF(J748="",ROUND(I748*(1-IF(ISBLANK(L748),K748,L748)/100),2),ROUND(J748*(1-IF(ISBLANK(L748),K748,L748)/100),2))</f>
      </c>
      <c r="N748" s="7" t="str">
        <f>IF(NOT(AND(J748="",L748="")),IF(OR(AND(L748&lt;&gt;"",NOT(ISNUMBER(L748))),IFERROR(MOD(L748,1),1)&gt;0,AND(ISNUMBER(L748),OR(L748&lt;0,L748&gt;95))),"Введите целое число от 0 до 95",IF(OR(AND(J748&lt;&gt;"",NOT(ISNUMBER(J748))),IFERROR(MOD(J748,1),1)&gt;0,AND(ISNUMBER(J748),OR(J748&lt;50,J748&gt;20000000))),"Введите целое число от 50 до 20000000",IF(NOT(ABS(IFERROR(VALUE(LEFT(M748,FIND("-",M748)-1)),M748)*100-(2500+2000000000)/2)&lt;=ABS(2500-2000000000)/2),"Цена со скидкой должна быть от 25 до 20000000",IF(AND(IFERROR(VALUE(LEFT(M748,FIND("-",M748)-1)),M748)*150&lt;=133891,IFERROR(VALUE(LEFT(M748,FIND("-",M748)-1)),M748)*200&gt;133891),"Вы уменьшили цену в несколько раз, товар попадет в карантин цен",IF(IFERROR(VALUE(LEFT(M748,FIND("-",M748)-1)),M748)*200&lt;=133891,"Не сохранили изменения, чтобы защитить от ошибки — новые цены меньше текущих более чем в 2 раза. Снижайте их постепенно",IF(AND(IFERROR(VALUE(I748),0)=0,ISNUMBER(J748),OR(J748&lt;385,ABS(IFERROR(VALUE(LEFT(M748,FIND("-",M748)-1)),M748))*100&lt;38500)),"Проверьте цену товара. Большинство товаров в выбранной категории стоят дороже 385","")))))),"")</f>
      </c>
    </row>
    <row r="749">
      <c r="A749" s="2" t="inlineStr">
        <is>
          <t/>
        </is>
      </c>
      <c r="B749" s="2" t="inlineStr">
        <is>
          <t>Микроволновые печи</t>
        </is>
      </c>
      <c r="C749" s="2">
        <v>725245829</v>
      </c>
      <c r="D749" s="2" t="inlineStr">
        <is>
          <t>192696</t>
        </is>
      </c>
      <c r="E749" s="2" t="inlineStr">
        <is>
          <t>2048046464606</t>
        </is>
      </c>
      <c r="F749" s="2" t="inlineStr">
        <is>
          <t/>
        </is>
      </c>
      <c r="G749" s="2" t="inlineStr">
        <is>
          <t/>
        </is>
      </c>
      <c r="H749" s="2" t="inlineStr">
        <is>
          <t/>
        </is>
      </c>
      <c r="I749" s="2" t="inlineStr">
        <is>
          <t>169625</t>
        </is>
      </c>
      <c r="J749" s="4"/>
      <c r="K749" s="2">
        <v>65</v>
      </c>
      <c r="L749" s="6"/>
      <c r="M749" s="2" t="str">
        <f>IF(J749="",ROUND(I749*(1-IF(ISBLANK(L749),K749,L749)/100),2),ROUND(J749*(1-IF(ISBLANK(L749),K749,L749)/100),2))</f>
      </c>
      <c r="N749" s="7" t="str">
        <f>IF(NOT(AND(J749="",L749="")),IF(OR(AND(L749&lt;&gt;"",NOT(ISNUMBER(L749))),IFERROR(MOD(L749,1),1)&gt;0,AND(ISNUMBER(L749),OR(L749&lt;0,L749&gt;95))),"Введите целое число от 0 до 95",IF(OR(AND(J749&lt;&gt;"",NOT(ISNUMBER(J749))),IFERROR(MOD(J749,1),1)&gt;0,AND(ISNUMBER(J749),OR(J749&lt;50,J749&gt;20000000))),"Введите целое число от 50 до 20000000",IF(NOT(ABS(IFERROR(VALUE(LEFT(M749,FIND("-",M749)-1)),M749)*100-(2500+2000000000)/2)&lt;=ABS(2500-2000000000)/2),"Цена со скидкой должна быть от 25 до 20000000",IF(AND(IFERROR(VALUE(LEFT(M749,FIND("-",M749)-1)),M749)*150&lt;=5936874,IFERROR(VALUE(LEFT(M749,FIND("-",M749)-1)),M749)*200&gt;5936874),"Вы уменьшили цену в несколько раз, товар попадет в карантин цен",IF(IFERROR(VALUE(LEFT(M749,FIND("-",M749)-1)),M749)*200&lt;=5936874,"Не сохранили изменения, чтобы защитить от ошибки — новые цены меньше текущих более чем в 2 раза. Снижайте их постепенно",IF(AND(IFERROR(VALUE(I749),0)=0,ISNUMBER(J749),OR(J749&lt;233,ABS(IFERROR(VALUE(LEFT(M749,FIND("-",M749)-1)),M749))*100&lt;23300)),"Проверьте цену товара. Большинство товаров в выбранной категории стоят дороже 233","")))))),"")</f>
      </c>
    </row>
    <row r="750">
      <c r="A750" s="2" t="inlineStr">
        <is>
          <t>Veloria</t>
        </is>
      </c>
      <c r="B750" s="2" t="inlineStr">
        <is>
          <t>Коврики для сушки посуды</t>
        </is>
      </c>
      <c r="C750" s="2">
        <v>727214225</v>
      </c>
      <c r="D750" s="2" t="inlineStr">
        <is>
          <t>522974</t>
        </is>
      </c>
      <c r="E750" s="2" t="inlineStr">
        <is>
          <t>2048060956187</t>
        </is>
      </c>
      <c r="F750" s="2">
        <v>0</v>
      </c>
      <c r="G750" s="2">
        <v>1</v>
      </c>
      <c r="H750" s="2" t="inlineStr">
        <is>
          <t/>
        </is>
      </c>
      <c r="I750" s="2" t="inlineStr">
        <is>
          <t>1784</t>
        </is>
      </c>
      <c r="J750" s="4"/>
      <c r="K750" s="2">
        <v>78</v>
      </c>
      <c r="L750" s="6"/>
      <c r="M750" s="2" t="str">
        <f>IF(J750="",ROUND(I750*(1-IF(ISBLANK(L750),K750,L750)/100),2),ROUND(J750*(1-IF(ISBLANK(L750),K750,L750)/100),2))</f>
      </c>
      <c r="N750" s="7" t="str">
        <f>IF(NOT(AND(J750="",L750="")),IF(OR(AND(L750&lt;&gt;"",NOT(ISNUMBER(L750))),IFERROR(MOD(L750,1),1)&gt;0,AND(ISNUMBER(L750),OR(L750&lt;0,L750&gt;95))),"Введите целое число от 0 до 95",IF(OR(AND(J750&lt;&gt;"",NOT(ISNUMBER(J750))),IFERROR(MOD(J750,1),1)&gt;0,AND(ISNUMBER(J750),OR(J750&lt;50,J750&gt;20000000))),"Введите целое число от 50 до 20000000",IF(NOT(ABS(IFERROR(VALUE(LEFT(M750,FIND("-",M750)-1)),M750)*100-(2500+2000000000)/2)&lt;=ABS(2500-2000000000)/2),"Цена со скидкой должна быть от 25 до 20000000",IF(AND(IFERROR(VALUE(LEFT(M750,FIND("-",M750)-1)),M750)*150&lt;=39247,IFERROR(VALUE(LEFT(M750,FIND("-",M750)-1)),M750)*200&gt;39247),"Вы уменьшили цену в несколько раз, товар попадет в карантин цен",IF(IFERROR(VALUE(LEFT(M750,FIND("-",M750)-1)),M750)*200&lt;=39247,"Не сохранили изменения, чтобы защитить от ошибки — новые цены меньше текущих более чем в 2 раза. Снижайте их постепенно",IF(AND(IFERROR(VALUE(I750),0)=0,ISNUMBER(J750),OR(J750&lt;301,ABS(IFERROR(VALUE(LEFT(M750,FIND("-",M750)-1)),M750))*100&lt;30100)),"Проверьте цену товара. Большинство товаров в выбранной категории стоят дороже 301","")))))),"")</f>
      </c>
    </row>
    <row r="751">
      <c r="A751" s="2" t="inlineStr">
        <is>
          <t>Veloria</t>
        </is>
      </c>
      <c r="B751" s="2" t="inlineStr">
        <is>
          <t>Скатерти</t>
        </is>
      </c>
      <c r="C751" s="2">
        <v>727195880</v>
      </c>
      <c r="D751" s="2" t="inlineStr">
        <is>
          <t>43290</t>
        </is>
      </c>
      <c r="E751" s="2" t="inlineStr">
        <is>
          <t>2048060785527</t>
        </is>
      </c>
      <c r="F751" s="2">
        <v>8</v>
      </c>
      <c r="G751" s="2">
        <v>0</v>
      </c>
      <c r="H751" s="2">
        <v>999</v>
      </c>
      <c r="I751" s="2" t="inlineStr">
        <is>
          <t>7192</t>
        </is>
      </c>
      <c r="J751" s="4"/>
      <c r="K751" s="2">
        <v>79</v>
      </c>
      <c r="L751" s="6"/>
      <c r="M751" s="2" t="str">
        <f>IF(J751="",ROUND(I751*(1-IF(ISBLANK(L751),K751,L751)/100),2),ROUND(J751*(1-IF(ISBLANK(L751),K751,L751)/100),2))</f>
      </c>
      <c r="N751" s="7" t="str">
        <f>IF(NOT(AND(J751="",L751="")),IF(OR(AND(L751&lt;&gt;"",NOT(ISNUMBER(L751))),IFERROR(MOD(L751,1),1)&gt;0,AND(ISNUMBER(L751),OR(L751&lt;0,L751&gt;95))),"Введите целое число от 0 до 95",IF(OR(AND(J751&lt;&gt;"",NOT(ISNUMBER(J751))),IFERROR(MOD(J751,1),1)&gt;0,AND(ISNUMBER(J751),OR(J751&lt;50,J751&gt;20000000))),"Введите целое число от 50 до 20000000",IF(NOT(ABS(IFERROR(VALUE(LEFT(M751,FIND("-",M751)-1)),M751)*100-(2500+2000000000)/2)&lt;=ABS(2500-2000000000)/2),"Цена со скидкой должна быть от 25 до 20000000",IF(AND(IFERROR(VALUE(LEFT(M751,FIND("-",M751)-1)),M751)*150&lt;=151031,IFERROR(VALUE(LEFT(M751,FIND("-",M751)-1)),M751)*200&gt;151031),"Вы уменьшили цену в несколько раз, товар попадет в карантин цен",IF(IFERROR(VALUE(LEFT(M751,FIND("-",M751)-1)),M751)*200&lt;=151031,"Не сохранили изменения, чтобы защитить от ошибки — новые цены меньше текущих более чем в 2 раза. Снижайте их постепенно",IF(AND(IFERROR(VALUE(I751),0)=0,ISNUMBER(J751),OR(J751&lt;385,ABS(IFERROR(VALUE(LEFT(M751,FIND("-",M751)-1)),M751))*100&lt;38500)),"Проверьте цену товара. Большинство товаров в выбранной категории стоят дороже 385","")))))),"")</f>
      </c>
    </row>
    <row r="752">
      <c r="A752" s="2" t="inlineStr">
        <is>
          <t>Veloria</t>
        </is>
      </c>
      <c r="B752" s="2" t="inlineStr">
        <is>
          <t>Коврики для сушки посуды</t>
        </is>
      </c>
      <c r="C752" s="2">
        <v>727214227</v>
      </c>
      <c r="D752" s="2" t="inlineStr">
        <is>
          <t>521500</t>
        </is>
      </c>
      <c r="E752" s="2" t="inlineStr">
        <is>
          <t>2048060956217</t>
        </is>
      </c>
      <c r="F752" s="2">
        <v>12</v>
      </c>
      <c r="G752" s="2">
        <v>6</v>
      </c>
      <c r="H752" s="2">
        <v>999</v>
      </c>
      <c r="I752" s="2" t="inlineStr">
        <is>
          <t>2684</t>
        </is>
      </c>
      <c r="J752" s="4"/>
      <c r="K752" s="2">
        <v>79</v>
      </c>
      <c r="L752" s="6"/>
      <c r="M752" s="2" t="str">
        <f>IF(J752="",ROUND(I752*(1-IF(ISBLANK(L752),K752,L752)/100),2),ROUND(J752*(1-IF(ISBLANK(L752),K752,L752)/100),2))</f>
      </c>
      <c r="N752" s="7" t="str">
        <f>IF(NOT(AND(J752="",L752="")),IF(OR(AND(L752&lt;&gt;"",NOT(ISNUMBER(L752))),IFERROR(MOD(L752,1),1)&gt;0,AND(ISNUMBER(L752),OR(L752&lt;0,L752&gt;95))),"Введите целое число от 0 до 95",IF(OR(AND(J752&lt;&gt;"",NOT(ISNUMBER(J752))),IFERROR(MOD(J752,1),1)&gt;0,AND(ISNUMBER(J752),OR(J752&lt;50,J752&gt;20000000))),"Введите целое число от 50 до 20000000",IF(NOT(ABS(IFERROR(VALUE(LEFT(M752,FIND("-",M752)-1)),M752)*100-(2500+2000000000)/2)&lt;=ABS(2500-2000000000)/2),"Цена со скидкой должна быть от 25 до 20000000",IF(AND(IFERROR(VALUE(LEFT(M752,FIND("-",M752)-1)),M752)*150&lt;=56363,IFERROR(VALUE(LEFT(M752,FIND("-",M752)-1)),M752)*200&gt;56363),"Вы уменьшили цену в несколько раз, товар попадет в карантин цен",IF(IFERROR(VALUE(LEFT(M752,FIND("-",M752)-1)),M752)*200&lt;=56363,"Не сохранили изменения, чтобы защитить от ошибки — новые цены меньше текущих более чем в 2 раза. Снижайте их постепенно",IF(AND(IFERROR(VALUE(I752),0)=0,ISNUMBER(J752),OR(J752&lt;301,ABS(IFERROR(VALUE(LEFT(M752,FIND("-",M752)-1)),M752))*100&lt;30100)),"Проверьте цену товара. Большинство товаров в выбранной категории стоят дороже 301","")))))),"")</f>
      </c>
    </row>
    <row r="753">
      <c r="A753" s="2" t="inlineStr">
        <is>
          <t/>
        </is>
      </c>
      <c r="B753" s="2" t="inlineStr">
        <is>
          <t>Ножи кухонные</t>
        </is>
      </c>
      <c r="C753" s="2">
        <v>727124415</v>
      </c>
      <c r="D753" s="2" t="inlineStr">
        <is>
          <t>283578</t>
        </is>
      </c>
      <c r="E753" s="2" t="inlineStr">
        <is>
          <t>2048060226679</t>
        </is>
      </c>
      <c r="F753" s="2">
        <v>1</v>
      </c>
      <c r="G753" s="2">
        <v>5</v>
      </c>
      <c r="H753" s="2">
        <v>999</v>
      </c>
      <c r="I753" s="2" t="inlineStr">
        <is>
          <t>14198</t>
        </is>
      </c>
      <c r="J753" s="4"/>
      <c r="K753" s="2">
        <v>81</v>
      </c>
      <c r="L753" s="6"/>
      <c r="M753" s="2" t="str">
        <f>IF(J753="",ROUND(I753*(1-IF(ISBLANK(L753),K753,L753)/100),2),ROUND(J753*(1-IF(ISBLANK(L753),K753,L753)/100),2))</f>
      </c>
      <c r="N753" s="7" t="str">
        <f>IF(NOT(AND(J753="",L753="")),IF(OR(AND(L753&lt;&gt;"",NOT(ISNUMBER(L753))),IFERROR(MOD(L753,1),1)&gt;0,AND(ISNUMBER(L753),OR(L753&lt;0,L753&gt;95))),"Введите целое число от 0 до 95",IF(OR(AND(J753&lt;&gt;"",NOT(ISNUMBER(J753))),IFERROR(MOD(J753,1),1)&gt;0,AND(ISNUMBER(J753),OR(J753&lt;50,J753&gt;20000000))),"Введите целое число от 50 до 20000000",IF(NOT(ABS(IFERROR(VALUE(LEFT(M753,FIND("-",M753)-1)),M753)*100-(2500+2000000000)/2)&lt;=ABS(2500-2000000000)/2),"Цена со скидкой должна быть от 25 до 20000000",IF(AND(IFERROR(VALUE(LEFT(M753,FIND("-",M753)-1)),M753)*150&lt;=269761,IFERROR(VALUE(LEFT(M753,FIND("-",M753)-1)),M753)*200&gt;269761),"Вы уменьшили цену в несколько раз, товар попадет в карантин цен",IF(IFERROR(VALUE(LEFT(M753,FIND("-",M753)-1)),M753)*200&lt;=269761,"Не сохранили изменения, чтобы защитить от ошибки — новые цены меньше текущих более чем в 2 раза. Снижайте их постепенно",IF(AND(IFERROR(VALUE(I753),0)=0,ISNUMBER(J753),OR(J753&lt;318,ABS(IFERROR(VALUE(LEFT(M753,FIND("-",M753)-1)),M753))*100&lt;31800)),"Проверьте цену товара. Большинство товаров в выбранной категории стоят дороже 318","")))))),"")</f>
      </c>
    </row>
    <row r="754">
      <c r="A754" s="2" t="inlineStr">
        <is>
          <t>Veloria</t>
        </is>
      </c>
      <c r="B754" s="2" t="inlineStr">
        <is>
          <t>Коврики для сушки посуды</t>
        </is>
      </c>
      <c r="C754" s="2">
        <v>727214228</v>
      </c>
      <c r="D754" s="2" t="inlineStr">
        <is>
          <t>521551</t>
        </is>
      </c>
      <c r="E754" s="2" t="inlineStr">
        <is>
          <t>2048060956248</t>
        </is>
      </c>
      <c r="F754" s="2">
        <v>14</v>
      </c>
      <c r="G754" s="2">
        <v>67</v>
      </c>
      <c r="H754" s="2">
        <v>439</v>
      </c>
      <c r="I754" s="2" t="inlineStr">
        <is>
          <t>2868</t>
        </is>
      </c>
      <c r="J754" s="4"/>
      <c r="K754" s="2">
        <v>79</v>
      </c>
      <c r="L754" s="6"/>
      <c r="M754" s="2" t="str">
        <f>IF(J754="",ROUND(I754*(1-IF(ISBLANK(L754),K754,L754)/100),2),ROUND(J754*(1-IF(ISBLANK(L754),K754,L754)/100),2))</f>
      </c>
      <c r="N754" s="7" t="str">
        <f>IF(NOT(AND(J754="",L754="")),IF(OR(AND(L754&lt;&gt;"",NOT(ISNUMBER(L754))),IFERROR(MOD(L754,1),1)&gt;0,AND(ISNUMBER(L754),OR(L754&lt;0,L754&gt;95))),"Введите целое число от 0 до 95",IF(OR(AND(J754&lt;&gt;"",NOT(ISNUMBER(J754))),IFERROR(MOD(J754,1),1)&gt;0,AND(ISNUMBER(J754),OR(J754&lt;50,J754&gt;20000000))),"Введите целое число от 50 до 20000000",IF(NOT(ABS(IFERROR(VALUE(LEFT(M754,FIND("-",M754)-1)),M754)*100-(2500+2000000000)/2)&lt;=ABS(2500-2000000000)/2),"Цена со скидкой должна быть от 25 до 20000000",IF(AND(IFERROR(VALUE(LEFT(M754,FIND("-",M754)-1)),M754)*150&lt;=60227,IFERROR(VALUE(LEFT(M754,FIND("-",M754)-1)),M754)*200&gt;60227),"Вы уменьшили цену в несколько раз, товар попадет в карантин цен",IF(IFERROR(VALUE(LEFT(M754,FIND("-",M754)-1)),M754)*200&lt;=60227,"Не сохранили изменения, чтобы защитить от ошибки — новые цены меньше текущих более чем в 2 раза. Снижайте их постепенно",IF(AND(IFERROR(VALUE(I754),0)=0,ISNUMBER(J754),OR(J754&lt;301,ABS(IFERROR(VALUE(LEFT(M754,FIND("-",M754)-1)),M754))*100&lt;30100)),"Проверьте цену товара. Большинство товаров в выбранной категории стоят дороже 301","")))))),"")</f>
      </c>
    </row>
    <row r="755">
      <c r="A755" s="2" t="inlineStr">
        <is>
          <t>Pasabahce</t>
        </is>
      </c>
      <c r="B755" s="2" t="inlineStr">
        <is>
          <t>Графины</t>
        </is>
      </c>
      <c r="C755" s="2">
        <v>260884490</v>
      </c>
      <c r="D755" s="2" t="inlineStr">
        <is>
          <t>12109</t>
        </is>
      </c>
      <c r="E755" s="2" t="inlineStr">
        <is>
          <t>2041199956998</t>
        </is>
      </c>
      <c r="F755" s="2">
        <v>0</v>
      </c>
      <c r="G755" s="2">
        <v>0</v>
      </c>
      <c r="H755" s="2">
        <v>999</v>
      </c>
      <c r="I755" s="2" t="inlineStr">
        <is>
          <t>3821</t>
        </is>
      </c>
      <c r="J755" s="4"/>
      <c r="K755" s="2">
        <v>65</v>
      </c>
      <c r="L755" s="6"/>
      <c r="M755" s="2" t="str">
        <f>IF(J755="",ROUND(I755*(1-IF(ISBLANK(L755),K755,L755)/100),2),ROUND(J755*(1-IF(ISBLANK(L755),K755,L755)/100),2))</f>
      </c>
      <c r="N755" s="7" t="str">
        <f>IF(NOT(AND(J755="",L755="")),IF(OR(AND(L755&lt;&gt;"",NOT(ISNUMBER(L755))),IFERROR(MOD(L755,1),1)&gt;0,AND(ISNUMBER(L755),OR(L755&lt;0,L755&gt;95))),"Введите целое число от 0 до 95",IF(OR(AND(J755&lt;&gt;"",NOT(ISNUMBER(J755))),IFERROR(MOD(J755,1),1)&gt;0,AND(ISNUMBER(J755),OR(J755&lt;50,J755&gt;20000000))),"Введите целое число от 50 до 20000000",IF(NOT(ABS(IFERROR(VALUE(LEFT(M755,FIND("-",M755)-1)),M755)*100-(2500+2000000000)/2)&lt;=ABS(2500-2000000000)/2),"Цена со скидкой должна быть от 25 до 20000000",IF(AND(IFERROR(VALUE(LEFT(M755,FIND("-",M755)-1)),M755)*150&lt;=133735,IFERROR(VALUE(LEFT(M755,FIND("-",M755)-1)),M755)*200&gt;133735),"Вы уменьшили цену в несколько раз, товар попадет в карантин цен",IF(IFERROR(VALUE(LEFT(M755,FIND("-",M755)-1)),M755)*200&lt;=133735,"Не сохранили изменения, чтобы защитить от ошибки — новые цены меньше текущих более чем в 2 раза. Снижайте их постепенно",IF(AND(IFERROR(VALUE(I755),0)=0,ISNUMBER(J755),OR(J755&lt;458,ABS(IFERROR(VALUE(LEFT(M755,FIND("-",M755)-1)),M755))*100&lt;45800)),"Проверьте цену товара. Большинство товаров в выбранной категории стоят дороже 458","")))))),"")</f>
      </c>
    </row>
    <row r="756">
      <c r="A756" s="2" t="inlineStr">
        <is>
          <t>Pasabahce</t>
        </is>
      </c>
      <c r="B756" s="2" t="inlineStr">
        <is>
          <t>Графины</t>
        </is>
      </c>
      <c r="C756" s="2">
        <v>251249007</v>
      </c>
      <c r="D756" s="2" t="inlineStr">
        <is>
          <t>121814</t>
        </is>
      </c>
      <c r="E756" s="2" t="inlineStr">
        <is>
          <t>2040892666784</t>
        </is>
      </c>
      <c r="F756" s="2">
        <v>0</v>
      </c>
      <c r="G756" s="2">
        <v>0</v>
      </c>
      <c r="H756" s="2">
        <v>1</v>
      </c>
      <c r="I756" s="2" t="inlineStr">
        <is>
          <t>3512</t>
        </is>
      </c>
      <c r="J756" s="4"/>
      <c r="K756" s="2">
        <v>65</v>
      </c>
      <c r="L756" s="6"/>
      <c r="M756" s="2" t="str">
        <f>IF(J756="",ROUND(I756*(1-IF(ISBLANK(L756),K756,L756)/100),2),ROUND(J756*(1-IF(ISBLANK(L756),K756,L756)/100),2))</f>
      </c>
      <c r="N756" s="7" t="str">
        <f>IF(NOT(AND(J756="",L756="")),IF(OR(AND(L756&lt;&gt;"",NOT(ISNUMBER(L756))),IFERROR(MOD(L756,1),1)&gt;0,AND(ISNUMBER(L756),OR(L756&lt;0,L756&gt;95))),"Введите целое число от 0 до 95",IF(OR(AND(J756&lt;&gt;"",NOT(ISNUMBER(J756))),IFERROR(MOD(J756,1),1)&gt;0,AND(ISNUMBER(J756),OR(J756&lt;50,J756&gt;20000000))),"Введите целое число от 50 до 20000000",IF(NOT(ABS(IFERROR(VALUE(LEFT(M756,FIND("-",M756)-1)),M756)*100-(2500+2000000000)/2)&lt;=ABS(2500-2000000000)/2),"Цена со скидкой должна быть от 25 до 20000000",IF(AND(IFERROR(VALUE(LEFT(M756,FIND("-",M756)-1)),M756)*150&lt;=122919,IFERROR(VALUE(LEFT(M756,FIND("-",M756)-1)),M756)*200&gt;122919),"Вы уменьшили цену в несколько раз, товар попадет в карантин цен",IF(IFERROR(VALUE(LEFT(M756,FIND("-",M756)-1)),M756)*200&lt;=122919,"Не сохранили изменения, чтобы защитить от ошибки — новые цены меньше текущих более чем в 2 раза. Снижайте их постепенно",IF(AND(IFERROR(VALUE(I756),0)=0,ISNUMBER(J756),OR(J756&lt;458,ABS(IFERROR(VALUE(LEFT(M756,FIND("-",M756)-1)),M756))*100&lt;45800)),"Проверьте цену товара. Большинство товаров в выбранной категории стоят дороже 458","")))))),"")</f>
      </c>
    </row>
    <row r="757">
      <c r="A757" s="2" t="inlineStr">
        <is>
          <t>Veloria</t>
        </is>
      </c>
      <c r="B757" s="2" t="inlineStr">
        <is>
          <t>Коврики для сушки посуды</t>
        </is>
      </c>
      <c r="C757" s="2">
        <v>727214226</v>
      </c>
      <c r="D757" s="2" t="inlineStr">
        <is>
          <t>522970</t>
        </is>
      </c>
      <c r="E757" s="2" t="inlineStr">
        <is>
          <t>2048060956200</t>
        </is>
      </c>
      <c r="F757" s="2">
        <v>14</v>
      </c>
      <c r="G757" s="2">
        <v>1</v>
      </c>
      <c r="H757" s="2">
        <v>999</v>
      </c>
      <c r="I757" s="2" t="inlineStr">
        <is>
          <t>2392</t>
        </is>
      </c>
      <c r="J757" s="4"/>
      <c r="K757" s="2">
        <v>79</v>
      </c>
      <c r="L757" s="6"/>
      <c r="M757" s="2" t="str">
        <f>IF(J757="",ROUND(I757*(1-IF(ISBLANK(L757),K757,L757)/100),2),ROUND(J757*(1-IF(ISBLANK(L757),K757,L757)/100),2))</f>
      </c>
      <c r="N757" s="7" t="str">
        <f>IF(NOT(AND(J757="",L757="")),IF(OR(AND(L757&lt;&gt;"",NOT(ISNUMBER(L757))),IFERROR(MOD(L757,1),1)&gt;0,AND(ISNUMBER(L757),OR(L757&lt;0,L757&gt;95))),"Введите целое число от 0 до 95",IF(OR(AND(J757&lt;&gt;"",NOT(ISNUMBER(J757))),IFERROR(MOD(J757,1),1)&gt;0,AND(ISNUMBER(J757),OR(J757&lt;50,J757&gt;20000000))),"Введите целое число от 50 до 20000000",IF(NOT(ABS(IFERROR(VALUE(LEFT(M757,FIND("-",M757)-1)),M757)*100-(2500+2000000000)/2)&lt;=ABS(2500-2000000000)/2),"Цена со скидкой должна быть от 25 до 20000000",IF(AND(IFERROR(VALUE(LEFT(M757,FIND("-",M757)-1)),M757)*150&lt;=50231,IFERROR(VALUE(LEFT(M757,FIND("-",M757)-1)),M757)*200&gt;50231),"Вы уменьшили цену в несколько раз, товар попадет в карантин цен",IF(IFERROR(VALUE(LEFT(M757,FIND("-",M757)-1)),M757)*200&lt;=50231,"Не сохранили изменения, чтобы защитить от ошибки — новые цены меньше текущих более чем в 2 раза. Снижайте их постепенно",IF(AND(IFERROR(VALUE(I757),0)=0,ISNUMBER(J757),OR(J757&lt;301,ABS(IFERROR(VALUE(LEFT(M757,FIND("-",M757)-1)),M757))*100&lt;30100)),"Проверьте цену товара. Большинство товаров в выбранной категории стоят дороже 301","")))))),"")</f>
      </c>
    </row>
    <row r="758">
      <c r="A758" s="2" t="inlineStr">
        <is>
          <t>Veloria</t>
        </is>
      </c>
      <c r="B758" s="2" t="inlineStr">
        <is>
          <t>Коврики для сушки посуды</t>
        </is>
      </c>
      <c r="C758" s="2">
        <v>727214229</v>
      </c>
      <c r="D758" s="2" t="inlineStr">
        <is>
          <t>521793</t>
        </is>
      </c>
      <c r="E758" s="2" t="inlineStr">
        <is>
          <t>2048060956262</t>
        </is>
      </c>
      <c r="F758" s="2">
        <v>18</v>
      </c>
      <c r="G758" s="2">
        <v>81</v>
      </c>
      <c r="H758" s="2">
        <v>999</v>
      </c>
      <c r="I758" s="2" t="inlineStr">
        <is>
          <t>2250</t>
        </is>
      </c>
      <c r="J758" s="4"/>
      <c r="K758" s="2">
        <v>79</v>
      </c>
      <c r="L758" s="6"/>
      <c r="M758" s="2" t="str">
        <f>IF(J758="",ROUND(I758*(1-IF(ISBLANK(L758),K758,L758)/100),2),ROUND(J758*(1-IF(ISBLANK(L758),K758,L758)/100),2))</f>
      </c>
      <c r="N758" s="7" t="str">
        <f>IF(NOT(AND(J758="",L758="")),IF(OR(AND(L758&lt;&gt;"",NOT(ISNUMBER(L758))),IFERROR(MOD(L758,1),1)&gt;0,AND(ISNUMBER(L758),OR(L758&lt;0,L758&gt;95))),"Введите целое число от 0 до 95",IF(OR(AND(J758&lt;&gt;"",NOT(ISNUMBER(J758))),IFERROR(MOD(J758,1),1)&gt;0,AND(ISNUMBER(J758),OR(J758&lt;50,J758&gt;20000000))),"Введите целое число от 50 до 20000000",IF(NOT(ABS(IFERROR(VALUE(LEFT(M758,FIND("-",M758)-1)),M758)*100-(2500+2000000000)/2)&lt;=ABS(2500-2000000000)/2),"Цена со скидкой должна быть от 25 до 20000000",IF(AND(IFERROR(VALUE(LEFT(M758,FIND("-",M758)-1)),M758)*150&lt;=47249,IFERROR(VALUE(LEFT(M758,FIND("-",M758)-1)),M758)*200&gt;47249),"Вы уменьшили цену в несколько раз, товар попадет в карантин цен",IF(IFERROR(VALUE(LEFT(M758,FIND("-",M758)-1)),M758)*200&lt;=47249,"Не сохранили изменения, чтобы защитить от ошибки — новые цены меньше текущих более чем в 2 раза. Снижайте их постепенно",IF(AND(IFERROR(VALUE(I758),0)=0,ISNUMBER(J758),OR(J758&lt;301,ABS(IFERROR(VALUE(LEFT(M758,FIND("-",M758)-1)),M758))*100&lt;30100)),"Проверьте цену товара. Большинство товаров в выбранной категории стоят дороже 301","")))))),"")</f>
      </c>
    </row>
    <row r="759">
      <c r="A759" s="2" t="inlineStr">
        <is>
          <t>Pasabahce</t>
        </is>
      </c>
      <c r="B759" s="2" t="inlineStr">
        <is>
          <t>Графины</t>
        </is>
      </c>
      <c r="C759" s="2">
        <v>253244722</v>
      </c>
      <c r="D759" s="2" t="inlineStr">
        <is>
          <t>121669</t>
        </is>
      </c>
      <c r="E759" s="2" t="inlineStr">
        <is>
          <t>2040948904099</t>
        </is>
      </c>
      <c r="F759" s="2">
        <v>0</v>
      </c>
      <c r="G759" s="2">
        <v>0</v>
      </c>
      <c r="H759" s="2">
        <v>999</v>
      </c>
      <c r="I759" s="2" t="inlineStr">
        <is>
          <t>3249</t>
        </is>
      </c>
      <c r="J759" s="4"/>
      <c r="K759" s="2">
        <v>65</v>
      </c>
      <c r="L759" s="6"/>
      <c r="M759" s="2" t="str">
        <f>IF(J759="",ROUND(I759*(1-IF(ISBLANK(L759),K759,L759)/100),2),ROUND(J759*(1-IF(ISBLANK(L759),K759,L759)/100),2))</f>
      </c>
      <c r="N759" s="7" t="str">
        <f>IF(NOT(AND(J759="",L759="")),IF(OR(AND(L759&lt;&gt;"",NOT(ISNUMBER(L759))),IFERROR(MOD(L759,1),1)&gt;0,AND(ISNUMBER(L759),OR(L759&lt;0,L759&gt;95))),"Введите целое число от 0 до 95",IF(OR(AND(J759&lt;&gt;"",NOT(ISNUMBER(J759))),IFERROR(MOD(J759,1),1)&gt;0,AND(ISNUMBER(J759),OR(J759&lt;50,J759&gt;20000000))),"Введите целое число от 50 до 20000000",IF(NOT(ABS(IFERROR(VALUE(LEFT(M759,FIND("-",M759)-1)),M759)*100-(2500+2000000000)/2)&lt;=ABS(2500-2000000000)/2),"Цена со скидкой должна быть от 25 до 20000000",IF(AND(IFERROR(VALUE(LEFT(M759,FIND("-",M759)-1)),M759)*150&lt;=113714,IFERROR(VALUE(LEFT(M759,FIND("-",M759)-1)),M759)*200&gt;113714),"Вы уменьшили цену в несколько раз, товар попадет в карантин цен",IF(IFERROR(VALUE(LEFT(M759,FIND("-",M759)-1)),M759)*200&lt;=113714,"Не сохранили изменения, чтобы защитить от ошибки — новые цены меньше текущих более чем в 2 раза. Снижайте их постепенно",IF(AND(IFERROR(VALUE(I759),0)=0,ISNUMBER(J759),OR(J759&lt;458,ABS(IFERROR(VALUE(LEFT(M759,FIND("-",M759)-1)),M759))*100&lt;45800)),"Проверьте цену товара. Большинство товаров в выбранной категории стоят дороже 458","")))))),"")</f>
      </c>
    </row>
    <row r="760">
      <c r="A760" s="2" t="inlineStr">
        <is>
          <t/>
        </is>
      </c>
      <c r="B760" s="2" t="inlineStr">
        <is>
          <t>Подставки кухонные</t>
        </is>
      </c>
      <c r="C760" s="2">
        <v>727240994</v>
      </c>
      <c r="D760" s="2" t="inlineStr">
        <is>
          <t>411061</t>
        </is>
      </c>
      <c r="E760" s="2" t="inlineStr">
        <is>
          <t>2048061219588</t>
        </is>
      </c>
      <c r="F760" s="2">
        <v>13</v>
      </c>
      <c r="G760" s="2">
        <v>7</v>
      </c>
      <c r="H760" s="2">
        <v>117</v>
      </c>
      <c r="I760" s="2" t="inlineStr">
        <is>
          <t>6273</t>
        </is>
      </c>
      <c r="J760" s="4"/>
      <c r="K760" s="2">
        <v>79</v>
      </c>
      <c r="L760" s="6"/>
      <c r="M760" s="2" t="str">
        <f>IF(J760="",ROUND(I760*(1-IF(ISBLANK(L760),K760,L760)/100),2),ROUND(J760*(1-IF(ISBLANK(L760),K760,L760)/100),2))</f>
      </c>
      <c r="N760" s="7" t="str">
        <f>IF(NOT(AND(J760="",L760="")),IF(OR(AND(L760&lt;&gt;"",NOT(ISNUMBER(L760))),IFERROR(MOD(L760,1),1)&gt;0,AND(ISNUMBER(L760),OR(L760&lt;0,L760&gt;95))),"Введите целое число от 0 до 95",IF(OR(AND(J760&lt;&gt;"",NOT(ISNUMBER(J760))),IFERROR(MOD(J760,1),1)&gt;0,AND(ISNUMBER(J760),OR(J760&lt;50,J760&gt;20000000))),"Введите целое число от 50 до 20000000",IF(NOT(ABS(IFERROR(VALUE(LEFT(M760,FIND("-",M760)-1)),M760)*100-(2500+2000000000)/2)&lt;=ABS(2500-2000000000)/2),"Цена со скидкой должна быть от 25 до 20000000",IF(AND(IFERROR(VALUE(LEFT(M760,FIND("-",M760)-1)),M760)*150&lt;=131732,IFERROR(VALUE(LEFT(M760,FIND("-",M760)-1)),M760)*200&gt;131732),"Вы уменьшили цену в несколько раз, товар попадет в карантин цен",IF(IFERROR(VALUE(LEFT(M760,FIND("-",M760)-1)),M760)*200&lt;=131732,"Не сохранили изменения, чтобы защитить от ошибки — новые цены меньше текущих более чем в 2 раза. Снижайте их постепенно",IF(AND(IFERROR(VALUE(I760),0)=0,ISNUMBER(J760),OR(J760&lt;411,ABS(IFERROR(VALUE(LEFT(M760,FIND("-",M760)-1)),M760))*100&lt;41100)),"Проверьте цену товара. Большинство товаров в выбранной категории стоят дороже 411","")))))),"")</f>
      </c>
    </row>
    <row r="761">
      <c r="A761" s="2" t="inlineStr">
        <is>
          <t/>
        </is>
      </c>
      <c r="B761" s="2" t="inlineStr">
        <is>
          <t>Подставки кухонные</t>
        </is>
      </c>
      <c r="C761" s="2">
        <v>727240992</v>
      </c>
      <c r="D761" s="2" t="inlineStr">
        <is>
          <t>281041</t>
        </is>
      </c>
      <c r="E761" s="2" t="inlineStr">
        <is>
          <t>2048061219557</t>
        </is>
      </c>
      <c r="F761" s="2">
        <v>27</v>
      </c>
      <c r="G761" s="2">
        <v>0</v>
      </c>
      <c r="H761" s="2">
        <v>999</v>
      </c>
      <c r="I761" s="2" t="inlineStr">
        <is>
          <t>3716</t>
        </is>
      </c>
      <c r="J761" s="4"/>
      <c r="K761" s="2">
        <v>81</v>
      </c>
      <c r="L761" s="6"/>
      <c r="M761" s="2" t="str">
        <f>IF(J761="",ROUND(I761*(1-IF(ISBLANK(L761),K761,L761)/100),2),ROUND(J761*(1-IF(ISBLANK(L761),K761,L761)/100),2))</f>
      </c>
      <c r="N761" s="7" t="str">
        <f>IF(NOT(AND(J761="",L761="")),IF(OR(AND(L761&lt;&gt;"",NOT(ISNUMBER(L761))),IFERROR(MOD(L761,1),1)&gt;0,AND(ISNUMBER(L761),OR(L761&lt;0,L761&gt;95))),"Введите целое число от 0 до 95",IF(OR(AND(J761&lt;&gt;"",NOT(ISNUMBER(J761))),IFERROR(MOD(J761,1),1)&gt;0,AND(ISNUMBER(J761),OR(J761&lt;50,J761&gt;20000000))),"Введите целое число от 50 до 20000000",IF(NOT(ABS(IFERROR(VALUE(LEFT(M761,FIND("-",M761)-1)),M761)*100-(2500+2000000000)/2)&lt;=ABS(2500-2000000000)/2),"Цена со скидкой должна быть от 25 до 20000000",IF(AND(IFERROR(VALUE(LEFT(M761,FIND("-",M761)-1)),M761)*150&lt;=70603,IFERROR(VALUE(LEFT(M761,FIND("-",M761)-1)),M761)*200&gt;70603),"Вы уменьшили цену в несколько раз, товар попадет в карантин цен",IF(IFERROR(VALUE(LEFT(M761,FIND("-",M761)-1)),M761)*200&lt;=70603,"Не сохранили изменения, чтобы защитить от ошибки — новые цены меньше текущих более чем в 2 раза. Снижайте их постепенно",IF(AND(IFERROR(VALUE(I761),0)=0,ISNUMBER(J761),OR(J761&lt;411,ABS(IFERROR(VALUE(LEFT(M761,FIND("-",M761)-1)),M761))*100&lt;41100)),"Проверьте цену товара. Большинство товаров в выбранной категории стоят дороже 411","")))))),"")</f>
      </c>
    </row>
    <row r="762">
      <c r="A762" s="2" t="inlineStr">
        <is>
          <t/>
        </is>
      </c>
      <c r="B762" s="2" t="inlineStr">
        <is>
          <t>Графины</t>
        </is>
      </c>
      <c r="C762" s="2">
        <v>727362671</v>
      </c>
      <c r="D762" s="2" t="inlineStr">
        <is>
          <t>122048</t>
        </is>
      </c>
      <c r="E762" s="2" t="inlineStr">
        <is>
          <t>2048062588829</t>
        </is>
      </c>
      <c r="F762" s="2">
        <v>6</v>
      </c>
      <c r="G762" s="2">
        <v>0</v>
      </c>
      <c r="H762" s="2">
        <v>999</v>
      </c>
      <c r="I762" s="2" t="inlineStr">
        <is>
          <t>6048</t>
        </is>
      </c>
      <c r="J762" s="4"/>
      <c r="K762" s="2">
        <v>78</v>
      </c>
      <c r="L762" s="6"/>
      <c r="M762" s="2" t="str">
        <f>IF(J762="",ROUND(I762*(1-IF(ISBLANK(L762),K762,L762)/100),2),ROUND(J762*(1-IF(ISBLANK(L762),K762,L762)/100),2))</f>
      </c>
      <c r="N762" s="7" t="str">
        <f>IF(NOT(AND(J762="",L762="")),IF(OR(AND(L762&lt;&gt;"",NOT(ISNUMBER(L762))),IFERROR(MOD(L762,1),1)&gt;0,AND(ISNUMBER(L762),OR(L762&lt;0,L762&gt;95))),"Введите целое число от 0 до 95",IF(OR(AND(J762&lt;&gt;"",NOT(ISNUMBER(J762))),IFERROR(MOD(J762,1),1)&gt;0,AND(ISNUMBER(J762),OR(J762&lt;50,J762&gt;20000000))),"Введите целое число от 50 до 20000000",IF(NOT(ABS(IFERROR(VALUE(LEFT(M762,FIND("-",M762)-1)),M762)*100-(2500+2000000000)/2)&lt;=ABS(2500-2000000000)/2),"Цена со скидкой должна быть от 25 до 20000000",IF(AND(IFERROR(VALUE(LEFT(M762,FIND("-",M762)-1)),M762)*150&lt;=133056,IFERROR(VALUE(LEFT(M762,FIND("-",M762)-1)),M762)*200&gt;133056),"Вы уменьшили цену в несколько раз, товар попадет в карантин цен",IF(IFERROR(VALUE(LEFT(M762,FIND("-",M762)-1)),M762)*200&lt;=133056,"Не сохранили изменения, чтобы защитить от ошибки — новые цены меньше текущих более чем в 2 раза. Снижайте их постепенно",IF(AND(IFERROR(VALUE(I762),0)=0,ISNUMBER(J762),OR(J762&lt;458,ABS(IFERROR(VALUE(LEFT(M762,FIND("-",M762)-1)),M762))*100&lt;45800)),"Проверьте цену товара. Большинство товаров в выбранной категории стоят дороже 458","")))))),"")</f>
      </c>
    </row>
    <row r="763">
      <c r="A763" s="2" t="inlineStr">
        <is>
          <t>Pasabahce</t>
        </is>
      </c>
      <c r="B763" s="2" t="inlineStr">
        <is>
          <t>Графины</t>
        </is>
      </c>
      <c r="C763" s="2">
        <v>251836511</v>
      </c>
      <c r="D763" s="2" t="inlineStr">
        <is>
          <t>121815</t>
        </is>
      </c>
      <c r="E763" s="2" t="inlineStr">
        <is>
          <t>2040909212362</t>
        </is>
      </c>
      <c r="F763" s="2">
        <v>5</v>
      </c>
      <c r="G763" s="2">
        <v>65</v>
      </c>
      <c r="H763" s="2">
        <v>11</v>
      </c>
      <c r="I763" s="2" t="inlineStr">
        <is>
          <t>3152</t>
        </is>
      </c>
      <c r="J763" s="4"/>
      <c r="K763" s="2">
        <v>78</v>
      </c>
      <c r="L763" s="6"/>
      <c r="M763" s="2" t="str">
        <f>IF(J763="",ROUND(I763*(1-IF(ISBLANK(L763),K763,L763)/100),2),ROUND(J763*(1-IF(ISBLANK(L763),K763,L763)/100),2))</f>
      </c>
      <c r="N763" s="7" t="str">
        <f>IF(NOT(AND(J763="",L763="")),IF(OR(AND(L763&lt;&gt;"",NOT(ISNUMBER(L763))),IFERROR(MOD(L763,1),1)&gt;0,AND(ISNUMBER(L763),OR(L763&lt;0,L763&gt;95))),"Введите целое число от 0 до 95",IF(OR(AND(J763&lt;&gt;"",NOT(ISNUMBER(J763))),IFERROR(MOD(J763,1),1)&gt;0,AND(ISNUMBER(J763),OR(J763&lt;50,J763&gt;20000000))),"Введите целое число от 50 до 20000000",IF(NOT(ABS(IFERROR(VALUE(LEFT(M763,FIND("-",M763)-1)),M763)*100-(2500+2000000000)/2)&lt;=ABS(2500-2000000000)/2),"Цена со скидкой должна быть от 25 до 20000000",IF(AND(IFERROR(VALUE(LEFT(M763,FIND("-",M763)-1)),M763)*150&lt;=69344,IFERROR(VALUE(LEFT(M763,FIND("-",M763)-1)),M763)*200&gt;69344),"Вы уменьшили цену в несколько раз, товар попадет в карантин цен",IF(IFERROR(VALUE(LEFT(M763,FIND("-",M763)-1)),M763)*200&lt;=69344,"Не сохранили изменения, чтобы защитить от ошибки — новые цены меньше текущих более чем в 2 раза. Снижайте их постепенно",IF(AND(IFERROR(VALUE(I763),0)=0,ISNUMBER(J763),OR(J763&lt;458,ABS(IFERROR(VALUE(LEFT(M763,FIND("-",M763)-1)),M763))*100&lt;45800)),"Проверьте цену товара. Большинство товаров в выбранной категории стоят дороже 458","")))))),"")</f>
      </c>
    </row>
    <row r="764">
      <c r="A764" s="2" t="inlineStr">
        <is>
          <t/>
        </is>
      </c>
      <c r="B764" s="2" t="inlineStr">
        <is>
          <t>Графины</t>
        </is>
      </c>
      <c r="C764" s="2">
        <v>727362668</v>
      </c>
      <c r="D764" s="2" t="inlineStr">
        <is>
          <t>12746</t>
        </is>
      </c>
      <c r="E764" s="2" t="inlineStr">
        <is>
          <t>2048062588799</t>
        </is>
      </c>
      <c r="F764" s="2">
        <v>0</v>
      </c>
      <c r="G764" s="2">
        <v>0</v>
      </c>
      <c r="H764" s="2" t="inlineStr">
        <is>
          <t/>
        </is>
      </c>
      <c r="I764" s="2" t="inlineStr">
        <is>
          <t>5633</t>
        </is>
      </c>
      <c r="J764" s="4"/>
      <c r="K764" s="2">
        <v>65</v>
      </c>
      <c r="L764" s="6"/>
      <c r="M764" s="2" t="str">
        <f>IF(J764="",ROUND(I764*(1-IF(ISBLANK(L764),K764,L764)/100),2),ROUND(J764*(1-IF(ISBLANK(L764),K764,L764)/100),2))</f>
      </c>
      <c r="N764" s="7" t="str">
        <f>IF(NOT(AND(J764="",L764="")),IF(OR(AND(L764&lt;&gt;"",NOT(ISNUMBER(L764))),IFERROR(MOD(L764,1),1)&gt;0,AND(ISNUMBER(L764),OR(L764&lt;0,L764&gt;95))),"Введите целое число от 0 до 95",IF(OR(AND(J764&lt;&gt;"",NOT(ISNUMBER(J764))),IFERROR(MOD(J764,1),1)&gt;0,AND(ISNUMBER(J764),OR(J764&lt;50,J764&gt;20000000))),"Введите целое число от 50 до 20000000",IF(NOT(ABS(IFERROR(VALUE(LEFT(M764,FIND("-",M764)-1)),M764)*100-(2500+2000000000)/2)&lt;=ABS(2500-2000000000)/2),"Цена со скидкой должна быть от 25 до 20000000",IF(AND(IFERROR(VALUE(LEFT(M764,FIND("-",M764)-1)),M764)*150&lt;=197155,IFERROR(VALUE(LEFT(M764,FIND("-",M764)-1)),M764)*200&gt;197155),"Вы уменьшили цену в несколько раз, товар попадет в карантин цен",IF(IFERROR(VALUE(LEFT(M764,FIND("-",M764)-1)),M764)*200&lt;=197155,"Не сохранили изменения, чтобы защитить от ошибки — новые цены меньше текущих более чем в 2 раза. Снижайте их постепенно",IF(AND(IFERROR(VALUE(I764),0)=0,ISNUMBER(J764),OR(J764&lt;458,ABS(IFERROR(VALUE(LEFT(M764,FIND("-",M764)-1)),M764))*100&lt;45800)),"Проверьте цену товара. Большинство товаров в выбранной категории стоят дороже 458","")))))),"")</f>
      </c>
    </row>
    <row r="765">
      <c r="A765" s="2" t="inlineStr">
        <is>
          <t>Pasabahce</t>
        </is>
      </c>
      <c r="B765" s="2" t="inlineStr">
        <is>
          <t>Графины</t>
        </is>
      </c>
      <c r="C765" s="2">
        <v>311648483</v>
      </c>
      <c r="D765" s="2" t="inlineStr">
        <is>
          <t>12101</t>
        </is>
      </c>
      <c r="E765" s="2" t="inlineStr">
        <is>
          <t>2042472623736</t>
        </is>
      </c>
      <c r="F765" s="2">
        <v>0</v>
      </c>
      <c r="G765" s="2">
        <v>0</v>
      </c>
      <c r="H765" s="2">
        <v>1</v>
      </c>
      <c r="I765" s="2" t="inlineStr">
        <is>
          <t>3031</t>
        </is>
      </c>
      <c r="J765" s="4"/>
      <c r="K765" s="2">
        <v>65</v>
      </c>
      <c r="L765" s="6"/>
      <c r="M765" s="2" t="str">
        <f>IF(J765="",ROUND(I765*(1-IF(ISBLANK(L765),K765,L765)/100),2),ROUND(J765*(1-IF(ISBLANK(L765),K765,L765)/100),2))</f>
      </c>
      <c r="N765" s="7" t="str">
        <f>IF(NOT(AND(J765="",L765="")),IF(OR(AND(L765&lt;&gt;"",NOT(ISNUMBER(L765))),IFERROR(MOD(L765,1),1)&gt;0,AND(ISNUMBER(L765),OR(L765&lt;0,L765&gt;95))),"Введите целое число от 0 до 95",IF(OR(AND(J765&lt;&gt;"",NOT(ISNUMBER(J765))),IFERROR(MOD(J765,1),1)&gt;0,AND(ISNUMBER(J765),OR(J765&lt;50,J765&gt;20000000))),"Введите целое число от 50 до 20000000",IF(NOT(ABS(IFERROR(VALUE(LEFT(M765,FIND("-",M765)-1)),M765)*100-(2500+2000000000)/2)&lt;=ABS(2500-2000000000)/2),"Цена со скидкой должна быть от 25 до 20000000",IF(AND(IFERROR(VALUE(LEFT(M765,FIND("-",M765)-1)),M765)*150&lt;=106084,IFERROR(VALUE(LEFT(M765,FIND("-",M765)-1)),M765)*200&gt;106084),"Вы уменьшили цену в несколько раз, товар попадет в карантин цен",IF(IFERROR(VALUE(LEFT(M765,FIND("-",M765)-1)),M765)*200&lt;=106084,"Не сохранили изменения, чтобы защитить от ошибки — новые цены меньше текущих более чем в 2 раза. Снижайте их постепенно",IF(AND(IFERROR(VALUE(I765),0)=0,ISNUMBER(J765),OR(J765&lt;458,ABS(IFERROR(VALUE(LEFT(M765,FIND("-",M765)-1)),M765))*100&lt;45800)),"Проверьте цену товара. Большинство товаров в выбранной категории стоят дороже 458","")))))),"")</f>
      </c>
    </row>
    <row r="766">
      <c r="A766" s="2" t="inlineStr">
        <is>
          <t/>
        </is>
      </c>
      <c r="B766" s="2" t="inlineStr">
        <is>
          <t>Стаканы</t>
        </is>
      </c>
      <c r="C766" s="2">
        <v>727614741</v>
      </c>
      <c r="D766" s="2" t="inlineStr">
        <is>
          <t>85531</t>
        </is>
      </c>
      <c r="E766" s="2" t="inlineStr">
        <is>
          <t>2048065148952</t>
        </is>
      </c>
      <c r="F766" s="2">
        <v>3</v>
      </c>
      <c r="G766" s="2">
        <v>0</v>
      </c>
      <c r="H766" s="2">
        <v>999</v>
      </c>
      <c r="I766" s="2" t="inlineStr">
        <is>
          <t>9512</t>
        </is>
      </c>
      <c r="J766" s="4"/>
      <c r="K766" s="2">
        <v>80</v>
      </c>
      <c r="L766" s="6"/>
      <c r="M766" s="2" t="str">
        <f>IF(J766="",ROUND(I766*(1-IF(ISBLANK(L766),K766,L766)/100),2),ROUND(J766*(1-IF(ISBLANK(L766),K766,L766)/100),2))</f>
      </c>
      <c r="N766" s="7" t="str">
        <f>IF(NOT(AND(J766="",L766="")),IF(OR(AND(L766&lt;&gt;"",NOT(ISNUMBER(L766))),IFERROR(MOD(L766,1),1)&gt;0,AND(ISNUMBER(L766),OR(L766&lt;0,L766&gt;95))),"Введите целое число от 0 до 95",IF(OR(AND(J766&lt;&gt;"",NOT(ISNUMBER(J766))),IFERROR(MOD(J766,1),1)&gt;0,AND(ISNUMBER(J766),OR(J766&lt;50,J766&gt;20000000))),"Введите целое число от 50 до 20000000",IF(NOT(ABS(IFERROR(VALUE(LEFT(M766,FIND("-",M766)-1)),M766)*100-(2500+2000000000)/2)&lt;=ABS(2500-2000000000)/2),"Цена со скидкой должна быть от 25 до 20000000",IF(AND(IFERROR(VALUE(LEFT(M766,FIND("-",M766)-1)),M766)*150&lt;=190239,IFERROR(VALUE(LEFT(M766,FIND("-",M766)-1)),M766)*200&gt;190239),"Вы уменьшили цену в несколько раз, товар попадет в карантин цен",IF(IFERROR(VALUE(LEFT(M766,FIND("-",M766)-1)),M766)*200&lt;=190239,"Не сохранили изменения, чтобы защитить от ошибки — новые цены меньше текущих более чем в 2 раза. Снижайте их постепенно",IF(AND(IFERROR(VALUE(I766),0)=0,ISNUMBER(J766),OR(J766&lt;317,ABS(IFERROR(VALUE(LEFT(M766,FIND("-",M766)-1)),M766))*100&lt;31700)),"Проверьте цену товара. Большинство товаров в выбранной категории стоят дороже 317","")))))),"")</f>
      </c>
    </row>
    <row r="767">
      <c r="A767" s="2" t="inlineStr">
        <is>
          <t/>
        </is>
      </c>
      <c r="B767" s="2" t="inlineStr">
        <is>
          <t>Мультиварки</t>
        </is>
      </c>
      <c r="C767" s="2">
        <v>725263317</v>
      </c>
      <c r="D767" s="2" t="inlineStr">
        <is>
          <t>192712</t>
        </is>
      </c>
      <c r="E767" s="2" t="inlineStr">
        <is>
          <t>2048046614988</t>
        </is>
      </c>
      <c r="F767" s="2">
        <v>0</v>
      </c>
      <c r="G767" s="2">
        <v>3</v>
      </c>
      <c r="H767" s="2" t="inlineStr">
        <is>
          <t/>
        </is>
      </c>
      <c r="I767" s="2" t="inlineStr">
        <is>
          <t>43844</t>
        </is>
      </c>
      <c r="J767" s="4"/>
      <c r="K767" s="2">
        <v>80</v>
      </c>
      <c r="L767" s="6"/>
      <c r="M767" s="2" t="str">
        <f>IF(J767="",ROUND(I767*(1-IF(ISBLANK(L767),K767,L767)/100),2),ROUND(J767*(1-IF(ISBLANK(L767),K767,L767)/100),2))</f>
      </c>
      <c r="N767" s="7" t="str">
        <f>IF(NOT(AND(J767="",L767="")),IF(OR(AND(L767&lt;&gt;"",NOT(ISNUMBER(L767))),IFERROR(MOD(L767,1),1)&gt;0,AND(ISNUMBER(L767),OR(L767&lt;0,L767&gt;95))),"Введите целое число от 0 до 95",IF(OR(AND(J767&lt;&gt;"",NOT(ISNUMBER(J767))),IFERROR(MOD(J767,1),1)&gt;0,AND(ISNUMBER(J767),OR(J767&lt;50,J767&gt;20000000))),"Введите целое число от 50 до 20000000",IF(NOT(ABS(IFERROR(VALUE(LEFT(M767,FIND("-",M767)-1)),M767)*100-(2500+2000000000)/2)&lt;=ABS(2500-2000000000)/2),"Цена со скидкой должна быть от 25 до 20000000",IF(AND(IFERROR(VALUE(LEFT(M767,FIND("-",M767)-1)),M767)*150&lt;=876879,IFERROR(VALUE(LEFT(M767,FIND("-",M767)-1)),M767)*200&gt;876879),"Вы уменьшили цену в несколько раз, товар попадет в карантин цен",IF(IFERROR(VALUE(LEFT(M767,FIND("-",M767)-1)),M767)*200&lt;=876879,"Не сохранили изменения, чтобы защитить от ошибки — новые цены меньше текущих более чем в 2 раза. Снижайте их постепенно",IF(AND(IFERROR(VALUE(I767),0)=0,ISNUMBER(J767),OR(J767&lt;482,ABS(IFERROR(VALUE(LEFT(M767,FIND("-",M767)-1)),M767))*100&lt;48200)),"Проверьте цену товара. Большинство товаров в выбранной категории стоят дороже 482","")))))),"")</f>
      </c>
    </row>
    <row r="768">
      <c r="A768" s="2" t="inlineStr">
        <is>
          <t/>
        </is>
      </c>
      <c r="B768" s="2" t="inlineStr">
        <is>
          <t>Стаканы</t>
        </is>
      </c>
      <c r="C768" s="2">
        <v>727614745</v>
      </c>
      <c r="D768" s="2" t="inlineStr">
        <is>
          <t>121842</t>
        </is>
      </c>
      <c r="E768" s="2" t="inlineStr">
        <is>
          <t>2048065149164</t>
        </is>
      </c>
      <c r="F768" s="2">
        <v>0</v>
      </c>
      <c r="G768" s="2">
        <v>3</v>
      </c>
      <c r="H768" s="2">
        <v>1</v>
      </c>
      <c r="I768" s="2" t="inlineStr">
        <is>
          <t>10243</t>
        </is>
      </c>
      <c r="J768" s="4"/>
      <c r="K768" s="2">
        <v>77</v>
      </c>
      <c r="L768" s="6"/>
      <c r="M768" s="2" t="str">
        <f>IF(J768="",ROUND(I768*(1-IF(ISBLANK(L768),K768,L768)/100),2),ROUND(J768*(1-IF(ISBLANK(L768),K768,L768)/100),2))</f>
      </c>
      <c r="N768" s="7" t="str">
        <f>IF(NOT(AND(J768="",L768="")),IF(OR(AND(L768&lt;&gt;"",NOT(ISNUMBER(L768))),IFERROR(MOD(L768,1),1)&gt;0,AND(ISNUMBER(L768),OR(L768&lt;0,L768&gt;95))),"Введите целое число от 0 до 95",IF(OR(AND(J768&lt;&gt;"",NOT(ISNUMBER(J768))),IFERROR(MOD(J768,1),1)&gt;0,AND(ISNUMBER(J768),OR(J768&lt;50,J768&gt;20000000))),"Введите целое число от 50 до 20000000",IF(NOT(ABS(IFERROR(VALUE(LEFT(M768,FIND("-",M768)-1)),M768)*100-(2500+2000000000)/2)&lt;=ABS(2500-2000000000)/2),"Цена со скидкой должна быть от 25 до 20000000",IF(AND(IFERROR(VALUE(LEFT(M768,FIND("-",M768)-1)),M768)*150&lt;=235589,IFERROR(VALUE(LEFT(M768,FIND("-",M768)-1)),M768)*200&gt;235589),"Вы уменьшили цену в несколько раз, товар попадет в карантин цен",IF(IFERROR(VALUE(LEFT(M768,FIND("-",M768)-1)),M768)*200&lt;=235589,"Не сохранили изменения, чтобы защитить от ошибки — новые цены меньше текущих более чем в 2 раза. Снижайте их постепенно",IF(AND(IFERROR(VALUE(I768),0)=0,ISNUMBER(J768),OR(J768&lt;317,ABS(IFERROR(VALUE(LEFT(M768,FIND("-",M768)-1)),M768))*100&lt;31700)),"Проверьте цену товара. Большинство товаров в выбранной категории стоят дороже 317","")))))),"")</f>
      </c>
    </row>
    <row r="769">
      <c r="A769" s="2" t="inlineStr">
        <is>
          <t/>
        </is>
      </c>
      <c r="B769" s="2" t="inlineStr">
        <is>
          <t>Мультиварки</t>
        </is>
      </c>
      <c r="C769" s="2">
        <v>725263313</v>
      </c>
      <c r="D769" s="2" t="inlineStr">
        <is>
          <t>191358</t>
        </is>
      </c>
      <c r="E769" s="2" t="inlineStr">
        <is>
          <t>2048046614940</t>
        </is>
      </c>
      <c r="F769" s="2">
        <v>0</v>
      </c>
      <c r="G769" s="2">
        <v>0</v>
      </c>
      <c r="H769" s="2" t="inlineStr">
        <is>
          <t/>
        </is>
      </c>
      <c r="I769" s="2" t="inlineStr">
        <is>
          <t>41074</t>
        </is>
      </c>
      <c r="J769" s="4"/>
      <c r="K769" s="2">
        <v>65</v>
      </c>
      <c r="L769" s="6"/>
      <c r="M769" s="2" t="str">
        <f>IF(J769="",ROUND(I769*(1-IF(ISBLANK(L769),K769,L769)/100),2),ROUND(J769*(1-IF(ISBLANK(L769),K769,L769)/100),2))</f>
      </c>
      <c r="N769" s="7" t="str">
        <f>IF(NOT(AND(J769="",L769="")),IF(OR(AND(L769&lt;&gt;"",NOT(ISNUMBER(L769))),IFERROR(MOD(L769,1),1)&gt;0,AND(ISNUMBER(L769),OR(L769&lt;0,L769&gt;95))),"Введите целое число от 0 до 95",IF(OR(AND(J769&lt;&gt;"",NOT(ISNUMBER(J769))),IFERROR(MOD(J769,1),1)&gt;0,AND(ISNUMBER(J769),OR(J769&lt;50,J769&gt;20000000))),"Введите целое число от 50 до 20000000",IF(NOT(ABS(IFERROR(VALUE(LEFT(M769,FIND("-",M769)-1)),M769)*100-(2500+2000000000)/2)&lt;=ABS(2500-2000000000)/2),"Цена со скидкой должна быть от 25 до 20000000",IF(AND(IFERROR(VALUE(LEFT(M769,FIND("-",M769)-1)),M769)*150&lt;=1437590,IFERROR(VALUE(LEFT(M769,FIND("-",M769)-1)),M769)*200&gt;1437590),"Вы уменьшили цену в несколько раз, товар попадет в карантин цен",IF(IFERROR(VALUE(LEFT(M769,FIND("-",M769)-1)),M769)*200&lt;=1437590,"Не сохранили изменения, чтобы защитить от ошибки — новые цены меньше текущих более чем в 2 раза. Снижайте их постепенно",IF(AND(IFERROR(VALUE(I769),0)=0,ISNUMBER(J769),OR(J769&lt;482,ABS(IFERROR(VALUE(LEFT(M769,FIND("-",M769)-1)),M769))*100&lt;48200)),"Проверьте цену товара. Большинство товаров в выбранной категории стоят дороже 482","")))))),"")</f>
      </c>
    </row>
    <row r="770">
      <c r="A770" s="2" t="inlineStr">
        <is>
          <t/>
        </is>
      </c>
      <c r="B770" s="2" t="inlineStr">
        <is>
          <t>Стаканы</t>
        </is>
      </c>
      <c r="C770" s="2">
        <v>727614756</v>
      </c>
      <c r="D770" s="2" t="inlineStr">
        <is>
          <t>12121</t>
        </is>
      </c>
      <c r="E770" s="2" t="inlineStr">
        <is>
          <t>2048065149751</t>
        </is>
      </c>
      <c r="F770" s="2">
        <v>0</v>
      </c>
      <c r="G770" s="2">
        <v>20</v>
      </c>
      <c r="H770" s="2" t="inlineStr">
        <is>
          <t/>
        </is>
      </c>
      <c r="I770" s="2" t="inlineStr">
        <is>
          <t>7356</t>
        </is>
      </c>
      <c r="J770" s="4"/>
      <c r="K770" s="2">
        <v>78</v>
      </c>
      <c r="L770" s="6"/>
      <c r="M770" s="2" t="str">
        <f>IF(J770="",ROUND(I770*(1-IF(ISBLANK(L770),K770,L770)/100),2),ROUND(J770*(1-IF(ISBLANK(L770),K770,L770)/100),2))</f>
      </c>
      <c r="N770" s="7" t="str">
        <f>IF(NOT(AND(J770="",L770="")),IF(OR(AND(L770&lt;&gt;"",NOT(ISNUMBER(L770))),IFERROR(MOD(L770,1),1)&gt;0,AND(ISNUMBER(L770),OR(L770&lt;0,L770&gt;95))),"Введите целое число от 0 до 95",IF(OR(AND(J770&lt;&gt;"",NOT(ISNUMBER(J770))),IFERROR(MOD(J770,1),1)&gt;0,AND(ISNUMBER(J770),OR(J770&lt;50,J770&gt;20000000))),"Введите целое число от 50 до 20000000",IF(NOT(ABS(IFERROR(VALUE(LEFT(M770,FIND("-",M770)-1)),M770)*100-(2500+2000000000)/2)&lt;=ABS(2500-2000000000)/2),"Цена со скидкой должна быть от 25 до 20000000",IF(AND(IFERROR(VALUE(LEFT(M770,FIND("-",M770)-1)),M770)*150&lt;=161831,IFERROR(VALUE(LEFT(M770,FIND("-",M770)-1)),M770)*200&gt;161831),"Вы уменьшили цену в несколько раз, товар попадет в карантин цен",IF(IFERROR(VALUE(LEFT(M770,FIND("-",M770)-1)),M770)*200&lt;=161831,"Не сохранили изменения, чтобы защитить от ошибки — новые цены меньше текущих более чем в 2 раза. Снижайте их постепенно",IF(AND(IFERROR(VALUE(I770),0)=0,ISNUMBER(J770),OR(J770&lt;317,ABS(IFERROR(VALUE(LEFT(M770,FIND("-",M770)-1)),M770))*100&lt;31700)),"Проверьте цену товара. Большинство товаров в выбранной категории стоят дороже 317","")))))),"")</f>
      </c>
    </row>
    <row r="771">
      <c r="A771" s="2" t="inlineStr">
        <is>
          <t/>
        </is>
      </c>
      <c r="B771" s="2" t="inlineStr">
        <is>
          <t>Стаканы</t>
        </is>
      </c>
      <c r="C771" s="2">
        <v>727614750</v>
      </c>
      <c r="D771" s="2" t="inlineStr">
        <is>
          <t>12455</t>
        </is>
      </c>
      <c r="E771" s="2" t="inlineStr">
        <is>
          <t>2048065149423</t>
        </is>
      </c>
      <c r="F771" s="2">
        <v>11</v>
      </c>
      <c r="G771" s="2">
        <v>5</v>
      </c>
      <c r="H771" s="2">
        <v>999</v>
      </c>
      <c r="I771" s="2" t="inlineStr">
        <is>
          <t>6016</t>
        </is>
      </c>
      <c r="J771" s="4"/>
      <c r="K771" s="2">
        <v>80</v>
      </c>
      <c r="L771" s="6"/>
      <c r="M771" s="2" t="str">
        <f>IF(J771="",ROUND(I771*(1-IF(ISBLANK(L771),K771,L771)/100),2),ROUND(J771*(1-IF(ISBLANK(L771),K771,L771)/100),2))</f>
      </c>
      <c r="N771" s="7" t="str">
        <f>IF(NOT(AND(J771="",L771="")),IF(OR(AND(L771&lt;&gt;"",NOT(ISNUMBER(L771))),IFERROR(MOD(L771,1),1)&gt;0,AND(ISNUMBER(L771),OR(L771&lt;0,L771&gt;95))),"Введите целое число от 0 до 95",IF(OR(AND(J771&lt;&gt;"",NOT(ISNUMBER(J771))),IFERROR(MOD(J771,1),1)&gt;0,AND(ISNUMBER(J771),OR(J771&lt;50,J771&gt;20000000))),"Введите целое число от 50 до 20000000",IF(NOT(ABS(IFERROR(VALUE(LEFT(M771,FIND("-",M771)-1)),M771)*100-(2500+2000000000)/2)&lt;=ABS(2500-2000000000)/2),"Цена со скидкой должна быть от 25 до 20000000",IF(AND(IFERROR(VALUE(LEFT(M771,FIND("-",M771)-1)),M771)*150&lt;=120319,IFERROR(VALUE(LEFT(M771,FIND("-",M771)-1)),M771)*200&gt;120319),"Вы уменьшили цену в несколько раз, товар попадет в карантин цен",IF(IFERROR(VALUE(LEFT(M771,FIND("-",M771)-1)),M771)*200&lt;=120319,"Не сохранили изменения, чтобы защитить от ошибки — новые цены меньше текущих более чем в 2 раза. Снижайте их постепенно",IF(AND(IFERROR(VALUE(I771),0)=0,ISNUMBER(J771),OR(J771&lt;317,ABS(IFERROR(VALUE(LEFT(M771,FIND("-",M771)-1)),M771))*100&lt;31700)),"Проверьте цену товара. Большинство товаров в выбранной категории стоят дороже 317","")))))),"")</f>
      </c>
    </row>
    <row r="772">
      <c r="A772" s="2" t="inlineStr">
        <is>
          <t/>
        </is>
      </c>
      <c r="B772" s="2" t="inlineStr">
        <is>
          <t>Стаканы</t>
        </is>
      </c>
      <c r="C772" s="2">
        <v>727614755</v>
      </c>
      <c r="D772" s="2" t="inlineStr">
        <is>
          <t>12160</t>
        </is>
      </c>
      <c r="E772" s="2" t="inlineStr">
        <is>
          <t>2048065149683</t>
        </is>
      </c>
      <c r="F772" s="2">
        <v>17</v>
      </c>
      <c r="G772" s="2">
        <v>21</v>
      </c>
      <c r="H772" s="2">
        <v>121</v>
      </c>
      <c r="I772" s="2" t="inlineStr">
        <is>
          <t>4172</t>
        </is>
      </c>
      <c r="J772" s="4"/>
      <c r="K772" s="2">
        <v>78</v>
      </c>
      <c r="L772" s="6"/>
      <c r="M772" s="2" t="str">
        <f>IF(J772="",ROUND(I772*(1-IF(ISBLANK(L772),K772,L772)/100),2),ROUND(J772*(1-IF(ISBLANK(L772),K772,L772)/100),2))</f>
      </c>
      <c r="N772" s="7" t="str">
        <f>IF(NOT(AND(J772="",L772="")),IF(OR(AND(L772&lt;&gt;"",NOT(ISNUMBER(L772))),IFERROR(MOD(L772,1),1)&gt;0,AND(ISNUMBER(L772),OR(L772&lt;0,L772&gt;95))),"Введите целое число от 0 до 95",IF(OR(AND(J772&lt;&gt;"",NOT(ISNUMBER(J772))),IFERROR(MOD(J772,1),1)&gt;0,AND(ISNUMBER(J772),OR(J772&lt;50,J772&gt;20000000))),"Введите целое число от 50 до 20000000",IF(NOT(ABS(IFERROR(VALUE(LEFT(M772,FIND("-",M772)-1)),M772)*100-(2500+2000000000)/2)&lt;=ABS(2500-2000000000)/2),"Цена со скидкой должна быть от 25 до 20000000",IF(AND(IFERROR(VALUE(LEFT(M772,FIND("-",M772)-1)),M772)*150&lt;=91783,IFERROR(VALUE(LEFT(M772,FIND("-",M772)-1)),M772)*200&gt;91783),"Вы уменьшили цену в несколько раз, товар попадет в карантин цен",IF(IFERROR(VALUE(LEFT(M772,FIND("-",M772)-1)),M772)*200&lt;=91783,"Не сохранили изменения, чтобы защитить от ошибки — новые цены меньше текущих более чем в 2 раза. Снижайте их постепенно",IF(AND(IFERROR(VALUE(I772),0)=0,ISNUMBER(J772),OR(J772&lt;317,ABS(IFERROR(VALUE(LEFT(M772,FIND("-",M772)-1)),M772))*100&lt;31700)),"Проверьте цену товара. Большинство товаров в выбранной категории стоят дороже 317","")))))),"")</f>
      </c>
    </row>
    <row r="773">
      <c r="A773" s="2" t="inlineStr">
        <is>
          <t/>
        </is>
      </c>
      <c r="B773" s="2" t="inlineStr">
        <is>
          <t>Графины</t>
        </is>
      </c>
      <c r="C773" s="2">
        <v>859289393</v>
      </c>
      <c r="D773" s="2" t="inlineStr">
        <is>
          <t>122045</t>
        </is>
      </c>
      <c r="E773" s="2" t="inlineStr">
        <is>
          <t>4670294458632</t>
        </is>
      </c>
      <c r="F773" s="2">
        <v>117</v>
      </c>
      <c r="G773" s="2">
        <v>994</v>
      </c>
      <c r="H773" s="2">
        <v>999</v>
      </c>
      <c r="I773" s="2" t="inlineStr">
        <is>
          <t>4809</t>
        </is>
      </c>
      <c r="J773" s="4"/>
      <c r="K773" s="2">
        <v>80</v>
      </c>
      <c r="L773" s="6"/>
      <c r="M773" s="2" t="str">
        <f>IF(J773="",ROUND(I773*(1-IF(ISBLANK(L773),K773,L773)/100),2),ROUND(J773*(1-IF(ISBLANK(L773),K773,L773)/100),2))</f>
      </c>
      <c r="N773" s="7" t="str">
        <f>IF(NOT(AND(J773="",L773="")),IF(OR(AND(L773&lt;&gt;"",NOT(ISNUMBER(L773))),IFERROR(MOD(L773,1),1)&gt;0,AND(ISNUMBER(L773),OR(L773&lt;0,L773&gt;95))),"Введите целое число от 0 до 95",IF(OR(AND(J773&lt;&gt;"",NOT(ISNUMBER(J773))),IFERROR(MOD(J773,1),1)&gt;0,AND(ISNUMBER(J773),OR(J773&lt;50,J773&gt;20000000))),"Введите целое число от 50 до 20000000",IF(NOT(ABS(IFERROR(VALUE(LEFT(M773,FIND("-",M773)-1)),M773)*100-(2500+2000000000)/2)&lt;=ABS(2500-2000000000)/2),"Цена со скидкой должна быть от 25 до 20000000",IF(AND(IFERROR(VALUE(LEFT(M773,FIND("-",M773)-1)),M773)*150&lt;=96179,IFERROR(VALUE(LEFT(M773,FIND("-",M773)-1)),M773)*200&gt;96179),"Вы уменьшили цену в несколько раз, товар попадет в карантин цен",IF(IFERROR(VALUE(LEFT(M773,FIND("-",M773)-1)),M773)*200&lt;=96179,"Не сохранили изменения, чтобы защитить от ошибки — новые цены меньше текущих более чем в 2 раза. Снижайте их постепенно",IF(AND(IFERROR(VALUE(I773),0)=0,ISNUMBER(J773),OR(J773&lt;458,ABS(IFERROR(VALUE(LEFT(M773,FIND("-",M773)-1)),M773))*100&lt;45800)),"Проверьте цену товара. Большинство товаров в выбранной категории стоят дороже 458","")))))),"")</f>
      </c>
    </row>
    <row r="774">
      <c r="A774" s="2" t="inlineStr">
        <is>
          <t/>
        </is>
      </c>
      <c r="B774" s="2" t="inlineStr">
        <is>
          <t>Стаканы</t>
        </is>
      </c>
      <c r="C774" s="2">
        <v>727614759</v>
      </c>
      <c r="D774" s="2" t="inlineStr">
        <is>
          <t>12105</t>
        </is>
      </c>
      <c r="E774" s="2" t="inlineStr">
        <is>
          <t>2048065149874</t>
        </is>
      </c>
      <c r="F774" s="2">
        <v>11</v>
      </c>
      <c r="G774" s="2">
        <v>14</v>
      </c>
      <c r="H774" s="2">
        <v>999</v>
      </c>
      <c r="I774" s="2" t="inlineStr">
        <is>
          <t>6172</t>
        </is>
      </c>
      <c r="J774" s="4"/>
      <c r="K774" s="2">
        <v>79</v>
      </c>
      <c r="L774" s="6"/>
      <c r="M774" s="2" t="str">
        <f>IF(J774="",ROUND(I774*(1-IF(ISBLANK(L774),K774,L774)/100),2),ROUND(J774*(1-IF(ISBLANK(L774),K774,L774)/100),2))</f>
      </c>
      <c r="N774" s="7" t="str">
        <f>IF(NOT(AND(J774="",L774="")),IF(OR(AND(L774&lt;&gt;"",NOT(ISNUMBER(L774))),IFERROR(MOD(L774,1),1)&gt;0,AND(ISNUMBER(L774),OR(L774&lt;0,L774&gt;95))),"Введите целое число от 0 до 95",IF(OR(AND(J774&lt;&gt;"",NOT(ISNUMBER(J774))),IFERROR(MOD(J774,1),1)&gt;0,AND(ISNUMBER(J774),OR(J774&lt;50,J774&gt;20000000))),"Введите целое число от 50 до 20000000",IF(NOT(ABS(IFERROR(VALUE(LEFT(M774,FIND("-",M774)-1)),M774)*100-(2500+2000000000)/2)&lt;=ABS(2500-2000000000)/2),"Цена со скидкой должна быть от 25 до 20000000",IF(AND(IFERROR(VALUE(LEFT(M774,FIND("-",M774)-1)),M774)*150&lt;=129611,IFERROR(VALUE(LEFT(M774,FIND("-",M774)-1)),M774)*200&gt;129611),"Вы уменьшили цену в несколько раз, товар попадет в карантин цен",IF(IFERROR(VALUE(LEFT(M774,FIND("-",M774)-1)),M774)*200&lt;=129611,"Не сохранили изменения, чтобы защитить от ошибки — новые цены меньше текущих более чем в 2 раза. Снижайте их постепенно",IF(AND(IFERROR(VALUE(I774),0)=0,ISNUMBER(J774),OR(J774&lt;317,ABS(IFERROR(VALUE(LEFT(M774,FIND("-",M774)-1)),M774))*100&lt;31700)),"Проверьте цену товара. Большинство товаров в выбранной категории стоят дороже 317","")))))),"")</f>
      </c>
    </row>
    <row r="775">
      <c r="A775" s="2" t="inlineStr">
        <is>
          <t/>
        </is>
      </c>
      <c r="B775" s="2" t="inlineStr">
        <is>
          <t>Графины</t>
        </is>
      </c>
      <c r="C775" s="2">
        <v>619242997</v>
      </c>
      <c r="D775" s="2" t="inlineStr">
        <is>
          <t>100646</t>
        </is>
      </c>
      <c r="E775" s="2" t="inlineStr">
        <is>
          <t>2047320670559</t>
        </is>
      </c>
      <c r="F775" s="2">
        <v>13</v>
      </c>
      <c r="G775" s="2">
        <v>0</v>
      </c>
      <c r="H775" s="2">
        <v>999</v>
      </c>
      <c r="I775" s="2" t="inlineStr">
        <is>
          <t>8832</t>
        </is>
      </c>
      <c r="J775" s="4"/>
      <c r="K775" s="2">
        <v>81</v>
      </c>
      <c r="L775" s="6"/>
      <c r="M775" s="2" t="str">
        <f>IF(J775="",ROUND(I775*(1-IF(ISBLANK(L775),K775,L775)/100),2),ROUND(J775*(1-IF(ISBLANK(L775),K775,L775)/100),2))</f>
      </c>
      <c r="N775" s="7" t="str">
        <f>IF(NOT(AND(J775="",L775="")),IF(OR(AND(L775&lt;&gt;"",NOT(ISNUMBER(L775))),IFERROR(MOD(L775,1),1)&gt;0,AND(ISNUMBER(L775),OR(L775&lt;0,L775&gt;95))),"Введите целое число от 0 до 95",IF(OR(AND(J775&lt;&gt;"",NOT(ISNUMBER(J775))),IFERROR(MOD(J775,1),1)&gt;0,AND(ISNUMBER(J775),OR(J775&lt;50,J775&gt;20000000))),"Введите целое число от 50 до 20000000",IF(NOT(ABS(IFERROR(VALUE(LEFT(M775,FIND("-",M775)-1)),M775)*100-(2500+2000000000)/2)&lt;=ABS(2500-2000000000)/2),"Цена со скидкой должна быть от 25 до 20000000",IF(AND(IFERROR(VALUE(LEFT(M775,FIND("-",M775)-1)),M775)*150&lt;=167807,IFERROR(VALUE(LEFT(M775,FIND("-",M775)-1)),M775)*200&gt;167807),"Вы уменьшили цену в несколько раз, товар попадет в карантин цен",IF(IFERROR(VALUE(LEFT(M775,FIND("-",M775)-1)),M775)*200&lt;=167807,"Не сохранили изменения, чтобы защитить от ошибки — новые цены меньше текущих более чем в 2 раза. Снижайте их постепенно",IF(AND(IFERROR(VALUE(I775),0)=0,ISNUMBER(J775),OR(J775&lt;458,ABS(IFERROR(VALUE(LEFT(M775,FIND("-",M775)-1)),M775))*100&lt;45800)),"Проверьте цену товара. Большинство товаров в выбранной категории стоят дороже 458","")))))),"")</f>
      </c>
    </row>
    <row r="776">
      <c r="A776" s="2" t="inlineStr">
        <is>
          <t/>
        </is>
      </c>
      <c r="B776" s="2" t="inlineStr">
        <is>
          <t>Стаканы</t>
        </is>
      </c>
      <c r="C776" s="2">
        <v>727614754</v>
      </c>
      <c r="D776" s="2" t="inlineStr">
        <is>
          <t>121980</t>
        </is>
      </c>
      <c r="E776" s="2" t="inlineStr">
        <is>
          <t>2048065149607</t>
        </is>
      </c>
      <c r="F776" s="2">
        <v>8</v>
      </c>
      <c r="G776" s="2">
        <v>7</v>
      </c>
      <c r="H776" s="2">
        <v>999</v>
      </c>
      <c r="I776" s="2" t="inlineStr">
        <is>
          <t>10125</t>
        </is>
      </c>
      <c r="J776" s="4"/>
      <c r="K776" s="2">
        <v>80</v>
      </c>
      <c r="L776" s="6"/>
      <c r="M776" s="2" t="str">
        <f>IF(J776="",ROUND(I776*(1-IF(ISBLANK(L776),K776,L776)/100),2),ROUND(J776*(1-IF(ISBLANK(L776),K776,L776)/100),2))</f>
      </c>
      <c r="N776" s="7" t="str">
        <f>IF(NOT(AND(J776="",L776="")),IF(OR(AND(L776&lt;&gt;"",NOT(ISNUMBER(L776))),IFERROR(MOD(L776,1),1)&gt;0,AND(ISNUMBER(L776),OR(L776&lt;0,L776&gt;95))),"Введите целое число от 0 до 95",IF(OR(AND(J776&lt;&gt;"",NOT(ISNUMBER(J776))),IFERROR(MOD(J776,1),1)&gt;0,AND(ISNUMBER(J776),OR(J776&lt;50,J776&gt;20000000))),"Введите целое число от 50 до 20000000",IF(NOT(ABS(IFERROR(VALUE(LEFT(M776,FIND("-",M776)-1)),M776)*100-(2500+2000000000)/2)&lt;=ABS(2500-2000000000)/2),"Цена со скидкой должна быть от 25 до 20000000",IF(AND(IFERROR(VALUE(LEFT(M776,FIND("-",M776)-1)),M776)*150&lt;=202499,IFERROR(VALUE(LEFT(M776,FIND("-",M776)-1)),M776)*200&gt;202499),"Вы уменьшили цену в несколько раз, товар попадет в карантин цен",IF(IFERROR(VALUE(LEFT(M776,FIND("-",M776)-1)),M776)*200&lt;=202499,"Не сохранили изменения, чтобы защитить от ошибки — новые цены меньше текущих более чем в 2 раза. Снижайте их постепенно",IF(AND(IFERROR(VALUE(I776),0)=0,ISNUMBER(J776),OR(J776&lt;317,ABS(IFERROR(VALUE(LEFT(M776,FIND("-",M776)-1)),M776))*100&lt;31700)),"Проверьте цену товара. Большинство товаров в выбранной категории стоят дороже 317","")))))),"")</f>
      </c>
    </row>
    <row r="777">
      <c r="A777" s="2" t="inlineStr">
        <is>
          <t/>
        </is>
      </c>
      <c r="B777" s="2" t="inlineStr">
        <is>
          <t>Наборы кухонных принадлежностей</t>
        </is>
      </c>
      <c r="C777" s="2">
        <v>600639310</v>
      </c>
      <c r="D777" s="2" t="inlineStr">
        <is>
          <t>513418</t>
        </is>
      </c>
      <c r="E777" s="2" t="inlineStr">
        <is>
          <t>2047129194485</t>
        </is>
      </c>
      <c r="F777" s="2">
        <v>10</v>
      </c>
      <c r="G777" s="2">
        <v>0</v>
      </c>
      <c r="H777" s="2">
        <v>319</v>
      </c>
      <c r="I777" s="2" t="inlineStr">
        <is>
          <t>10084</t>
        </is>
      </c>
      <c r="J777" s="4"/>
      <c r="K777" s="2">
        <v>78</v>
      </c>
      <c r="L777" s="6"/>
      <c r="M777" s="2" t="str">
        <f>IF(J777="",ROUND(I777*(1-IF(ISBLANK(L777),K777,L777)/100),2),ROUND(J777*(1-IF(ISBLANK(L777),K777,L777)/100),2))</f>
      </c>
      <c r="N777" s="7" t="str">
        <f>IF(NOT(AND(J777="",L777="")),IF(OR(AND(L777&lt;&gt;"",NOT(ISNUMBER(L777))),IFERROR(MOD(L777,1),1)&gt;0,AND(ISNUMBER(L777),OR(L777&lt;0,L777&gt;95))),"Введите целое число от 0 до 95",IF(OR(AND(J777&lt;&gt;"",NOT(ISNUMBER(J777))),IFERROR(MOD(J777,1),1)&gt;0,AND(ISNUMBER(J777),OR(J777&lt;50,J777&gt;20000000))),"Введите целое число от 50 до 20000000",IF(NOT(ABS(IFERROR(VALUE(LEFT(M777,FIND("-",M777)-1)),M777)*100-(2500+2000000000)/2)&lt;=ABS(2500-2000000000)/2),"Цена со скидкой должна быть от 25 до 20000000",IF(AND(IFERROR(VALUE(LEFT(M777,FIND("-",M777)-1)),M777)*150&lt;=221847,IFERROR(VALUE(LEFT(M777,FIND("-",M777)-1)),M777)*200&gt;221847),"Вы уменьшили цену в несколько раз, товар попадет в карантин цен",IF(IFERROR(VALUE(LEFT(M777,FIND("-",M777)-1)),M777)*200&lt;=221847,"Не сохранили изменения, чтобы защитить от ошибки — новые цены меньше текущих более чем в 2 раза. Снижайте их постепенно",IF(AND(IFERROR(VALUE(I777),0)=0,ISNUMBER(J777),OR(J777&lt;396,ABS(IFERROR(VALUE(LEFT(M777,FIND("-",M777)-1)),M777))*100&lt;39600)),"Проверьте цену товара. Большинство товаров в выбранной категории стоят дороже 396","")))))),"")</f>
      </c>
    </row>
    <row r="778">
      <c r="A778" s="2" t="inlineStr">
        <is>
          <t>Luxaro</t>
        </is>
      </c>
      <c r="B778" s="2" t="inlineStr">
        <is>
          <t>Противни</t>
        </is>
      </c>
      <c r="C778" s="2">
        <v>894096461</v>
      </c>
      <c r="D778" s="2" t="inlineStr">
        <is>
          <t>282205</t>
        </is>
      </c>
      <c r="E778" s="2" t="inlineStr">
        <is>
          <t>2049737852887</t>
        </is>
      </c>
      <c r="F778" s="2">
        <v>0</v>
      </c>
      <c r="G778" s="2">
        <v>1</v>
      </c>
      <c r="H778" s="2" t="inlineStr">
        <is>
          <t/>
        </is>
      </c>
      <c r="I778" s="2" t="inlineStr">
        <is>
          <t>10200</t>
        </is>
      </c>
      <c r="J778" s="4"/>
      <c r="K778" s="2">
        <v>78</v>
      </c>
      <c r="L778" s="6"/>
      <c r="M778" s="2" t="str">
        <f>IF(J778="",ROUND(I778*(1-IF(ISBLANK(L778),K778,L778)/100),2),ROUND(J778*(1-IF(ISBLANK(L778),K778,L778)/100),2))</f>
      </c>
      <c r="N778" s="7" t="str">
        <f>IF(NOT(AND(J778="",L778="")),IF(OR(AND(L778&lt;&gt;"",NOT(ISNUMBER(L778))),IFERROR(MOD(L778,1),1)&gt;0,AND(ISNUMBER(L778),OR(L778&lt;0,L778&gt;95))),"Введите целое число от 0 до 95",IF(OR(AND(J778&lt;&gt;"",NOT(ISNUMBER(J778))),IFERROR(MOD(J778,1),1)&gt;0,AND(ISNUMBER(J778),OR(J778&lt;50,J778&gt;20000000))),"Введите целое число от 50 до 20000000",IF(NOT(ABS(IFERROR(VALUE(LEFT(M778,FIND("-",M778)-1)),M778)*100-(2500+2000000000)/2)&lt;=ABS(2500-2000000000)/2),"Цена со скидкой должна быть от 25 до 20000000",IF(AND(IFERROR(VALUE(LEFT(M778,FIND("-",M778)-1)),M778)*150&lt;=224399,IFERROR(VALUE(LEFT(M778,FIND("-",M778)-1)),M778)*200&gt;224399),"Вы уменьшили цену в несколько раз, товар попадет в карантин цен",IF(IFERROR(VALUE(LEFT(M778,FIND("-",M778)-1)),M778)*200&lt;=224399,"Не сохранили изменения, чтобы защитить от ошибки — новые цены меньше текущих более чем в 2 раза. Снижайте их постепенно",IF(AND(IFERROR(VALUE(I778),0)=0,ISNUMBER(J778),OR(J778&lt;427,ABS(IFERROR(VALUE(LEFT(M778,FIND("-",M778)-1)),M778))*100&lt;42700)),"Проверьте цену товара. Большинство товаров в выбранной категории стоят дороже 427","")))))),"")</f>
      </c>
    </row>
    <row r="779">
      <c r="A779" s="2" t="inlineStr">
        <is>
          <t>Luxaro</t>
        </is>
      </c>
      <c r="B779" s="2" t="inlineStr">
        <is>
          <t>Формы для запекания</t>
        </is>
      </c>
      <c r="C779" s="2">
        <v>246996752</v>
      </c>
      <c r="D779" s="2" t="inlineStr">
        <is>
          <t>513385</t>
        </is>
      </c>
      <c r="E779" s="2" t="inlineStr">
        <is>
          <t>4680093960335</t>
        </is>
      </c>
      <c r="F779" s="2">
        <v>64</v>
      </c>
      <c r="G779" s="2">
        <v>706</v>
      </c>
      <c r="H779" s="2">
        <v>999</v>
      </c>
      <c r="I779" s="2" t="inlineStr">
        <is>
          <t>4984</t>
        </is>
      </c>
      <c r="J779" s="4"/>
      <c r="K779" s="2">
        <v>81</v>
      </c>
      <c r="L779" s="6"/>
      <c r="M779" s="2" t="str">
        <f>IF(J779="",ROUND(I779*(1-IF(ISBLANK(L779),K779,L779)/100),2),ROUND(J779*(1-IF(ISBLANK(L779),K779,L779)/100),2))</f>
      </c>
      <c r="N779" s="7" t="str">
        <f>IF(NOT(AND(J779="",L779="")),IF(OR(AND(L779&lt;&gt;"",NOT(ISNUMBER(L779))),IFERROR(MOD(L779,1),1)&gt;0,AND(ISNUMBER(L779),OR(L779&lt;0,L779&gt;95))),"Введите целое число от 0 до 95",IF(OR(AND(J779&lt;&gt;"",NOT(ISNUMBER(J779))),IFERROR(MOD(J779,1),1)&gt;0,AND(ISNUMBER(J779),OR(J779&lt;50,J779&gt;20000000))),"Введите целое число от 50 до 20000000",IF(NOT(ABS(IFERROR(VALUE(LEFT(M779,FIND("-",M779)-1)),M779)*100-(2500+2000000000)/2)&lt;=ABS(2500-2000000000)/2),"Цена со скидкой должна быть от 25 до 20000000",IF(AND(IFERROR(VALUE(LEFT(M779,FIND("-",M779)-1)),M779)*150&lt;=94695,IFERROR(VALUE(LEFT(M779,FIND("-",M779)-1)),M779)*200&gt;94695),"Вы уменьшили цену в несколько раз, товар попадет в карантин цен",IF(IFERROR(VALUE(LEFT(M779,FIND("-",M779)-1)),M779)*200&lt;=94695,"Не сохранили изменения, чтобы защитить от ошибки — новые цены меньше текущих более чем в 2 раза. Снижайте их постепенно",IF(AND(IFERROR(VALUE(I779),0)=0,ISNUMBER(J779),OR(J779&lt;290,ABS(IFERROR(VALUE(LEFT(M779,FIND("-",M779)-1)),M779))*100&lt;29000)),"Проверьте цену товара. Большинство товаров в выбранной категории стоят дороже 290","")))))),"")</f>
      </c>
    </row>
    <row r="780">
      <c r="A780" s="2" t="inlineStr">
        <is>
          <t>Luxaro</t>
        </is>
      </c>
      <c r="B780" s="2" t="inlineStr">
        <is>
          <t>Формы для запекания</t>
        </is>
      </c>
      <c r="C780" s="2">
        <v>242997807</v>
      </c>
      <c r="D780" s="2" t="inlineStr">
        <is>
          <t>821288</t>
        </is>
      </c>
      <c r="E780" s="2" t="inlineStr">
        <is>
          <t>2040585593694</t>
        </is>
      </c>
      <c r="F780" s="2">
        <v>70</v>
      </c>
      <c r="G780" s="2">
        <v>47</v>
      </c>
      <c r="H780" s="2">
        <v>374</v>
      </c>
      <c r="I780" s="2" t="inlineStr">
        <is>
          <t>4812</t>
        </is>
      </c>
      <c r="J780" s="4"/>
      <c r="K780" s="2">
        <v>75</v>
      </c>
      <c r="L780" s="6"/>
      <c r="M780" s="2" t="str">
        <f>IF(J780="",ROUND(I780*(1-IF(ISBLANK(L780),K780,L780)/100),2),ROUND(J780*(1-IF(ISBLANK(L780),K780,L780)/100),2))</f>
      </c>
      <c r="N780" s="7" t="str">
        <f>IF(NOT(AND(J780="",L780="")),IF(OR(AND(L780&lt;&gt;"",NOT(ISNUMBER(L780))),IFERROR(MOD(L780,1),1)&gt;0,AND(ISNUMBER(L780),OR(L780&lt;0,L780&gt;95))),"Введите целое число от 0 до 95",IF(OR(AND(J780&lt;&gt;"",NOT(ISNUMBER(J780))),IFERROR(MOD(J780,1),1)&gt;0,AND(ISNUMBER(J780),OR(J780&lt;50,J780&gt;20000000))),"Введите целое число от 50 до 20000000",IF(NOT(ABS(IFERROR(VALUE(LEFT(M780,FIND("-",M780)-1)),M780)*100-(2500+2000000000)/2)&lt;=ABS(2500-2000000000)/2),"Цена со скидкой должна быть от 25 до 20000000",IF(AND(IFERROR(VALUE(LEFT(M780,FIND("-",M780)-1)),M780)*150&lt;=120300,IFERROR(VALUE(LEFT(M780,FIND("-",M780)-1)),M780)*200&gt;120300),"Вы уменьшили цену в несколько раз, товар попадет в карантин цен",IF(IFERROR(VALUE(LEFT(M780,FIND("-",M780)-1)),M780)*200&lt;=120300,"Не сохранили изменения, чтобы защитить от ошибки — новые цены меньше текущих более чем в 2 раза. Снижайте их постепенно",IF(AND(IFERROR(VALUE(I780),0)=0,ISNUMBER(J780),OR(J780&lt;290,ABS(IFERROR(VALUE(LEFT(M780,FIND("-",M780)-1)),M780))*100&lt;29000)),"Проверьте цену товара. Большинство товаров в выбранной категории стоят дороже 290","")))))),"")</f>
      </c>
    </row>
    <row r="781">
      <c r="A781" s="2" t="inlineStr">
        <is>
          <t/>
        </is>
      </c>
      <c r="B781" s="2" t="inlineStr">
        <is>
          <t>Кастрюли</t>
        </is>
      </c>
      <c r="C781" s="2">
        <v>729145113</v>
      </c>
      <c r="D781" s="2" t="inlineStr">
        <is>
          <t>28698</t>
        </is>
      </c>
      <c r="E781" s="2" t="inlineStr">
        <is>
          <t>2048079111171</t>
        </is>
      </c>
      <c r="F781" s="2">
        <v>0</v>
      </c>
      <c r="G781" s="2">
        <v>2</v>
      </c>
      <c r="H781" s="2" t="inlineStr">
        <is>
          <t/>
        </is>
      </c>
      <c r="I781" s="2" t="inlineStr">
        <is>
          <t>43328</t>
        </is>
      </c>
      <c r="J781" s="4"/>
      <c r="K781" s="2">
        <v>77</v>
      </c>
      <c r="L781" s="6"/>
      <c r="M781" s="2" t="str">
        <f>IF(J781="",ROUND(I781*(1-IF(ISBLANK(L781),K781,L781)/100),2),ROUND(J781*(1-IF(ISBLANK(L781),K781,L781)/100),2))</f>
      </c>
      <c r="N781" s="7" t="str">
        <f>IF(NOT(AND(J781="",L781="")),IF(OR(AND(L781&lt;&gt;"",NOT(ISNUMBER(L781))),IFERROR(MOD(L781,1),1)&gt;0,AND(ISNUMBER(L781),OR(L781&lt;0,L781&gt;95))),"Введите целое число от 0 до 95",IF(OR(AND(J781&lt;&gt;"",NOT(ISNUMBER(J781))),IFERROR(MOD(J781,1),1)&gt;0,AND(ISNUMBER(J781),OR(J781&lt;50,J781&gt;20000000))),"Введите целое число от 50 до 20000000",IF(NOT(ABS(IFERROR(VALUE(LEFT(M781,FIND("-",M781)-1)),M781)*100-(2500+2000000000)/2)&lt;=ABS(2500-2000000000)/2),"Цена со скидкой должна быть от 25 до 20000000",IF(AND(IFERROR(VALUE(LEFT(M781,FIND("-",M781)-1)),M781)*150&lt;=996543,IFERROR(VALUE(LEFT(M781,FIND("-",M781)-1)),M781)*200&gt;996543),"Вы уменьшили цену в несколько раз, товар попадет в карантин цен",IF(IFERROR(VALUE(LEFT(M781,FIND("-",M781)-1)),M781)*200&lt;=996543,"Не сохранили изменения, чтобы защитить от ошибки — новые цены меньше текущих более чем в 2 раза. Снижайте их постепенно",IF(AND(IFERROR(VALUE(I781),0)=0,ISNUMBER(J781),OR(J781&lt;523,ABS(IFERROR(VALUE(LEFT(M781,FIND("-",M781)-1)),M781))*100&lt;52300)),"Проверьте цену товара. Большинство товаров в выбранной категории стоят дороже 523","")))))),"")</f>
      </c>
    </row>
    <row r="782">
      <c r="A782" s="2" t="inlineStr">
        <is>
          <t/>
        </is>
      </c>
      <c r="B782" s="2" t="inlineStr">
        <is>
          <t>Кастрюли</t>
        </is>
      </c>
      <c r="C782" s="2">
        <v>729144034</v>
      </c>
      <c r="D782" s="2" t="inlineStr">
        <is>
          <t>82739</t>
        </is>
      </c>
      <c r="E782" s="2" t="inlineStr">
        <is>
          <t>2048079090261</t>
        </is>
      </c>
      <c r="F782" s="2">
        <v>0</v>
      </c>
      <c r="G782" s="2">
        <v>13</v>
      </c>
      <c r="H782" s="2" t="inlineStr">
        <is>
          <t/>
        </is>
      </c>
      <c r="I782" s="2" t="inlineStr">
        <is>
          <t>14836</t>
        </is>
      </c>
      <c r="J782" s="4"/>
      <c r="K782" s="2">
        <v>80</v>
      </c>
      <c r="L782" s="6"/>
      <c r="M782" s="2" t="str">
        <f>IF(J782="",ROUND(I782*(1-IF(ISBLANK(L782),K782,L782)/100),2),ROUND(J782*(1-IF(ISBLANK(L782),K782,L782)/100),2))</f>
      </c>
      <c r="N782" s="7" t="str">
        <f>IF(NOT(AND(J782="",L782="")),IF(OR(AND(L782&lt;&gt;"",NOT(ISNUMBER(L782))),IFERROR(MOD(L782,1),1)&gt;0,AND(ISNUMBER(L782),OR(L782&lt;0,L782&gt;95))),"Введите целое число от 0 до 95",IF(OR(AND(J782&lt;&gt;"",NOT(ISNUMBER(J782))),IFERROR(MOD(J782,1),1)&gt;0,AND(ISNUMBER(J782),OR(J782&lt;50,J782&gt;20000000))),"Введите целое число от 50 до 20000000",IF(NOT(ABS(IFERROR(VALUE(LEFT(M782,FIND("-",M782)-1)),M782)*100-(2500+2000000000)/2)&lt;=ABS(2500-2000000000)/2),"Цена со скидкой должна быть от 25 до 20000000",IF(AND(IFERROR(VALUE(LEFT(M782,FIND("-",M782)-1)),M782)*150&lt;=296719,IFERROR(VALUE(LEFT(M782,FIND("-",M782)-1)),M782)*200&gt;296719),"Вы уменьшили цену в несколько раз, товар попадет в карантин цен",IF(IFERROR(VALUE(LEFT(M782,FIND("-",M782)-1)),M782)*200&lt;=296719,"Не сохранили изменения, чтобы защитить от ошибки — новые цены меньше текущих более чем в 2 раза. Снижайте их постепенно",IF(AND(IFERROR(VALUE(I782),0)=0,ISNUMBER(J782),OR(J782&lt;523,ABS(IFERROR(VALUE(LEFT(M782,FIND("-",M782)-1)),M782))*100&lt;52300)),"Проверьте цену товара. Большинство товаров в выбранной категории стоят дороже 523","")))))),"")</f>
      </c>
    </row>
    <row r="783">
      <c r="A783" s="2" t="inlineStr">
        <is>
          <t>Luxaro</t>
        </is>
      </c>
      <c r="B783" s="2" t="inlineStr">
        <is>
          <t>Формы для запекания</t>
        </is>
      </c>
      <c r="C783" s="2">
        <v>894106673</v>
      </c>
      <c r="D783" s="2" t="inlineStr">
        <is>
          <t>281692</t>
        </is>
      </c>
      <c r="E783" s="2" t="inlineStr">
        <is>
          <t>2049737925901</t>
        </is>
      </c>
      <c r="F783" s="2">
        <v>0</v>
      </c>
      <c r="G783" s="2">
        <v>1</v>
      </c>
      <c r="H783" s="2" t="inlineStr">
        <is>
          <t/>
        </is>
      </c>
      <c r="I783" s="2" t="inlineStr">
        <is>
          <t>5640</t>
        </is>
      </c>
      <c r="J783" s="4"/>
      <c r="K783" s="2">
        <v>78</v>
      </c>
      <c r="L783" s="6"/>
      <c r="M783" s="2" t="str">
        <f>IF(J783="",ROUND(I783*(1-IF(ISBLANK(L783),K783,L783)/100),2),ROUND(J783*(1-IF(ISBLANK(L783),K783,L783)/100),2))</f>
      </c>
      <c r="N783" s="7" t="str">
        <f>IF(NOT(AND(J783="",L783="")),IF(OR(AND(L783&lt;&gt;"",NOT(ISNUMBER(L783))),IFERROR(MOD(L783,1),1)&gt;0,AND(ISNUMBER(L783),OR(L783&lt;0,L783&gt;95))),"Введите целое число от 0 до 95",IF(OR(AND(J783&lt;&gt;"",NOT(ISNUMBER(J783))),IFERROR(MOD(J783,1),1)&gt;0,AND(ISNUMBER(J783),OR(J783&lt;50,J783&gt;20000000))),"Введите целое число от 50 до 20000000",IF(NOT(ABS(IFERROR(VALUE(LEFT(M783,FIND("-",M783)-1)),M783)*100-(2500+2000000000)/2)&lt;=ABS(2500-2000000000)/2),"Цена со скидкой должна быть от 25 до 20000000",IF(AND(IFERROR(VALUE(LEFT(M783,FIND("-",M783)-1)),M783)*150&lt;=124080,IFERROR(VALUE(LEFT(M783,FIND("-",M783)-1)),M783)*200&gt;124080),"Вы уменьшили цену в несколько раз, товар попадет в карантин цен",IF(IFERROR(VALUE(LEFT(M783,FIND("-",M783)-1)),M783)*200&lt;=124080,"Не сохранили изменения, чтобы защитить от ошибки — новые цены меньше текущих более чем в 2 раза. Снижайте их постепенно",IF(AND(IFERROR(VALUE(I783),0)=0,ISNUMBER(J783),OR(J783&lt;290,ABS(IFERROR(VALUE(LEFT(M783,FIND("-",M783)-1)),M783))*100&lt;29000)),"Проверьте цену товара. Большинство товаров в выбранной категории стоят дороже 290","")))))),"")</f>
      </c>
    </row>
    <row r="784">
      <c r="A784" s="2" t="inlineStr">
        <is>
          <t>Luxaro</t>
        </is>
      </c>
      <c r="B784" s="2" t="inlineStr">
        <is>
          <t>Противни</t>
        </is>
      </c>
      <c r="C784" s="2">
        <v>894090041</v>
      </c>
      <c r="D784" s="2" t="inlineStr">
        <is>
          <t>282730</t>
        </is>
      </c>
      <c r="E784" s="2" t="inlineStr">
        <is>
          <t>2049737818395</t>
        </is>
      </c>
      <c r="F784" s="2">
        <v>0</v>
      </c>
      <c r="G784" s="2">
        <v>2</v>
      </c>
      <c r="H784" s="2" t="inlineStr">
        <is>
          <t/>
        </is>
      </c>
      <c r="I784" s="2" t="inlineStr">
        <is>
          <t>12060</t>
        </is>
      </c>
      <c r="J784" s="4"/>
      <c r="K784" s="2">
        <v>78</v>
      </c>
      <c r="L784" s="6"/>
      <c r="M784" s="2" t="str">
        <f>IF(J784="",ROUND(I784*(1-IF(ISBLANK(L784),K784,L784)/100),2),ROUND(J784*(1-IF(ISBLANK(L784),K784,L784)/100),2))</f>
      </c>
      <c r="N784" s="7" t="str">
        <f>IF(NOT(AND(J784="",L784="")),IF(OR(AND(L784&lt;&gt;"",NOT(ISNUMBER(L784))),IFERROR(MOD(L784,1),1)&gt;0,AND(ISNUMBER(L784),OR(L784&lt;0,L784&gt;95))),"Введите целое число от 0 до 95",IF(OR(AND(J784&lt;&gt;"",NOT(ISNUMBER(J784))),IFERROR(MOD(J784,1),1)&gt;0,AND(ISNUMBER(J784),OR(J784&lt;50,J784&gt;20000000))),"Введите целое число от 50 до 20000000",IF(NOT(ABS(IFERROR(VALUE(LEFT(M784,FIND("-",M784)-1)),M784)*100-(2500+2000000000)/2)&lt;=ABS(2500-2000000000)/2),"Цена со скидкой должна быть от 25 до 20000000",IF(AND(IFERROR(VALUE(LEFT(M784,FIND("-",M784)-1)),M784)*150&lt;=265320,IFERROR(VALUE(LEFT(M784,FIND("-",M784)-1)),M784)*200&gt;265320),"Вы уменьшили цену в несколько раз, товар попадет в карантин цен",IF(IFERROR(VALUE(LEFT(M784,FIND("-",M784)-1)),M784)*200&lt;=265320,"Не сохранили изменения, чтобы защитить от ошибки — новые цены меньше текущих более чем в 2 раза. Снижайте их постепенно",IF(AND(IFERROR(VALUE(I784),0)=0,ISNUMBER(J784),OR(J784&lt;427,ABS(IFERROR(VALUE(LEFT(M784,FIND("-",M784)-1)),M784))*100&lt;42700)),"Проверьте цену товара. Большинство товаров в выбранной категории стоят дороже 427","")))))),"")</f>
      </c>
    </row>
    <row r="785">
      <c r="A785" s="2" t="inlineStr">
        <is>
          <t/>
        </is>
      </c>
      <c r="B785" s="2" t="inlineStr">
        <is>
          <t>Кастрюли</t>
        </is>
      </c>
      <c r="C785" s="2">
        <v>729144044</v>
      </c>
      <c r="D785" s="2" t="inlineStr">
        <is>
          <t>282037</t>
        </is>
      </c>
      <c r="E785" s="2" t="inlineStr">
        <is>
          <t>2048079090452</t>
        </is>
      </c>
      <c r="F785" s="2">
        <v>0</v>
      </c>
      <c r="G785" s="2">
        <v>4</v>
      </c>
      <c r="H785" s="2" t="inlineStr">
        <is>
          <t/>
        </is>
      </c>
      <c r="I785" s="2" t="inlineStr">
        <is>
          <t>12756</t>
        </is>
      </c>
      <c r="J785" s="4"/>
      <c r="K785" s="2">
        <v>75</v>
      </c>
      <c r="L785" s="6"/>
      <c r="M785" s="2" t="str">
        <f>IF(J785="",ROUND(I785*(1-IF(ISBLANK(L785),K785,L785)/100),2),ROUND(J785*(1-IF(ISBLANK(L785),K785,L785)/100),2))</f>
      </c>
      <c r="N785" s="7" t="str">
        <f>IF(NOT(AND(J785="",L785="")),IF(OR(AND(L785&lt;&gt;"",NOT(ISNUMBER(L785))),IFERROR(MOD(L785,1),1)&gt;0,AND(ISNUMBER(L785),OR(L785&lt;0,L785&gt;95))),"Введите целое число от 0 до 95",IF(OR(AND(J785&lt;&gt;"",NOT(ISNUMBER(J785))),IFERROR(MOD(J785,1),1)&gt;0,AND(ISNUMBER(J785),OR(J785&lt;50,J785&gt;20000000))),"Введите целое число от 50 до 20000000",IF(NOT(ABS(IFERROR(VALUE(LEFT(M785,FIND("-",M785)-1)),M785)*100-(2500+2000000000)/2)&lt;=ABS(2500-2000000000)/2),"Цена со скидкой должна быть от 25 до 20000000",IF(AND(IFERROR(VALUE(LEFT(M785,FIND("-",M785)-1)),M785)*150&lt;=318900,IFERROR(VALUE(LEFT(M785,FIND("-",M785)-1)),M785)*200&gt;318900),"Вы уменьшили цену в несколько раз, товар попадет в карантин цен",IF(IFERROR(VALUE(LEFT(M785,FIND("-",M785)-1)),M785)*200&lt;=318900,"Не сохранили изменения, чтобы защитить от ошибки — новые цены меньше текущих более чем в 2 раза. Снижайте их постепенно",IF(AND(IFERROR(VALUE(I785),0)=0,ISNUMBER(J785),OR(J785&lt;523,ABS(IFERROR(VALUE(LEFT(M785,FIND("-",M785)-1)),M785))*100&lt;52300)),"Проверьте цену товара. Большинство товаров в выбранной категории стоят дороже 523","")))))),"")</f>
      </c>
    </row>
    <row r="786">
      <c r="A786" s="2" t="inlineStr">
        <is>
          <t/>
        </is>
      </c>
      <c r="B786" s="2" t="inlineStr">
        <is>
          <t>Кастрюли</t>
        </is>
      </c>
      <c r="C786" s="2">
        <v>729143943</v>
      </c>
      <c r="D786" s="2" t="inlineStr">
        <is>
          <t>20893</t>
        </is>
      </c>
      <c r="E786" s="2" t="inlineStr">
        <is>
          <t>2048079088015</t>
        </is>
      </c>
      <c r="F786" s="2">
        <v>0</v>
      </c>
      <c r="G786" s="2">
        <v>6</v>
      </c>
      <c r="H786" s="2" t="inlineStr">
        <is>
          <t/>
        </is>
      </c>
      <c r="I786" s="2" t="inlineStr">
        <is>
          <t>21928</t>
        </is>
      </c>
      <c r="J786" s="4"/>
      <c r="K786" s="2">
        <v>80</v>
      </c>
      <c r="L786" s="6"/>
      <c r="M786" s="2" t="str">
        <f>IF(J786="",ROUND(I786*(1-IF(ISBLANK(L786),K786,L786)/100),2),ROUND(J786*(1-IF(ISBLANK(L786),K786,L786)/100),2))</f>
      </c>
      <c r="N786" s="7" t="str">
        <f>IF(NOT(AND(J786="",L786="")),IF(OR(AND(L786&lt;&gt;"",NOT(ISNUMBER(L786))),IFERROR(MOD(L786,1),1)&gt;0,AND(ISNUMBER(L786),OR(L786&lt;0,L786&gt;95))),"Введите целое число от 0 до 95",IF(OR(AND(J786&lt;&gt;"",NOT(ISNUMBER(J786))),IFERROR(MOD(J786,1),1)&gt;0,AND(ISNUMBER(J786),OR(J786&lt;50,J786&gt;20000000))),"Введите целое число от 50 до 20000000",IF(NOT(ABS(IFERROR(VALUE(LEFT(M786,FIND("-",M786)-1)),M786)*100-(2500+2000000000)/2)&lt;=ABS(2500-2000000000)/2),"Цена со скидкой должна быть от 25 до 20000000",IF(AND(IFERROR(VALUE(LEFT(M786,FIND("-",M786)-1)),M786)*150&lt;=438559,IFERROR(VALUE(LEFT(M786,FIND("-",M786)-1)),M786)*200&gt;438559),"Вы уменьшили цену в несколько раз, товар попадет в карантин цен",IF(IFERROR(VALUE(LEFT(M786,FIND("-",M786)-1)),M786)*200&lt;=438559,"Не сохранили изменения, чтобы защитить от ошибки — новые цены меньше текущих более чем в 2 раза. Снижайте их постепенно",IF(AND(IFERROR(VALUE(I786),0)=0,ISNUMBER(J786),OR(J786&lt;523,ABS(IFERROR(VALUE(LEFT(M786,FIND("-",M786)-1)),M786))*100&lt;52300)),"Проверьте цену товара. Большинство товаров в выбранной категории стоят дороже 523","")))))),"")</f>
      </c>
    </row>
    <row r="787">
      <c r="A787" s="2" t="inlineStr">
        <is>
          <t/>
        </is>
      </c>
      <c r="B787" s="2" t="inlineStr">
        <is>
          <t>Кастрюли</t>
        </is>
      </c>
      <c r="C787" s="2">
        <v>729144037</v>
      </c>
      <c r="D787" s="2" t="inlineStr">
        <is>
          <t>280254</t>
        </is>
      </c>
      <c r="E787" s="2" t="inlineStr">
        <is>
          <t>2048079090339</t>
        </is>
      </c>
      <c r="F787" s="2">
        <v>6</v>
      </c>
      <c r="G787" s="2">
        <v>13</v>
      </c>
      <c r="H787" s="2">
        <v>113</v>
      </c>
      <c r="I787" s="2" t="inlineStr">
        <is>
          <t>11040</t>
        </is>
      </c>
      <c r="J787" s="4"/>
      <c r="K787" s="2">
        <v>80</v>
      </c>
      <c r="L787" s="6"/>
      <c r="M787" s="2" t="str">
        <f>IF(J787="",ROUND(I787*(1-IF(ISBLANK(L787),K787,L787)/100),2),ROUND(J787*(1-IF(ISBLANK(L787),K787,L787)/100),2))</f>
      </c>
      <c r="N787" s="7" t="str">
        <f>IF(NOT(AND(J787="",L787="")),IF(OR(AND(L787&lt;&gt;"",NOT(ISNUMBER(L787))),IFERROR(MOD(L787,1),1)&gt;0,AND(ISNUMBER(L787),OR(L787&lt;0,L787&gt;95))),"Введите целое число от 0 до 95",IF(OR(AND(J787&lt;&gt;"",NOT(ISNUMBER(J787))),IFERROR(MOD(J787,1),1)&gt;0,AND(ISNUMBER(J787),OR(J787&lt;50,J787&gt;20000000))),"Введите целое число от 50 до 20000000",IF(NOT(ABS(IFERROR(VALUE(LEFT(M787,FIND("-",M787)-1)),M787)*100-(2500+2000000000)/2)&lt;=ABS(2500-2000000000)/2),"Цена со скидкой должна быть от 25 до 20000000",IF(AND(IFERROR(VALUE(LEFT(M787,FIND("-",M787)-1)),M787)*150&lt;=220799,IFERROR(VALUE(LEFT(M787,FIND("-",M787)-1)),M787)*200&gt;220799),"Вы уменьшили цену в несколько раз, товар попадет в карантин цен",IF(IFERROR(VALUE(LEFT(M787,FIND("-",M787)-1)),M787)*200&lt;=220799,"Не сохранили изменения, чтобы защитить от ошибки — новые цены меньше текущих более чем в 2 раза. Снижайте их постепенно",IF(AND(IFERROR(VALUE(I787),0)=0,ISNUMBER(J787),OR(J787&lt;523,ABS(IFERROR(VALUE(LEFT(M787,FIND("-",M787)-1)),M787))*100&lt;52300)),"Проверьте цену товара. Большинство товаров в выбранной категории стоят дороже 523","")))))),"")</f>
      </c>
    </row>
    <row r="788">
      <c r="A788" s="2" t="inlineStr">
        <is>
          <t/>
        </is>
      </c>
      <c r="B788" s="2" t="inlineStr">
        <is>
          <t>Кастрюли</t>
        </is>
      </c>
      <c r="C788" s="2">
        <v>729143941</v>
      </c>
      <c r="D788" s="2" t="inlineStr">
        <is>
          <t>20545</t>
        </is>
      </c>
      <c r="E788" s="2" t="inlineStr">
        <is>
          <t>2048079087896</t>
        </is>
      </c>
      <c r="F788" s="2">
        <v>6</v>
      </c>
      <c r="G788" s="2">
        <v>3</v>
      </c>
      <c r="H788" s="2">
        <v>999</v>
      </c>
      <c r="I788" s="2" t="inlineStr">
        <is>
          <t>25422</t>
        </is>
      </c>
      <c r="J788" s="4"/>
      <c r="K788" s="2">
        <v>80</v>
      </c>
      <c r="L788" s="6"/>
      <c r="M788" s="2" t="str">
        <f>IF(J788="",ROUND(I788*(1-IF(ISBLANK(L788),K788,L788)/100),2),ROUND(J788*(1-IF(ISBLANK(L788),K788,L788)/100),2))</f>
      </c>
      <c r="N788" s="7" t="str">
        <f>IF(NOT(AND(J788="",L788="")),IF(OR(AND(L788&lt;&gt;"",NOT(ISNUMBER(L788))),IFERROR(MOD(L788,1),1)&gt;0,AND(ISNUMBER(L788),OR(L788&lt;0,L788&gt;95))),"Введите целое число от 0 до 95",IF(OR(AND(J788&lt;&gt;"",NOT(ISNUMBER(J788))),IFERROR(MOD(J788,1),1)&gt;0,AND(ISNUMBER(J788),OR(J788&lt;50,J788&gt;20000000))),"Введите целое число от 50 до 20000000",IF(NOT(ABS(IFERROR(VALUE(LEFT(M788,FIND("-",M788)-1)),M788)*100-(2500+2000000000)/2)&lt;=ABS(2500-2000000000)/2),"Цена со скидкой должна быть от 25 до 20000000",IF(AND(IFERROR(VALUE(LEFT(M788,FIND("-",M788)-1)),M788)*150&lt;=508439,IFERROR(VALUE(LEFT(M788,FIND("-",M788)-1)),M788)*200&gt;508439),"Вы уменьшили цену в несколько раз, товар попадет в карантин цен",IF(IFERROR(VALUE(LEFT(M788,FIND("-",M788)-1)),M788)*200&lt;=508439,"Не сохранили изменения, чтобы защитить от ошибки — новые цены меньше текущих более чем в 2 раза. Снижайте их постепенно",IF(AND(IFERROR(VALUE(I788),0)=0,ISNUMBER(J788),OR(J788&lt;523,ABS(IFERROR(VALUE(LEFT(M788,FIND("-",M788)-1)),M788))*100&lt;52300)),"Проверьте цену товара. Большинство товаров в выбранной категории стоят дороже 523","")))))),"")</f>
      </c>
    </row>
    <row r="789">
      <c r="A789" s="2" t="inlineStr">
        <is>
          <t/>
        </is>
      </c>
      <c r="B789" s="2" t="inlineStr">
        <is>
          <t>Кастрюли</t>
        </is>
      </c>
      <c r="C789" s="2">
        <v>729143947</v>
      </c>
      <c r="D789" s="2" t="inlineStr">
        <is>
          <t>20331</t>
        </is>
      </c>
      <c r="E789" s="2" t="inlineStr">
        <is>
          <t>2048079088169</t>
        </is>
      </c>
      <c r="F789" s="2">
        <v>0</v>
      </c>
      <c r="G789" s="2">
        <v>6</v>
      </c>
      <c r="H789" s="2" t="inlineStr">
        <is>
          <t/>
        </is>
      </c>
      <c r="I789" s="2" t="inlineStr">
        <is>
          <t>24894</t>
        </is>
      </c>
      <c r="J789" s="4"/>
      <c r="K789" s="2">
        <v>80</v>
      </c>
      <c r="L789" s="6"/>
      <c r="M789" s="2" t="str">
        <f>IF(J789="",ROUND(I789*(1-IF(ISBLANK(L789),K789,L789)/100),2),ROUND(J789*(1-IF(ISBLANK(L789),K789,L789)/100),2))</f>
      </c>
      <c r="N789" s="7" t="str">
        <f>IF(NOT(AND(J789="",L789="")),IF(OR(AND(L789&lt;&gt;"",NOT(ISNUMBER(L789))),IFERROR(MOD(L789,1),1)&gt;0,AND(ISNUMBER(L789),OR(L789&lt;0,L789&gt;95))),"Введите целое число от 0 до 95",IF(OR(AND(J789&lt;&gt;"",NOT(ISNUMBER(J789))),IFERROR(MOD(J789,1),1)&gt;0,AND(ISNUMBER(J789),OR(J789&lt;50,J789&gt;20000000))),"Введите целое число от 50 до 20000000",IF(NOT(ABS(IFERROR(VALUE(LEFT(M789,FIND("-",M789)-1)),M789)*100-(2500+2000000000)/2)&lt;=ABS(2500-2000000000)/2),"Цена со скидкой должна быть от 25 до 20000000",IF(AND(IFERROR(VALUE(LEFT(M789,FIND("-",M789)-1)),M789)*150&lt;=497879,IFERROR(VALUE(LEFT(M789,FIND("-",M789)-1)),M789)*200&gt;497879),"Вы уменьшили цену в несколько раз, товар попадет в карантин цен",IF(IFERROR(VALUE(LEFT(M789,FIND("-",M789)-1)),M789)*200&lt;=497879,"Не сохранили изменения, чтобы защитить от ошибки — новые цены меньше текущих более чем в 2 раза. Снижайте их постепенно",IF(AND(IFERROR(VALUE(I789),0)=0,ISNUMBER(J789),OR(J789&lt;523,ABS(IFERROR(VALUE(LEFT(M789,FIND("-",M789)-1)),M789))*100&lt;52300)),"Проверьте цену товара. Большинство товаров в выбранной категории стоят дороже 523","")))))),"")</f>
      </c>
    </row>
    <row r="790">
      <c r="A790" s="2" t="inlineStr">
        <is>
          <t/>
        </is>
      </c>
      <c r="B790" s="2" t="inlineStr">
        <is>
          <t>Кастрюли</t>
        </is>
      </c>
      <c r="C790" s="2">
        <v>729144137</v>
      </c>
      <c r="D790" s="2" t="inlineStr">
        <is>
          <t>282035</t>
        </is>
      </c>
      <c r="E790" s="2" t="inlineStr">
        <is>
          <t>2048079094115</t>
        </is>
      </c>
      <c r="F790" s="2">
        <v>3</v>
      </c>
      <c r="G790" s="2">
        <v>3</v>
      </c>
      <c r="H790" s="2">
        <v>999</v>
      </c>
      <c r="I790" s="2" t="inlineStr">
        <is>
          <t>14236</t>
        </is>
      </c>
      <c r="J790" s="4"/>
      <c r="K790" s="2">
        <v>80</v>
      </c>
      <c r="L790" s="6"/>
      <c r="M790" s="2" t="str">
        <f>IF(J790="",ROUND(I790*(1-IF(ISBLANK(L790),K790,L790)/100),2),ROUND(J790*(1-IF(ISBLANK(L790),K790,L790)/100),2))</f>
      </c>
      <c r="N790" s="7" t="str">
        <f>IF(NOT(AND(J790="",L790="")),IF(OR(AND(L790&lt;&gt;"",NOT(ISNUMBER(L790))),IFERROR(MOD(L790,1),1)&gt;0,AND(ISNUMBER(L790),OR(L790&lt;0,L790&gt;95))),"Введите целое число от 0 до 95",IF(OR(AND(J790&lt;&gt;"",NOT(ISNUMBER(J790))),IFERROR(MOD(J790,1),1)&gt;0,AND(ISNUMBER(J790),OR(J790&lt;50,J790&gt;20000000))),"Введите целое число от 50 до 20000000",IF(NOT(ABS(IFERROR(VALUE(LEFT(M790,FIND("-",M790)-1)),M790)*100-(2500+2000000000)/2)&lt;=ABS(2500-2000000000)/2),"Цена со скидкой должна быть от 25 до 20000000",IF(AND(IFERROR(VALUE(LEFT(M790,FIND("-",M790)-1)),M790)*150&lt;=284719,IFERROR(VALUE(LEFT(M790,FIND("-",M790)-1)),M790)*200&gt;284719),"Вы уменьшили цену в несколько раз, товар попадет в карантин цен",IF(IFERROR(VALUE(LEFT(M790,FIND("-",M790)-1)),M790)*200&lt;=284719,"Не сохранили изменения, чтобы защитить от ошибки — новые цены меньше текущих более чем в 2 раза. Снижайте их постепенно",IF(AND(IFERROR(VALUE(I790),0)=0,ISNUMBER(J790),OR(J790&lt;523,ABS(IFERROR(VALUE(LEFT(M790,FIND("-",M790)-1)),M790))*100&lt;52300)),"Проверьте цену товара. Большинство товаров в выбранной категории стоят дороже 523","")))))),"")</f>
      </c>
    </row>
    <row r="791">
      <c r="A791" s="2" t="inlineStr">
        <is>
          <t/>
        </is>
      </c>
      <c r="B791" s="2" t="inlineStr">
        <is>
          <t>Кастрюли</t>
        </is>
      </c>
      <c r="C791" s="2">
        <v>729144202</v>
      </c>
      <c r="D791" s="2" t="inlineStr">
        <is>
          <t>21272</t>
        </is>
      </c>
      <c r="E791" s="2" t="inlineStr">
        <is>
          <t>2048079094771</t>
        </is>
      </c>
      <c r="F791" s="2">
        <v>1</v>
      </c>
      <c r="G791" s="2">
        <v>2</v>
      </c>
      <c r="H791" s="2">
        <v>999</v>
      </c>
      <c r="I791" s="2" t="inlineStr">
        <is>
          <t>41259</t>
        </is>
      </c>
      <c r="J791" s="4"/>
      <c r="K791" s="2">
        <v>81</v>
      </c>
      <c r="L791" s="6"/>
      <c r="M791" s="2" t="str">
        <f>IF(J791="",ROUND(I791*(1-IF(ISBLANK(L791),K791,L791)/100),2),ROUND(J791*(1-IF(ISBLANK(L791),K791,L791)/100),2))</f>
      </c>
      <c r="N791" s="7" t="str">
        <f>IF(NOT(AND(J791="",L791="")),IF(OR(AND(L791&lt;&gt;"",NOT(ISNUMBER(L791))),IFERROR(MOD(L791,1),1)&gt;0,AND(ISNUMBER(L791),OR(L791&lt;0,L791&gt;95))),"Введите целое число от 0 до 95",IF(OR(AND(J791&lt;&gt;"",NOT(ISNUMBER(J791))),IFERROR(MOD(J791,1),1)&gt;0,AND(ISNUMBER(J791),OR(J791&lt;50,J791&gt;20000000))),"Введите целое число от 50 до 20000000",IF(NOT(ABS(IFERROR(VALUE(LEFT(M791,FIND("-",M791)-1)),M791)*100-(2500+2000000000)/2)&lt;=ABS(2500-2000000000)/2),"Цена со скидкой должна быть от 25 до 20000000",IF(AND(IFERROR(VALUE(LEFT(M791,FIND("-",M791)-1)),M791)*150&lt;=783920,IFERROR(VALUE(LEFT(M791,FIND("-",M791)-1)),M791)*200&gt;783920),"Вы уменьшили цену в несколько раз, товар попадет в карантин цен",IF(IFERROR(VALUE(LEFT(M791,FIND("-",M791)-1)),M791)*200&lt;=783920,"Не сохранили изменения, чтобы защитить от ошибки — новые цены меньше текущих более чем в 2 раза. Снижайте их постепенно",IF(AND(IFERROR(VALUE(I791),0)=0,ISNUMBER(J791),OR(J791&lt;523,ABS(IFERROR(VALUE(LEFT(M791,FIND("-",M791)-1)),M791))*100&lt;52300)),"Проверьте цену товара. Большинство товаров в выбранной категории стоят дороже 523","")))))),"")</f>
      </c>
    </row>
    <row r="792">
      <c r="A792" s="2" t="inlineStr">
        <is>
          <t/>
        </is>
      </c>
      <c r="B792" s="2" t="inlineStr">
        <is>
          <t>Кастрюли</t>
        </is>
      </c>
      <c r="C792" s="2">
        <v>729145114</v>
      </c>
      <c r="D792" s="2" t="inlineStr">
        <is>
          <t>281228</t>
        </is>
      </c>
      <c r="E792" s="2" t="inlineStr">
        <is>
          <t>2048079111195</t>
        </is>
      </c>
      <c r="F792" s="2">
        <v>0</v>
      </c>
      <c r="G792" s="2">
        <v>3</v>
      </c>
      <c r="H792" s="2" t="inlineStr">
        <is>
          <t/>
        </is>
      </c>
      <c r="I792" s="2" t="inlineStr">
        <is>
          <t>25879</t>
        </is>
      </c>
      <c r="J792" s="4"/>
      <c r="K792" s="2">
        <v>69</v>
      </c>
      <c r="L792" s="6"/>
      <c r="M792" s="2" t="str">
        <f>IF(J792="",ROUND(I792*(1-IF(ISBLANK(L792),K792,L792)/100),2),ROUND(J792*(1-IF(ISBLANK(L792),K792,L792)/100),2))</f>
      </c>
      <c r="N792" s="7" t="str">
        <f>IF(NOT(AND(J792="",L792="")),IF(OR(AND(L792&lt;&gt;"",NOT(ISNUMBER(L792))),IFERROR(MOD(L792,1),1)&gt;0,AND(ISNUMBER(L792),OR(L792&lt;0,L792&gt;95))),"Введите целое число от 0 до 95",IF(OR(AND(J792&lt;&gt;"",NOT(ISNUMBER(J792))),IFERROR(MOD(J792,1),1)&gt;0,AND(ISNUMBER(J792),OR(J792&lt;50,J792&gt;20000000))),"Введите целое число от 50 до 20000000",IF(NOT(ABS(IFERROR(VALUE(LEFT(M792,FIND("-",M792)-1)),M792)*100-(2500+2000000000)/2)&lt;=ABS(2500-2000000000)/2),"Цена со скидкой должна быть от 25 до 20000000",IF(AND(IFERROR(VALUE(LEFT(M792,FIND("-",M792)-1)),M792)*150&lt;=802249,IFERROR(VALUE(LEFT(M792,FIND("-",M792)-1)),M792)*200&gt;802249),"Вы уменьшили цену в несколько раз, товар попадет в карантин цен",IF(IFERROR(VALUE(LEFT(M792,FIND("-",M792)-1)),M792)*200&lt;=802249,"Не сохранили изменения, чтобы защитить от ошибки — новые цены меньше текущих более чем в 2 раза. Снижайте их постепенно",IF(AND(IFERROR(VALUE(I792),0)=0,ISNUMBER(J792),OR(J792&lt;523,ABS(IFERROR(VALUE(LEFT(M792,FIND("-",M792)-1)),M792))*100&lt;52300)),"Проверьте цену товара. Большинство товаров в выбранной категории стоят дороже 523","")))))),"")</f>
      </c>
    </row>
    <row r="793">
      <c r="A793" s="2" t="inlineStr">
        <is>
          <t/>
        </is>
      </c>
      <c r="B793" s="2" t="inlineStr">
        <is>
          <t>Кастрюли</t>
        </is>
      </c>
      <c r="C793" s="2">
        <v>729143948</v>
      </c>
      <c r="D793" s="2" t="inlineStr">
        <is>
          <t>20362</t>
        </is>
      </c>
      <c r="E793" s="2" t="inlineStr">
        <is>
          <t>2048079088176</t>
        </is>
      </c>
      <c r="F793" s="2">
        <v>0</v>
      </c>
      <c r="G793" s="2">
        <v>9</v>
      </c>
      <c r="H793" s="2" t="inlineStr">
        <is>
          <t/>
        </is>
      </c>
      <c r="I793" s="2" t="inlineStr">
        <is>
          <t>24753</t>
        </is>
      </c>
      <c r="J793" s="4"/>
      <c r="K793" s="2">
        <v>80</v>
      </c>
      <c r="L793" s="6"/>
      <c r="M793" s="2" t="str">
        <f>IF(J793="",ROUND(I793*(1-IF(ISBLANK(L793),K793,L793)/100),2),ROUND(J793*(1-IF(ISBLANK(L793),K793,L793)/100),2))</f>
      </c>
      <c r="N793" s="7" t="str">
        <f>IF(NOT(AND(J793="",L793="")),IF(OR(AND(L793&lt;&gt;"",NOT(ISNUMBER(L793))),IFERROR(MOD(L793,1),1)&gt;0,AND(ISNUMBER(L793),OR(L793&lt;0,L793&gt;95))),"Введите целое число от 0 до 95",IF(OR(AND(J793&lt;&gt;"",NOT(ISNUMBER(J793))),IFERROR(MOD(J793,1),1)&gt;0,AND(ISNUMBER(J793),OR(J793&lt;50,J793&gt;20000000))),"Введите целое число от 50 до 20000000",IF(NOT(ABS(IFERROR(VALUE(LEFT(M793,FIND("-",M793)-1)),M793)*100-(2500+2000000000)/2)&lt;=ABS(2500-2000000000)/2),"Цена со скидкой должна быть от 25 до 20000000",IF(AND(IFERROR(VALUE(LEFT(M793,FIND("-",M793)-1)),M793)*150&lt;=495059,IFERROR(VALUE(LEFT(M793,FIND("-",M793)-1)),M793)*200&gt;495059),"Вы уменьшили цену в несколько раз, товар попадет в карантин цен",IF(IFERROR(VALUE(LEFT(M793,FIND("-",M793)-1)),M793)*200&lt;=495059,"Не сохранили изменения, чтобы защитить от ошибки — новые цены меньше текущих более чем в 2 раза. Снижайте их постепенно",IF(AND(IFERROR(VALUE(I793),0)=0,ISNUMBER(J793),OR(J793&lt;523,ABS(IFERROR(VALUE(LEFT(M793,FIND("-",M793)-1)),M793))*100&lt;52300)),"Проверьте цену товара. Большинство товаров в выбранной категории стоят дороже 523","")))))),"")</f>
      </c>
    </row>
    <row r="794">
      <c r="A794" s="2" t="inlineStr">
        <is>
          <t/>
        </is>
      </c>
      <c r="B794" s="2" t="inlineStr">
        <is>
          <t>Кастрюли</t>
        </is>
      </c>
      <c r="C794" s="2">
        <v>729144032</v>
      </c>
      <c r="D794" s="2" t="inlineStr">
        <is>
          <t>282898</t>
        </is>
      </c>
      <c r="E794" s="2" t="inlineStr">
        <is>
          <t>2048079090230</t>
        </is>
      </c>
      <c r="F794" s="2">
        <v>0</v>
      </c>
      <c r="G794" s="2">
        <v>2</v>
      </c>
      <c r="H794" s="2" t="inlineStr">
        <is>
          <t/>
        </is>
      </c>
      <c r="I794" s="2" t="inlineStr">
        <is>
          <t>14913</t>
        </is>
      </c>
      <c r="J794" s="4"/>
      <c r="K794" s="2">
        <v>80</v>
      </c>
      <c r="L794" s="6"/>
      <c r="M794" s="2" t="str">
        <f>IF(J794="",ROUND(I794*(1-IF(ISBLANK(L794),K794,L794)/100),2),ROUND(J794*(1-IF(ISBLANK(L794),K794,L794)/100),2))</f>
      </c>
      <c r="N794" s="7" t="str">
        <f>IF(NOT(AND(J794="",L794="")),IF(OR(AND(L794&lt;&gt;"",NOT(ISNUMBER(L794))),IFERROR(MOD(L794,1),1)&gt;0,AND(ISNUMBER(L794),OR(L794&lt;0,L794&gt;95))),"Введите целое число от 0 до 95",IF(OR(AND(J794&lt;&gt;"",NOT(ISNUMBER(J794))),IFERROR(MOD(J794,1),1)&gt;0,AND(ISNUMBER(J794),OR(J794&lt;50,J794&gt;20000000))),"Введите целое число от 50 до 20000000",IF(NOT(ABS(IFERROR(VALUE(LEFT(M794,FIND("-",M794)-1)),M794)*100-(2500+2000000000)/2)&lt;=ABS(2500-2000000000)/2),"Цена со скидкой должна быть от 25 до 20000000",IF(AND(IFERROR(VALUE(LEFT(M794,FIND("-",M794)-1)),M794)*150&lt;=298259,IFERROR(VALUE(LEFT(M794,FIND("-",M794)-1)),M794)*200&gt;298259),"Вы уменьшили цену в несколько раз, товар попадет в карантин цен",IF(IFERROR(VALUE(LEFT(M794,FIND("-",M794)-1)),M794)*200&lt;=298259,"Не сохранили изменения, чтобы защитить от ошибки — новые цены меньше текущих более чем в 2 раза. Снижайте их постепенно",IF(AND(IFERROR(VALUE(I794),0)=0,ISNUMBER(J794),OR(J794&lt;523,ABS(IFERROR(VALUE(LEFT(M794,FIND("-",M794)-1)),M794))*100&lt;52300)),"Проверьте цену товара. Большинство товаров в выбранной категории стоят дороже 523","")))))),"")</f>
      </c>
    </row>
    <row r="795">
      <c r="A795" s="2" t="inlineStr">
        <is>
          <t/>
        </is>
      </c>
      <c r="B795" s="2" t="inlineStr">
        <is>
          <t>Кастрюли</t>
        </is>
      </c>
      <c r="C795" s="2">
        <v>729144042</v>
      </c>
      <c r="D795" s="2" t="inlineStr">
        <is>
          <t>282475</t>
        </is>
      </c>
      <c r="E795" s="2" t="inlineStr">
        <is>
          <t>2048079090438</t>
        </is>
      </c>
      <c r="F795" s="2">
        <v>0</v>
      </c>
      <c r="G795" s="2">
        <v>0</v>
      </c>
      <c r="H795" s="2" t="inlineStr">
        <is>
          <t/>
        </is>
      </c>
      <c r="I795" s="2" t="inlineStr">
        <is>
          <t>9311</t>
        </is>
      </c>
      <c r="J795" s="4"/>
      <c r="K795" s="2">
        <v>69</v>
      </c>
      <c r="L795" s="6"/>
      <c r="M795" s="2" t="str">
        <f>IF(J795="",ROUND(I795*(1-IF(ISBLANK(L795),K795,L795)/100),2),ROUND(J795*(1-IF(ISBLANK(L795),K795,L795)/100),2))</f>
      </c>
      <c r="N795" s="7" t="str">
        <f>IF(NOT(AND(J795="",L795="")),IF(OR(AND(L795&lt;&gt;"",NOT(ISNUMBER(L795))),IFERROR(MOD(L795,1),1)&gt;0,AND(ISNUMBER(L795),OR(L795&lt;0,L795&gt;95))),"Введите целое число от 0 до 95",IF(OR(AND(J795&lt;&gt;"",NOT(ISNUMBER(J795))),IFERROR(MOD(J795,1),1)&gt;0,AND(ISNUMBER(J795),OR(J795&lt;50,J795&gt;20000000))),"Введите целое число от 50 до 20000000",IF(NOT(ABS(IFERROR(VALUE(LEFT(M795,FIND("-",M795)-1)),M795)*100-(2500+2000000000)/2)&lt;=ABS(2500-2000000000)/2),"Цена со скидкой должна быть от 25 до 20000000",IF(AND(IFERROR(VALUE(LEFT(M795,FIND("-",M795)-1)),M795)*150&lt;=288641,IFERROR(VALUE(LEFT(M795,FIND("-",M795)-1)),M795)*200&gt;288641),"Вы уменьшили цену в несколько раз, товар попадет в карантин цен",IF(IFERROR(VALUE(LEFT(M795,FIND("-",M795)-1)),M795)*200&lt;=288641,"Не сохранили изменения, чтобы защитить от ошибки — новые цены меньше текущих более чем в 2 раза. Снижайте их постепенно",IF(AND(IFERROR(VALUE(I795),0)=0,ISNUMBER(J795),OR(J795&lt;523,ABS(IFERROR(VALUE(LEFT(M795,FIND("-",M795)-1)),M795))*100&lt;52300)),"Проверьте цену товара. Большинство товаров в выбранной категории стоят дороже 523","")))))),"")</f>
      </c>
    </row>
    <row r="796">
      <c r="A796" s="2" t="inlineStr">
        <is>
          <t/>
        </is>
      </c>
      <c r="B796" s="2" t="inlineStr">
        <is>
          <t>Кастрюли</t>
        </is>
      </c>
      <c r="C796" s="2">
        <v>729144134</v>
      </c>
      <c r="D796" s="2" t="inlineStr">
        <is>
          <t>289951</t>
        </is>
      </c>
      <c r="E796" s="2" t="inlineStr">
        <is>
          <t>2048079093972</t>
        </is>
      </c>
      <c r="F796" s="2">
        <v>0</v>
      </c>
      <c r="G796" s="2">
        <v>1</v>
      </c>
      <c r="H796" s="2" t="inlineStr">
        <is>
          <t/>
        </is>
      </c>
      <c r="I796" s="2" t="inlineStr">
        <is>
          <t>15582</t>
        </is>
      </c>
      <c r="J796" s="4"/>
      <c r="K796" s="2">
        <v>75</v>
      </c>
      <c r="L796" s="6"/>
      <c r="M796" s="2" t="str">
        <f>IF(J796="",ROUND(I796*(1-IF(ISBLANK(L796),K796,L796)/100),2),ROUND(J796*(1-IF(ISBLANK(L796),K796,L796)/100),2))</f>
      </c>
      <c r="N796" s="7" t="str">
        <f>IF(NOT(AND(J796="",L796="")),IF(OR(AND(L796&lt;&gt;"",NOT(ISNUMBER(L796))),IFERROR(MOD(L796,1),1)&gt;0,AND(ISNUMBER(L796),OR(L796&lt;0,L796&gt;95))),"Введите целое число от 0 до 95",IF(OR(AND(J796&lt;&gt;"",NOT(ISNUMBER(J796))),IFERROR(MOD(J796,1),1)&gt;0,AND(ISNUMBER(J796),OR(J796&lt;50,J796&gt;20000000))),"Введите целое число от 50 до 20000000",IF(NOT(ABS(IFERROR(VALUE(LEFT(M796,FIND("-",M796)-1)),M796)*100-(2500+2000000000)/2)&lt;=ABS(2500-2000000000)/2),"Цена со скидкой должна быть от 25 до 20000000",IF(AND(IFERROR(VALUE(LEFT(M796,FIND("-",M796)-1)),M796)*150&lt;=389550,IFERROR(VALUE(LEFT(M796,FIND("-",M796)-1)),M796)*200&gt;389550),"Вы уменьшили цену в несколько раз, товар попадет в карантин цен",IF(IFERROR(VALUE(LEFT(M796,FIND("-",M796)-1)),M796)*200&lt;=389550,"Не сохранили изменения, чтобы защитить от ошибки — новые цены меньше текущих более чем в 2 раза. Снижайте их постепенно",IF(AND(IFERROR(VALUE(I796),0)=0,ISNUMBER(J796),OR(J796&lt;523,ABS(IFERROR(VALUE(LEFT(M796,FIND("-",M796)-1)),M796))*100&lt;52300)),"Проверьте цену товара. Большинство товаров в выбранной категории стоят дороже 523","")))))),"")</f>
      </c>
    </row>
    <row r="797">
      <c r="A797" s="2" t="inlineStr">
        <is>
          <t/>
        </is>
      </c>
      <c r="B797" s="2" t="inlineStr">
        <is>
          <t>Кастрюли</t>
        </is>
      </c>
      <c r="C797" s="2">
        <v>729143942</v>
      </c>
      <c r="D797" s="2" t="inlineStr">
        <is>
          <t>20876</t>
        </is>
      </c>
      <c r="E797" s="2" t="inlineStr">
        <is>
          <t>2048079087902</t>
        </is>
      </c>
      <c r="F797" s="2">
        <v>0</v>
      </c>
      <c r="G797" s="2">
        <v>3</v>
      </c>
      <c r="H797" s="2" t="inlineStr">
        <is>
          <t/>
        </is>
      </c>
      <c r="I797" s="2" t="inlineStr">
        <is>
          <t>21928</t>
        </is>
      </c>
      <c r="J797" s="4"/>
      <c r="K797" s="2">
        <v>80</v>
      </c>
      <c r="L797" s="6"/>
      <c r="M797" s="2" t="str">
        <f>IF(J797="",ROUND(I797*(1-IF(ISBLANK(L797),K797,L797)/100),2),ROUND(J797*(1-IF(ISBLANK(L797),K797,L797)/100),2))</f>
      </c>
      <c r="N797" s="7" t="str">
        <f>IF(NOT(AND(J797="",L797="")),IF(OR(AND(L797&lt;&gt;"",NOT(ISNUMBER(L797))),IFERROR(MOD(L797,1),1)&gt;0,AND(ISNUMBER(L797),OR(L797&lt;0,L797&gt;95))),"Введите целое число от 0 до 95",IF(OR(AND(J797&lt;&gt;"",NOT(ISNUMBER(J797))),IFERROR(MOD(J797,1),1)&gt;0,AND(ISNUMBER(J797),OR(J797&lt;50,J797&gt;20000000))),"Введите целое число от 50 до 20000000",IF(NOT(ABS(IFERROR(VALUE(LEFT(M797,FIND("-",M797)-1)),M797)*100-(2500+2000000000)/2)&lt;=ABS(2500-2000000000)/2),"Цена со скидкой должна быть от 25 до 20000000",IF(AND(IFERROR(VALUE(LEFT(M797,FIND("-",M797)-1)),M797)*150&lt;=438559,IFERROR(VALUE(LEFT(M797,FIND("-",M797)-1)),M797)*200&gt;438559),"Вы уменьшили цену в несколько раз, товар попадет в карантин цен",IF(IFERROR(VALUE(LEFT(M797,FIND("-",M797)-1)),M797)*200&lt;=438559,"Не сохранили изменения, чтобы защитить от ошибки — новые цены меньше текущих более чем в 2 раза. Снижайте их постепенно",IF(AND(IFERROR(VALUE(I797),0)=0,ISNUMBER(J797),OR(J797&lt;523,ABS(IFERROR(VALUE(LEFT(M797,FIND("-",M797)-1)),M797))*100&lt;52300)),"Проверьте цену товара. Большинство товаров в выбранной категории стоят дороже 523","")))))),"")</f>
      </c>
    </row>
    <row r="798">
      <c r="A798" s="2" t="inlineStr">
        <is>
          <t/>
        </is>
      </c>
      <c r="B798" s="2" t="inlineStr">
        <is>
          <t>Кастрюли</t>
        </is>
      </c>
      <c r="C798" s="2">
        <v>729145132</v>
      </c>
      <c r="D798" s="2" t="inlineStr">
        <is>
          <t>283462</t>
        </is>
      </c>
      <c r="E798" s="2" t="inlineStr">
        <is>
          <t>2048079111430</t>
        </is>
      </c>
      <c r="F798" s="2">
        <v>1</v>
      </c>
      <c r="G798" s="2">
        <v>0</v>
      </c>
      <c r="H798" s="2">
        <v>999</v>
      </c>
      <c r="I798" s="2" t="inlineStr">
        <is>
          <t>57859</t>
        </is>
      </c>
      <c r="J798" s="4"/>
      <c r="K798" s="2">
        <v>83</v>
      </c>
      <c r="L798" s="6"/>
      <c r="M798" s="2" t="str">
        <f>IF(J798="",ROUND(I798*(1-IF(ISBLANK(L798),K798,L798)/100),2),ROUND(J798*(1-IF(ISBLANK(L798),K798,L798)/100),2))</f>
      </c>
      <c r="N798" s="7" t="str">
        <f>IF(NOT(AND(J798="",L798="")),IF(OR(AND(L798&lt;&gt;"",NOT(ISNUMBER(L798))),IFERROR(MOD(L798,1),1)&gt;0,AND(ISNUMBER(L798),OR(L798&lt;0,L798&gt;95))),"Введите целое число от 0 до 95",IF(OR(AND(J798&lt;&gt;"",NOT(ISNUMBER(J798))),IFERROR(MOD(J798,1),1)&gt;0,AND(ISNUMBER(J798),OR(J798&lt;50,J798&gt;20000000))),"Введите целое число от 50 до 20000000",IF(NOT(ABS(IFERROR(VALUE(LEFT(M798,FIND("-",M798)-1)),M798)*100-(2500+2000000000)/2)&lt;=ABS(2500-2000000000)/2),"Цена со скидкой должна быть от 25 до 20000000",IF(AND(IFERROR(VALUE(LEFT(M798,FIND("-",M798)-1)),M798)*150&lt;=983603,IFERROR(VALUE(LEFT(M798,FIND("-",M798)-1)),M798)*200&gt;983603),"Вы уменьшили цену в несколько раз, товар попадет в карантин цен",IF(IFERROR(VALUE(LEFT(M798,FIND("-",M798)-1)),M798)*200&lt;=983603,"Не сохранили изменения, чтобы защитить от ошибки — новые цены меньше текущих более чем в 2 раза. Снижайте их постепенно",IF(AND(IFERROR(VALUE(I798),0)=0,ISNUMBER(J798),OR(J798&lt;523,ABS(IFERROR(VALUE(LEFT(M798,FIND("-",M798)-1)),M798))*100&lt;52300)),"Проверьте цену товара. Большинство товаров в выбранной категории стоят дороже 523","")))))),"")</f>
      </c>
    </row>
    <row r="799">
      <c r="A799" s="2" t="inlineStr">
        <is>
          <t/>
        </is>
      </c>
      <c r="B799" s="2" t="inlineStr">
        <is>
          <t>Кастрюли</t>
        </is>
      </c>
      <c r="C799" s="2">
        <v>729143925</v>
      </c>
      <c r="D799" s="2" t="inlineStr">
        <is>
          <t>541719</t>
        </is>
      </c>
      <c r="E799" s="2" t="inlineStr">
        <is>
          <t>2048079086172</t>
        </is>
      </c>
      <c r="F799" s="2">
        <v>0</v>
      </c>
      <c r="G799" s="2">
        <v>3</v>
      </c>
      <c r="H799" s="2" t="inlineStr">
        <is>
          <t/>
        </is>
      </c>
      <c r="I799" s="2" t="inlineStr">
        <is>
          <t>20591</t>
        </is>
      </c>
      <c r="J799" s="4"/>
      <c r="K799" s="2">
        <v>80</v>
      </c>
      <c r="L799" s="6"/>
      <c r="M799" s="2" t="str">
        <f>IF(J799="",ROUND(I799*(1-IF(ISBLANK(L799),K799,L799)/100),2),ROUND(J799*(1-IF(ISBLANK(L799),K799,L799)/100),2))</f>
      </c>
      <c r="N799" s="7" t="str">
        <f>IF(NOT(AND(J799="",L799="")),IF(OR(AND(L799&lt;&gt;"",NOT(ISNUMBER(L799))),IFERROR(MOD(L799,1),1)&gt;0,AND(ISNUMBER(L799),OR(L799&lt;0,L799&gt;95))),"Введите целое число от 0 до 95",IF(OR(AND(J799&lt;&gt;"",NOT(ISNUMBER(J799))),IFERROR(MOD(J799,1),1)&gt;0,AND(ISNUMBER(J799),OR(J799&lt;50,J799&gt;20000000))),"Введите целое число от 50 до 20000000",IF(NOT(ABS(IFERROR(VALUE(LEFT(M799,FIND("-",M799)-1)),M799)*100-(2500+2000000000)/2)&lt;=ABS(2500-2000000000)/2),"Цена со скидкой должна быть от 25 до 20000000",IF(AND(IFERROR(VALUE(LEFT(M799,FIND("-",M799)-1)),M799)*150&lt;=411819,IFERROR(VALUE(LEFT(M799,FIND("-",M799)-1)),M799)*200&gt;411819),"Вы уменьшили цену в несколько раз, товар попадет в карантин цен",IF(IFERROR(VALUE(LEFT(M799,FIND("-",M799)-1)),M799)*200&lt;=411819,"Не сохранили изменения, чтобы защитить от ошибки — новые цены меньше текущих более чем в 2 раза. Снижайте их постепенно",IF(AND(IFERROR(VALUE(I799),0)=0,ISNUMBER(J799),OR(J799&lt;523,ABS(IFERROR(VALUE(LEFT(M799,FIND("-",M799)-1)),M799))*100&lt;52300)),"Проверьте цену товара. Большинство товаров в выбранной категории стоят дороже 523","")))))),"")</f>
      </c>
    </row>
    <row r="800">
      <c r="A800" s="2" t="inlineStr">
        <is>
          <t/>
        </is>
      </c>
      <c r="B800" s="2" t="inlineStr">
        <is>
          <t>Кастрюли</t>
        </is>
      </c>
      <c r="C800" s="2">
        <v>729144200</v>
      </c>
      <c r="D800" s="2" t="inlineStr">
        <is>
          <t>24329</t>
        </is>
      </c>
      <c r="E800" s="2" t="inlineStr">
        <is>
          <t>2048079094757</t>
        </is>
      </c>
      <c r="F800" s="2">
        <v>0</v>
      </c>
      <c r="G800" s="2">
        <v>0</v>
      </c>
      <c r="H800" s="2" t="inlineStr">
        <is>
          <t/>
        </is>
      </c>
      <c r="I800" s="2" t="inlineStr">
        <is>
          <t>95385</t>
        </is>
      </c>
      <c r="J800" s="4"/>
      <c r="K800" s="2">
        <v>65</v>
      </c>
      <c r="L800" s="6"/>
      <c r="M800" s="2" t="str">
        <f>IF(J800="",ROUND(I800*(1-IF(ISBLANK(L800),K800,L800)/100),2),ROUND(J800*(1-IF(ISBLANK(L800),K800,L800)/100),2))</f>
      </c>
      <c r="N800" s="7" t="str">
        <f>IF(NOT(AND(J800="",L800="")),IF(OR(AND(L800&lt;&gt;"",NOT(ISNUMBER(L800))),IFERROR(MOD(L800,1),1)&gt;0,AND(ISNUMBER(L800),OR(L800&lt;0,L800&gt;95))),"Введите целое число от 0 до 95",IF(OR(AND(J800&lt;&gt;"",NOT(ISNUMBER(J800))),IFERROR(MOD(J800,1),1)&gt;0,AND(ISNUMBER(J800),OR(J800&lt;50,J800&gt;20000000))),"Введите целое число от 50 до 20000000",IF(NOT(ABS(IFERROR(VALUE(LEFT(M800,FIND("-",M800)-1)),M800)*100-(2500+2000000000)/2)&lt;=ABS(2500-2000000000)/2),"Цена со скидкой должна быть от 25 до 20000000",IF(AND(IFERROR(VALUE(LEFT(M800,FIND("-",M800)-1)),M800)*150&lt;=3338475,IFERROR(VALUE(LEFT(M800,FIND("-",M800)-1)),M800)*200&gt;3338475),"Вы уменьшили цену в несколько раз, товар попадет в карантин цен",IF(IFERROR(VALUE(LEFT(M800,FIND("-",M800)-1)),M800)*200&lt;=3338475,"Не сохранили изменения, чтобы защитить от ошибки — новые цены меньше текущих более чем в 2 раза. Снижайте их постепенно",IF(AND(IFERROR(VALUE(I800),0)=0,ISNUMBER(J800),OR(J800&lt;523,ABS(IFERROR(VALUE(LEFT(M800,FIND("-",M800)-1)),M800))*100&lt;52300)),"Проверьте цену товара. Большинство товаров в выбранной категории стоят дороже 523","")))))),"")</f>
      </c>
    </row>
    <row r="801">
      <c r="A801" s="2" t="inlineStr">
        <is>
          <t/>
        </is>
      </c>
      <c r="B801" s="2" t="inlineStr">
        <is>
          <t>Кастрюли</t>
        </is>
      </c>
      <c r="C801" s="2">
        <v>729144186</v>
      </c>
      <c r="D801" s="2" t="inlineStr">
        <is>
          <t>24351</t>
        </is>
      </c>
      <c r="E801" s="2" t="inlineStr">
        <is>
          <t>2048079094481</t>
        </is>
      </c>
      <c r="F801" s="2">
        <v>2</v>
      </c>
      <c r="G801" s="2">
        <v>0</v>
      </c>
      <c r="H801" s="2">
        <v>999</v>
      </c>
      <c r="I801" s="2" t="inlineStr">
        <is>
          <t>36473</t>
        </is>
      </c>
      <c r="J801" s="4"/>
      <c r="K801" s="2">
        <v>81</v>
      </c>
      <c r="L801" s="6"/>
      <c r="M801" s="2" t="str">
        <f>IF(J801="",ROUND(I801*(1-IF(ISBLANK(L801),K801,L801)/100),2),ROUND(J801*(1-IF(ISBLANK(L801),K801,L801)/100),2))</f>
      </c>
      <c r="N801" s="7" t="str">
        <f>IF(NOT(AND(J801="",L801="")),IF(OR(AND(L801&lt;&gt;"",NOT(ISNUMBER(L801))),IFERROR(MOD(L801,1),1)&gt;0,AND(ISNUMBER(L801),OR(L801&lt;0,L801&gt;95))),"Введите целое число от 0 до 95",IF(OR(AND(J801&lt;&gt;"",NOT(ISNUMBER(J801))),IFERROR(MOD(J801,1),1)&gt;0,AND(ISNUMBER(J801),OR(J801&lt;50,J801&gt;20000000))),"Введите целое число от 50 до 20000000",IF(NOT(ABS(IFERROR(VALUE(LEFT(M801,FIND("-",M801)-1)),M801)*100-(2500+2000000000)/2)&lt;=ABS(2500-2000000000)/2),"Цена со скидкой должна быть от 25 до 20000000",IF(AND(IFERROR(VALUE(LEFT(M801,FIND("-",M801)-1)),M801)*150&lt;=692986,IFERROR(VALUE(LEFT(M801,FIND("-",M801)-1)),M801)*200&gt;692986),"Вы уменьшили цену в несколько раз, товар попадет в карантин цен",IF(IFERROR(VALUE(LEFT(M801,FIND("-",M801)-1)),M801)*200&lt;=692986,"Не сохранили изменения, чтобы защитить от ошибки — новые цены меньше текущих более чем в 2 раза. Снижайте их постепенно",IF(AND(IFERROR(VALUE(I801),0)=0,ISNUMBER(J801),OR(J801&lt;523,ABS(IFERROR(VALUE(LEFT(M801,FIND("-",M801)-1)),M801))*100&lt;52300)),"Проверьте цену товара. Большинство товаров в выбранной категории стоят дороже 523","")))))),"")</f>
      </c>
    </row>
    <row r="802">
      <c r="A802" s="2" t="inlineStr">
        <is>
          <t/>
        </is>
      </c>
      <c r="B802" s="2" t="inlineStr">
        <is>
          <t>Кастрюли</t>
        </is>
      </c>
      <c r="C802" s="2">
        <v>729145119</v>
      </c>
      <c r="D802" s="2" t="inlineStr">
        <is>
          <t>821525</t>
        </is>
      </c>
      <c r="E802" s="2" t="inlineStr">
        <is>
          <t>2048079111263</t>
        </is>
      </c>
      <c r="F802" s="2">
        <v>4</v>
      </c>
      <c r="G802" s="2">
        <v>1</v>
      </c>
      <c r="H802" s="2">
        <v>999</v>
      </c>
      <c r="I802" s="2" t="inlineStr">
        <is>
          <t>37438</t>
        </is>
      </c>
      <c r="J802" s="4"/>
      <c r="K802" s="2">
        <v>80</v>
      </c>
      <c r="L802" s="6"/>
      <c r="M802" s="2" t="str">
        <f>IF(J802="",ROUND(I802*(1-IF(ISBLANK(L802),K802,L802)/100),2),ROUND(J802*(1-IF(ISBLANK(L802),K802,L802)/100),2))</f>
      </c>
      <c r="N802" s="7" t="str">
        <f>IF(NOT(AND(J802="",L802="")),IF(OR(AND(L802&lt;&gt;"",NOT(ISNUMBER(L802))),IFERROR(MOD(L802,1),1)&gt;0,AND(ISNUMBER(L802),OR(L802&lt;0,L802&gt;95))),"Введите целое число от 0 до 95",IF(OR(AND(J802&lt;&gt;"",NOT(ISNUMBER(J802))),IFERROR(MOD(J802,1),1)&gt;0,AND(ISNUMBER(J802),OR(J802&lt;50,J802&gt;20000000))),"Введите целое число от 50 до 20000000",IF(NOT(ABS(IFERROR(VALUE(LEFT(M802,FIND("-",M802)-1)),M802)*100-(2500+2000000000)/2)&lt;=ABS(2500-2000000000)/2),"Цена со скидкой должна быть от 25 до 20000000",IF(AND(IFERROR(VALUE(LEFT(M802,FIND("-",M802)-1)),M802)*150&lt;=748759,IFERROR(VALUE(LEFT(M802,FIND("-",M802)-1)),M802)*200&gt;748759),"Вы уменьшили цену в несколько раз, товар попадет в карантин цен",IF(IFERROR(VALUE(LEFT(M802,FIND("-",M802)-1)),M802)*200&lt;=748759,"Не сохранили изменения, чтобы защитить от ошибки — новые цены меньше текущих более чем в 2 раза. Снижайте их постепенно",IF(AND(IFERROR(VALUE(I802),0)=0,ISNUMBER(J802),OR(J802&lt;523,ABS(IFERROR(VALUE(LEFT(M802,FIND("-",M802)-1)),M802))*100&lt;52300)),"Проверьте цену товара. Большинство товаров в выбранной категории стоят дороже 523","")))))),"")</f>
      </c>
    </row>
    <row r="803">
      <c r="A803" s="2" t="inlineStr">
        <is>
          <t/>
        </is>
      </c>
      <c r="B803" s="2" t="inlineStr">
        <is>
          <t>Кастрюли</t>
        </is>
      </c>
      <c r="C803" s="2">
        <v>729145125</v>
      </c>
      <c r="D803" s="2" t="inlineStr">
        <is>
          <t>283533</t>
        </is>
      </c>
      <c r="E803" s="2" t="inlineStr">
        <is>
          <t>2048079111331</t>
        </is>
      </c>
      <c r="F803" s="2">
        <v>0</v>
      </c>
      <c r="G803" s="2">
        <v>0</v>
      </c>
      <c r="H803" s="2" t="inlineStr">
        <is>
          <t/>
        </is>
      </c>
      <c r="I803" s="2" t="inlineStr">
        <is>
          <t>55111</t>
        </is>
      </c>
      <c r="J803" s="4"/>
      <c r="K803" s="2">
        <v>65</v>
      </c>
      <c r="L803" s="6"/>
      <c r="M803" s="2" t="str">
        <f>IF(J803="",ROUND(I803*(1-IF(ISBLANK(L803),K803,L803)/100),2),ROUND(J803*(1-IF(ISBLANK(L803),K803,L803)/100),2))</f>
      </c>
      <c r="N803" s="7" t="str">
        <f>IF(NOT(AND(J803="",L803="")),IF(OR(AND(L803&lt;&gt;"",NOT(ISNUMBER(L803))),IFERROR(MOD(L803,1),1)&gt;0,AND(ISNUMBER(L803),OR(L803&lt;0,L803&gt;95))),"Введите целое число от 0 до 95",IF(OR(AND(J803&lt;&gt;"",NOT(ISNUMBER(J803))),IFERROR(MOD(J803,1),1)&gt;0,AND(ISNUMBER(J803),OR(J803&lt;50,J803&gt;20000000))),"Введите целое число от 50 до 20000000",IF(NOT(ABS(IFERROR(VALUE(LEFT(M803,FIND("-",M803)-1)),M803)*100-(2500+2000000000)/2)&lt;=ABS(2500-2000000000)/2),"Цена со скидкой должна быть от 25 до 20000000",IF(AND(IFERROR(VALUE(LEFT(M803,FIND("-",M803)-1)),M803)*150&lt;=1928884,IFERROR(VALUE(LEFT(M803,FIND("-",M803)-1)),M803)*200&gt;1928884),"Вы уменьшили цену в несколько раз, товар попадет в карантин цен",IF(IFERROR(VALUE(LEFT(M803,FIND("-",M803)-1)),M803)*200&lt;=1928884,"Не сохранили изменения, чтобы защитить от ошибки — новые цены меньше текущих более чем в 2 раза. Снижайте их постепенно",IF(AND(IFERROR(VALUE(I803),0)=0,ISNUMBER(J803),OR(J803&lt;523,ABS(IFERROR(VALUE(LEFT(M803,FIND("-",M803)-1)),M803))*100&lt;52300)),"Проверьте цену товара. Большинство товаров в выбранной категории стоят дороже 523","")))))),"")</f>
      </c>
    </row>
    <row r="804">
      <c r="A804" s="2" t="inlineStr">
        <is>
          <t/>
        </is>
      </c>
      <c r="B804" s="2" t="inlineStr">
        <is>
          <t>Кастрюли</t>
        </is>
      </c>
      <c r="C804" s="2">
        <v>729145133</v>
      </c>
      <c r="D804" s="2" t="inlineStr">
        <is>
          <t>283495</t>
        </is>
      </c>
      <c r="E804" s="2" t="inlineStr">
        <is>
          <t>2048079111447</t>
        </is>
      </c>
      <c r="F804" s="2">
        <v>0</v>
      </c>
      <c r="G804" s="2">
        <v>0</v>
      </c>
      <c r="H804" s="2">
        <v>28</v>
      </c>
      <c r="I804" s="2" t="inlineStr">
        <is>
          <t>44201</t>
        </is>
      </c>
      <c r="J804" s="4"/>
      <c r="K804" s="2">
        <v>81</v>
      </c>
      <c r="L804" s="6"/>
      <c r="M804" s="2" t="str">
        <f>IF(J804="",ROUND(I804*(1-IF(ISBLANK(L804),K804,L804)/100),2),ROUND(J804*(1-IF(ISBLANK(L804),K804,L804)/100),2))</f>
      </c>
      <c r="N804" s="7" t="str">
        <f>IF(NOT(AND(J804="",L804="")),IF(OR(AND(L804&lt;&gt;"",NOT(ISNUMBER(L804))),IFERROR(MOD(L804,1),1)&gt;0,AND(ISNUMBER(L804),OR(L804&lt;0,L804&gt;95))),"Введите целое число от 0 до 95",IF(OR(AND(J804&lt;&gt;"",NOT(ISNUMBER(J804))),IFERROR(MOD(J804,1),1)&gt;0,AND(ISNUMBER(J804),OR(J804&lt;50,J804&gt;20000000))),"Введите целое число от 50 до 20000000",IF(NOT(ABS(IFERROR(VALUE(LEFT(M804,FIND("-",M804)-1)),M804)*100-(2500+2000000000)/2)&lt;=ABS(2500-2000000000)/2),"Цена со скидкой должна быть от 25 до 20000000",IF(AND(IFERROR(VALUE(LEFT(M804,FIND("-",M804)-1)),M804)*150&lt;=839818,IFERROR(VALUE(LEFT(M804,FIND("-",M804)-1)),M804)*200&gt;839818),"Вы уменьшили цену в несколько раз, товар попадет в карантин цен",IF(IFERROR(VALUE(LEFT(M804,FIND("-",M804)-1)),M804)*200&lt;=839818,"Не сохранили изменения, чтобы защитить от ошибки — новые цены меньше текущих более чем в 2 раза. Снижайте их постепенно",IF(AND(IFERROR(VALUE(I804),0)=0,ISNUMBER(J804),OR(J804&lt;523,ABS(IFERROR(VALUE(LEFT(M804,FIND("-",M804)-1)),M804))*100&lt;52300)),"Проверьте цену товара. Большинство товаров в выбранной категории стоят дороже 523","")))))),"")</f>
      </c>
    </row>
    <row r="805">
      <c r="A805" s="2" t="inlineStr">
        <is>
          <t/>
        </is>
      </c>
      <c r="B805" s="2" t="inlineStr">
        <is>
          <t>Кастрюли</t>
        </is>
      </c>
      <c r="C805" s="2">
        <v>729145112</v>
      </c>
      <c r="D805" s="2" t="inlineStr">
        <is>
          <t>28697</t>
        </is>
      </c>
      <c r="E805" s="2" t="inlineStr">
        <is>
          <t>2048079111164</t>
        </is>
      </c>
      <c r="F805" s="2">
        <v>0</v>
      </c>
      <c r="G805" s="2">
        <v>1</v>
      </c>
      <c r="H805" s="2" t="inlineStr">
        <is>
          <t/>
        </is>
      </c>
      <c r="I805" s="2" t="inlineStr">
        <is>
          <t>41524</t>
        </is>
      </c>
      <c r="J805" s="4"/>
      <c r="K805" s="2">
        <v>80</v>
      </c>
      <c r="L805" s="6"/>
      <c r="M805" s="2" t="str">
        <f>IF(J805="",ROUND(I805*(1-IF(ISBLANK(L805),K805,L805)/100),2),ROUND(J805*(1-IF(ISBLANK(L805),K805,L805)/100),2))</f>
      </c>
      <c r="N805" s="7" t="str">
        <f>IF(NOT(AND(J805="",L805="")),IF(OR(AND(L805&lt;&gt;"",NOT(ISNUMBER(L805))),IFERROR(MOD(L805,1),1)&gt;0,AND(ISNUMBER(L805),OR(L805&lt;0,L805&gt;95))),"Введите целое число от 0 до 95",IF(OR(AND(J805&lt;&gt;"",NOT(ISNUMBER(J805))),IFERROR(MOD(J805,1),1)&gt;0,AND(ISNUMBER(J805),OR(J805&lt;50,J805&gt;20000000))),"Введите целое число от 50 до 20000000",IF(NOT(ABS(IFERROR(VALUE(LEFT(M805,FIND("-",M805)-1)),M805)*100-(2500+2000000000)/2)&lt;=ABS(2500-2000000000)/2),"Цена со скидкой должна быть от 25 до 20000000",IF(AND(IFERROR(VALUE(LEFT(M805,FIND("-",M805)-1)),M805)*150&lt;=830479,IFERROR(VALUE(LEFT(M805,FIND("-",M805)-1)),M805)*200&gt;830479),"Вы уменьшили цену в несколько раз, товар попадет в карантин цен",IF(IFERROR(VALUE(LEFT(M805,FIND("-",M805)-1)),M805)*200&lt;=830479,"Не сохранили изменения, чтобы защитить от ошибки — новые цены меньше текущих более чем в 2 раза. Снижайте их постепенно",IF(AND(IFERROR(VALUE(I805),0)=0,ISNUMBER(J805),OR(J805&lt;523,ABS(IFERROR(VALUE(LEFT(M805,FIND("-",M805)-1)),M805))*100&lt;52300)),"Проверьте цену товара. Большинство товаров в выбранной категории стоят дороже 523","")))))),"")</f>
      </c>
    </row>
    <row r="806">
      <c r="A806" s="2" t="inlineStr">
        <is>
          <t/>
        </is>
      </c>
      <c r="B806" s="2" t="inlineStr">
        <is>
          <t>Кастрюли</t>
        </is>
      </c>
      <c r="C806" s="2">
        <v>729145111</v>
      </c>
      <c r="D806" s="2" t="inlineStr">
        <is>
          <t>821159</t>
        </is>
      </c>
      <c r="E806" s="2" t="inlineStr">
        <is>
          <t>2048079111157</t>
        </is>
      </c>
      <c r="F806" s="2">
        <v>0</v>
      </c>
      <c r="G806" s="2">
        <v>3</v>
      </c>
      <c r="H806" s="2" t="inlineStr">
        <is>
          <t/>
        </is>
      </c>
      <c r="I806" s="2" t="inlineStr">
        <is>
          <t>31334</t>
        </is>
      </c>
      <c r="J806" s="4"/>
      <c r="K806" s="2">
        <v>80</v>
      </c>
      <c r="L806" s="6"/>
      <c r="M806" s="2" t="str">
        <f>IF(J806="",ROUND(I806*(1-IF(ISBLANK(L806),K806,L806)/100),2),ROUND(J806*(1-IF(ISBLANK(L806),K806,L806)/100),2))</f>
      </c>
      <c r="N806" s="7" t="str">
        <f>IF(NOT(AND(J806="",L806="")),IF(OR(AND(L806&lt;&gt;"",NOT(ISNUMBER(L806))),IFERROR(MOD(L806,1),1)&gt;0,AND(ISNUMBER(L806),OR(L806&lt;0,L806&gt;95))),"Введите целое число от 0 до 95",IF(OR(AND(J806&lt;&gt;"",NOT(ISNUMBER(J806))),IFERROR(MOD(J806,1),1)&gt;0,AND(ISNUMBER(J806),OR(J806&lt;50,J806&gt;20000000))),"Введите целое число от 50 до 20000000",IF(NOT(ABS(IFERROR(VALUE(LEFT(M806,FIND("-",M806)-1)),M806)*100-(2500+2000000000)/2)&lt;=ABS(2500-2000000000)/2),"Цена со скидкой должна быть от 25 до 20000000",IF(AND(IFERROR(VALUE(LEFT(M806,FIND("-",M806)-1)),M806)*150&lt;=626679,IFERROR(VALUE(LEFT(M806,FIND("-",M806)-1)),M806)*200&gt;626679),"Вы уменьшили цену в несколько раз, товар попадет в карантин цен",IF(IFERROR(VALUE(LEFT(M806,FIND("-",M806)-1)),M806)*200&lt;=626679,"Не сохранили изменения, чтобы защитить от ошибки — новые цены меньше текущих более чем в 2 раза. Снижайте их постепенно",IF(AND(IFERROR(VALUE(I806),0)=0,ISNUMBER(J806),OR(J806&lt;523,ABS(IFERROR(VALUE(LEFT(M806,FIND("-",M806)-1)),M806))*100&lt;52300)),"Проверьте цену товара. Большинство товаров в выбранной категории стоят дороже 523","")))))),"")</f>
      </c>
    </row>
    <row r="807">
      <c r="A807" s="2" t="inlineStr">
        <is>
          <t/>
        </is>
      </c>
      <c r="B807" s="2" t="inlineStr">
        <is>
          <t>Кастрюли</t>
        </is>
      </c>
      <c r="C807" s="2">
        <v>729144031</v>
      </c>
      <c r="D807" s="2" t="inlineStr">
        <is>
          <t>28672</t>
        </is>
      </c>
      <c r="E807" s="2" t="inlineStr">
        <is>
          <t>2048079090223</t>
        </is>
      </c>
      <c r="F807" s="2">
        <v>0</v>
      </c>
      <c r="G807" s="2">
        <v>16</v>
      </c>
      <c r="H807" s="2" t="inlineStr">
        <is>
          <t/>
        </is>
      </c>
      <c r="I807" s="2" t="inlineStr">
        <is>
          <t>11086</t>
        </is>
      </c>
      <c r="J807" s="4"/>
      <c r="K807" s="2">
        <v>80</v>
      </c>
      <c r="L807" s="6"/>
      <c r="M807" s="2" t="str">
        <f>IF(J807="",ROUND(I807*(1-IF(ISBLANK(L807),K807,L807)/100),2),ROUND(J807*(1-IF(ISBLANK(L807),K807,L807)/100),2))</f>
      </c>
      <c r="N807" s="7" t="str">
        <f>IF(NOT(AND(J807="",L807="")),IF(OR(AND(L807&lt;&gt;"",NOT(ISNUMBER(L807))),IFERROR(MOD(L807,1),1)&gt;0,AND(ISNUMBER(L807),OR(L807&lt;0,L807&gt;95))),"Введите целое число от 0 до 95",IF(OR(AND(J807&lt;&gt;"",NOT(ISNUMBER(J807))),IFERROR(MOD(J807,1),1)&gt;0,AND(ISNUMBER(J807),OR(J807&lt;50,J807&gt;20000000))),"Введите целое число от 50 до 20000000",IF(NOT(ABS(IFERROR(VALUE(LEFT(M807,FIND("-",M807)-1)),M807)*100-(2500+2000000000)/2)&lt;=ABS(2500-2000000000)/2),"Цена со скидкой должна быть от 25 до 20000000",IF(AND(IFERROR(VALUE(LEFT(M807,FIND("-",M807)-1)),M807)*150&lt;=221719,IFERROR(VALUE(LEFT(M807,FIND("-",M807)-1)),M807)*200&gt;221719),"Вы уменьшили цену в несколько раз, товар попадет в карантин цен",IF(IFERROR(VALUE(LEFT(M807,FIND("-",M807)-1)),M807)*200&lt;=221719,"Не сохранили изменения, чтобы защитить от ошибки — новые цены меньше текущих более чем в 2 раза. Снижайте их постепенно",IF(AND(IFERROR(VALUE(I807),0)=0,ISNUMBER(J807),OR(J807&lt;523,ABS(IFERROR(VALUE(LEFT(M807,FIND("-",M807)-1)),M807))*100&lt;52300)),"Проверьте цену товара. Большинство товаров в выбранной категории стоят дороже 523","")))))),"")</f>
      </c>
    </row>
    <row r="808">
      <c r="A808" s="2" t="inlineStr">
        <is>
          <t/>
        </is>
      </c>
      <c r="B808" s="2" t="inlineStr">
        <is>
          <t>Кастрюли</t>
        </is>
      </c>
      <c r="C808" s="2">
        <v>729143945</v>
      </c>
      <c r="D808" s="2" t="inlineStr">
        <is>
          <t>20897</t>
        </is>
      </c>
      <c r="E808" s="2" t="inlineStr">
        <is>
          <t>2048079088039</t>
        </is>
      </c>
      <c r="F808" s="2">
        <v>5</v>
      </c>
      <c r="G808" s="2">
        <v>5</v>
      </c>
      <c r="H808" s="2">
        <v>999</v>
      </c>
      <c r="I808" s="2" t="inlineStr">
        <is>
          <t>21928</t>
        </is>
      </c>
      <c r="J808" s="4"/>
      <c r="K808" s="2">
        <v>80</v>
      </c>
      <c r="L808" s="6"/>
      <c r="M808" s="2" t="str">
        <f>IF(J808="",ROUND(I808*(1-IF(ISBLANK(L808),K808,L808)/100),2),ROUND(J808*(1-IF(ISBLANK(L808),K808,L808)/100),2))</f>
      </c>
      <c r="N808" s="7" t="str">
        <f>IF(NOT(AND(J808="",L808="")),IF(OR(AND(L808&lt;&gt;"",NOT(ISNUMBER(L808))),IFERROR(MOD(L808,1),1)&gt;0,AND(ISNUMBER(L808),OR(L808&lt;0,L808&gt;95))),"Введите целое число от 0 до 95",IF(OR(AND(J808&lt;&gt;"",NOT(ISNUMBER(J808))),IFERROR(MOD(J808,1),1)&gt;0,AND(ISNUMBER(J808),OR(J808&lt;50,J808&gt;20000000))),"Введите целое число от 50 до 20000000",IF(NOT(ABS(IFERROR(VALUE(LEFT(M808,FIND("-",M808)-1)),M808)*100-(2500+2000000000)/2)&lt;=ABS(2500-2000000000)/2),"Цена со скидкой должна быть от 25 до 20000000",IF(AND(IFERROR(VALUE(LEFT(M808,FIND("-",M808)-1)),M808)*150&lt;=438559,IFERROR(VALUE(LEFT(M808,FIND("-",M808)-1)),M808)*200&gt;438559),"Вы уменьшили цену в несколько раз, товар попадет в карантин цен",IF(IFERROR(VALUE(LEFT(M808,FIND("-",M808)-1)),M808)*200&lt;=438559,"Не сохранили изменения, чтобы защитить от ошибки — новые цены меньше текущих более чем в 2 раза. Снижайте их постепенно",IF(AND(IFERROR(VALUE(I808),0)=0,ISNUMBER(J808),OR(J808&lt;523,ABS(IFERROR(VALUE(LEFT(M808,FIND("-",M808)-1)),M808))*100&lt;52300)),"Проверьте цену товара. Большинство товаров в выбранной категории стоят дороже 523","")))))),"")</f>
      </c>
    </row>
    <row r="809">
      <c r="A809" s="2" t="inlineStr">
        <is>
          <t/>
        </is>
      </c>
      <c r="B809" s="2" t="inlineStr">
        <is>
          <t>Кастрюли</t>
        </is>
      </c>
      <c r="C809" s="2">
        <v>729145129</v>
      </c>
      <c r="D809" s="2" t="inlineStr">
        <is>
          <t>283444</t>
        </is>
      </c>
      <c r="E809" s="2" t="inlineStr">
        <is>
          <t>2048079111393</t>
        </is>
      </c>
      <c r="F809" s="2">
        <v>1</v>
      </c>
      <c r="G809" s="2">
        <v>0</v>
      </c>
      <c r="H809" s="2">
        <v>999</v>
      </c>
      <c r="I809" s="2" t="inlineStr">
        <is>
          <t>38708</t>
        </is>
      </c>
      <c r="J809" s="4"/>
      <c r="K809" s="2">
        <v>81</v>
      </c>
      <c r="L809" s="6"/>
      <c r="M809" s="2" t="str">
        <f>IF(J809="",ROUND(I809*(1-IF(ISBLANK(L809),K809,L809)/100),2),ROUND(J809*(1-IF(ISBLANK(L809),K809,L809)/100),2))</f>
      </c>
      <c r="N809" s="7" t="str">
        <f>IF(NOT(AND(J809="",L809="")),IF(OR(AND(L809&lt;&gt;"",NOT(ISNUMBER(L809))),IFERROR(MOD(L809,1),1)&gt;0,AND(ISNUMBER(L809),OR(L809&lt;0,L809&gt;95))),"Введите целое число от 0 до 95",IF(OR(AND(J809&lt;&gt;"",NOT(ISNUMBER(J809))),IFERROR(MOD(J809,1),1)&gt;0,AND(ISNUMBER(J809),OR(J809&lt;50,J809&gt;20000000))),"Введите целое число от 50 до 20000000",IF(NOT(ABS(IFERROR(VALUE(LEFT(M809,FIND("-",M809)-1)),M809)*100-(2500+2000000000)/2)&lt;=ABS(2500-2000000000)/2),"Цена со скидкой должна быть от 25 до 20000000",IF(AND(IFERROR(VALUE(LEFT(M809,FIND("-",M809)-1)),M809)*150&lt;=735451,IFERROR(VALUE(LEFT(M809,FIND("-",M809)-1)),M809)*200&gt;735451),"Вы уменьшили цену в несколько раз, товар попадет в карантин цен",IF(IFERROR(VALUE(LEFT(M809,FIND("-",M809)-1)),M809)*200&lt;=735451,"Не сохранили изменения, чтобы защитить от ошибки — новые цены меньше текущих более чем в 2 раза. Снижайте их постепенно",IF(AND(IFERROR(VALUE(I809),0)=0,ISNUMBER(J809),OR(J809&lt;523,ABS(IFERROR(VALUE(LEFT(M809,FIND("-",M809)-1)),M809))*100&lt;52300)),"Проверьте цену товара. Большинство товаров в выбранной категории стоят дороже 523","")))))),"")</f>
      </c>
    </row>
    <row r="810">
      <c r="A810" s="2" t="inlineStr">
        <is>
          <t/>
        </is>
      </c>
      <c r="B810" s="2" t="inlineStr">
        <is>
          <t>Кастрюли</t>
        </is>
      </c>
      <c r="C810" s="2">
        <v>729144045</v>
      </c>
      <c r="D810" s="2" t="inlineStr">
        <is>
          <t>82740</t>
        </is>
      </c>
      <c r="E810" s="2" t="inlineStr">
        <is>
          <t>2048079090476</t>
        </is>
      </c>
      <c r="F810" s="2">
        <v>0</v>
      </c>
      <c r="G810" s="2">
        <v>7</v>
      </c>
      <c r="H810" s="2" t="inlineStr">
        <is>
          <t/>
        </is>
      </c>
      <c r="I810" s="2" t="inlineStr">
        <is>
          <t>12907</t>
        </is>
      </c>
      <c r="J810" s="4"/>
      <c r="K810" s="2">
        <v>80</v>
      </c>
      <c r="L810" s="6"/>
      <c r="M810" s="2" t="str">
        <f>IF(J810="",ROUND(I810*(1-IF(ISBLANK(L810),K810,L810)/100),2),ROUND(J810*(1-IF(ISBLANK(L810),K810,L810)/100),2))</f>
      </c>
      <c r="N810" s="7" t="str">
        <f>IF(NOT(AND(J810="",L810="")),IF(OR(AND(L810&lt;&gt;"",NOT(ISNUMBER(L810))),IFERROR(MOD(L810,1),1)&gt;0,AND(ISNUMBER(L810),OR(L810&lt;0,L810&gt;95))),"Введите целое число от 0 до 95",IF(OR(AND(J810&lt;&gt;"",NOT(ISNUMBER(J810))),IFERROR(MOD(J810,1),1)&gt;0,AND(ISNUMBER(J810),OR(J810&lt;50,J810&gt;20000000))),"Введите целое число от 50 до 20000000",IF(NOT(ABS(IFERROR(VALUE(LEFT(M810,FIND("-",M810)-1)),M810)*100-(2500+2000000000)/2)&lt;=ABS(2500-2000000000)/2),"Цена со скидкой должна быть от 25 до 20000000",IF(AND(IFERROR(VALUE(LEFT(M810,FIND("-",M810)-1)),M810)*150&lt;=258139,IFERROR(VALUE(LEFT(M810,FIND("-",M810)-1)),M810)*200&gt;258139),"Вы уменьшили цену в несколько раз, товар попадет в карантин цен",IF(IFERROR(VALUE(LEFT(M810,FIND("-",M810)-1)),M810)*200&lt;=258139,"Не сохранили изменения, чтобы защитить от ошибки — новые цены меньше текущих более чем в 2 раза. Снижайте их постепенно",IF(AND(IFERROR(VALUE(I810),0)=0,ISNUMBER(J810),OR(J810&lt;523,ABS(IFERROR(VALUE(LEFT(M810,FIND("-",M810)-1)),M810))*100&lt;52300)),"Проверьте цену товара. Большинство товаров в выбранной категории стоят дороже 523","")))))),"")</f>
      </c>
    </row>
    <row r="811">
      <c r="A811" s="2" t="inlineStr">
        <is>
          <t/>
        </is>
      </c>
      <c r="B811" s="2" t="inlineStr">
        <is>
          <t>Кастрюли</t>
        </is>
      </c>
      <c r="C811" s="2">
        <v>729143934</v>
      </c>
      <c r="D811" s="2" t="inlineStr">
        <is>
          <t>200115</t>
        </is>
      </c>
      <c r="E811" s="2" t="inlineStr">
        <is>
          <t>2048079087681</t>
        </is>
      </c>
      <c r="F811" s="2">
        <v>3</v>
      </c>
      <c r="G811" s="2">
        <v>2</v>
      </c>
      <c r="H811" s="2">
        <v>999</v>
      </c>
      <c r="I811" s="2" t="inlineStr">
        <is>
          <t>22744</t>
        </is>
      </c>
      <c r="J811" s="4"/>
      <c r="K811" s="2">
        <v>80</v>
      </c>
      <c r="L811" s="6"/>
      <c r="M811" s="2" t="str">
        <f>IF(J811="",ROUND(I811*(1-IF(ISBLANK(L811),K811,L811)/100),2),ROUND(J811*(1-IF(ISBLANK(L811),K811,L811)/100),2))</f>
      </c>
      <c r="N811" s="7" t="str">
        <f>IF(NOT(AND(J811="",L811="")),IF(OR(AND(L811&lt;&gt;"",NOT(ISNUMBER(L811))),IFERROR(MOD(L811,1),1)&gt;0,AND(ISNUMBER(L811),OR(L811&lt;0,L811&gt;95))),"Введите целое число от 0 до 95",IF(OR(AND(J811&lt;&gt;"",NOT(ISNUMBER(J811))),IFERROR(MOD(J811,1),1)&gt;0,AND(ISNUMBER(J811),OR(J811&lt;50,J811&gt;20000000))),"Введите целое число от 50 до 20000000",IF(NOT(ABS(IFERROR(VALUE(LEFT(M811,FIND("-",M811)-1)),M811)*100-(2500+2000000000)/2)&lt;=ABS(2500-2000000000)/2),"Цена со скидкой должна быть от 25 до 20000000",IF(AND(IFERROR(VALUE(LEFT(M811,FIND("-",M811)-1)),M811)*150&lt;=454879,IFERROR(VALUE(LEFT(M811,FIND("-",M811)-1)),M811)*200&gt;454879),"Вы уменьшили цену в несколько раз, товар попадет в карантин цен",IF(IFERROR(VALUE(LEFT(M811,FIND("-",M811)-1)),M811)*200&lt;=454879,"Не сохранили изменения, чтобы защитить от ошибки — новые цены меньше текущих более чем в 2 раза. Снижайте их постепенно",IF(AND(IFERROR(VALUE(I811),0)=0,ISNUMBER(J811),OR(J811&lt;523,ABS(IFERROR(VALUE(LEFT(M811,FIND("-",M811)-1)),M811))*100&lt;52300)),"Проверьте цену товара. Большинство товаров в выбранной категории стоят дороже 523","")))))),"")</f>
      </c>
    </row>
    <row r="812">
      <c r="A812" s="2" t="inlineStr">
        <is>
          <t/>
        </is>
      </c>
      <c r="B812" s="2" t="inlineStr">
        <is>
          <t>Кастрюли</t>
        </is>
      </c>
      <c r="C812" s="2">
        <v>729144179</v>
      </c>
      <c r="D812" s="2" t="inlineStr">
        <is>
          <t>24996</t>
        </is>
      </c>
      <c r="E812" s="2" t="inlineStr">
        <is>
          <t>2048079094382</t>
        </is>
      </c>
      <c r="F812" s="2">
        <v>0</v>
      </c>
      <c r="G812" s="2">
        <v>1</v>
      </c>
      <c r="H812" s="2">
        <v>1</v>
      </c>
      <c r="I812" s="2" t="inlineStr">
        <is>
          <t>60800</t>
        </is>
      </c>
      <c r="J812" s="4"/>
      <c r="K812" s="2">
        <v>75</v>
      </c>
      <c r="L812" s="6"/>
      <c r="M812" s="2" t="str">
        <f>IF(J812="",ROUND(I812*(1-IF(ISBLANK(L812),K812,L812)/100),2),ROUND(J812*(1-IF(ISBLANK(L812),K812,L812)/100),2))</f>
      </c>
      <c r="N812" s="7" t="str">
        <f>IF(NOT(AND(J812="",L812="")),IF(OR(AND(L812&lt;&gt;"",NOT(ISNUMBER(L812))),IFERROR(MOD(L812,1),1)&gt;0,AND(ISNUMBER(L812),OR(L812&lt;0,L812&gt;95))),"Введите целое число от 0 до 95",IF(OR(AND(J812&lt;&gt;"",NOT(ISNUMBER(J812))),IFERROR(MOD(J812,1),1)&gt;0,AND(ISNUMBER(J812),OR(J812&lt;50,J812&gt;20000000))),"Введите целое число от 50 до 20000000",IF(NOT(ABS(IFERROR(VALUE(LEFT(M812,FIND("-",M812)-1)),M812)*100-(2500+2000000000)/2)&lt;=ABS(2500-2000000000)/2),"Цена со скидкой должна быть от 25 до 20000000",IF(AND(IFERROR(VALUE(LEFT(M812,FIND("-",M812)-1)),M812)*150&lt;=1520000,IFERROR(VALUE(LEFT(M812,FIND("-",M812)-1)),M812)*200&gt;1520000),"Вы уменьшили цену в несколько раз, товар попадет в карантин цен",IF(IFERROR(VALUE(LEFT(M812,FIND("-",M812)-1)),M812)*200&lt;=1520000,"Не сохранили изменения, чтобы защитить от ошибки — новые цены меньше текущих более чем в 2 раза. Снижайте их постепенно",IF(AND(IFERROR(VALUE(I812),0)=0,ISNUMBER(J812),OR(J812&lt;523,ABS(IFERROR(VALUE(LEFT(M812,FIND("-",M812)-1)),M812))*100&lt;52300)),"Проверьте цену товара. Большинство товаров в выбранной категории стоят дороже 523","")))))),"")</f>
      </c>
    </row>
    <row r="813">
      <c r="A813" s="2" t="inlineStr">
        <is>
          <t/>
        </is>
      </c>
      <c r="B813" s="2" t="inlineStr">
        <is>
          <t>Кастрюли</t>
        </is>
      </c>
      <c r="C813" s="2">
        <v>729143950</v>
      </c>
      <c r="D813" s="2" t="inlineStr">
        <is>
          <t>200390</t>
        </is>
      </c>
      <c r="E813" s="2" t="inlineStr">
        <is>
          <t>2048079088190</t>
        </is>
      </c>
      <c r="F813" s="2">
        <v>0</v>
      </c>
      <c r="G813" s="2">
        <v>2</v>
      </c>
      <c r="H813" s="2" t="inlineStr">
        <is>
          <t/>
        </is>
      </c>
      <c r="I813" s="2" t="inlineStr">
        <is>
          <t>28742</t>
        </is>
      </c>
      <c r="J813" s="4"/>
      <c r="K813" s="2">
        <v>80</v>
      </c>
      <c r="L813" s="6"/>
      <c r="M813" s="2" t="str">
        <f>IF(J813="",ROUND(I813*(1-IF(ISBLANK(L813),K813,L813)/100),2),ROUND(J813*(1-IF(ISBLANK(L813),K813,L813)/100),2))</f>
      </c>
      <c r="N813" s="7" t="str">
        <f>IF(NOT(AND(J813="",L813="")),IF(OR(AND(L813&lt;&gt;"",NOT(ISNUMBER(L813))),IFERROR(MOD(L813,1),1)&gt;0,AND(ISNUMBER(L813),OR(L813&lt;0,L813&gt;95))),"Введите целое число от 0 до 95",IF(OR(AND(J813&lt;&gt;"",NOT(ISNUMBER(J813))),IFERROR(MOD(J813,1),1)&gt;0,AND(ISNUMBER(J813),OR(J813&lt;50,J813&gt;20000000))),"Введите целое число от 50 до 20000000",IF(NOT(ABS(IFERROR(VALUE(LEFT(M813,FIND("-",M813)-1)),M813)*100-(2500+2000000000)/2)&lt;=ABS(2500-2000000000)/2),"Цена со скидкой должна быть от 25 до 20000000",IF(AND(IFERROR(VALUE(LEFT(M813,FIND("-",M813)-1)),M813)*150&lt;=574839,IFERROR(VALUE(LEFT(M813,FIND("-",M813)-1)),M813)*200&gt;574839),"Вы уменьшили цену в несколько раз, товар попадет в карантин цен",IF(IFERROR(VALUE(LEFT(M813,FIND("-",M813)-1)),M813)*200&lt;=574839,"Не сохранили изменения, чтобы защитить от ошибки — новые цены меньше текущих более чем в 2 раза. Снижайте их постепенно",IF(AND(IFERROR(VALUE(I813),0)=0,ISNUMBER(J813),OR(J813&lt;523,ABS(IFERROR(VALUE(LEFT(M813,FIND("-",M813)-1)),M813))*100&lt;52300)),"Проверьте цену товара. Большинство товаров в выбранной категории стоят дороже 523","")))))),"")</f>
      </c>
    </row>
    <row r="814">
      <c r="A814" s="2" t="inlineStr">
        <is>
          <t/>
        </is>
      </c>
      <c r="B814" s="2" t="inlineStr">
        <is>
          <t>Кастрюли</t>
        </is>
      </c>
      <c r="C814" s="2">
        <v>729144180</v>
      </c>
      <c r="D814" s="2" t="inlineStr">
        <is>
          <t>240139</t>
        </is>
      </c>
      <c r="E814" s="2" t="inlineStr">
        <is>
          <t>2048079094399</t>
        </is>
      </c>
      <c r="F814" s="2">
        <v>1</v>
      </c>
      <c r="G814" s="2">
        <v>0</v>
      </c>
      <c r="H814" s="2">
        <v>999</v>
      </c>
      <c r="I814" s="2" t="inlineStr">
        <is>
          <t>49176</t>
        </is>
      </c>
      <c r="J814" s="4"/>
      <c r="K814" s="2">
        <v>84</v>
      </c>
      <c r="L814" s="6"/>
      <c r="M814" s="2" t="str">
        <f>IF(J814="",ROUND(I814*(1-IF(ISBLANK(L814),K814,L814)/100),2),ROUND(J814*(1-IF(ISBLANK(L814),K814,L814)/100),2))</f>
      </c>
      <c r="N814" s="7" t="str">
        <f>IF(NOT(AND(J814="",L814="")),IF(OR(AND(L814&lt;&gt;"",NOT(ISNUMBER(L814))),IFERROR(MOD(L814,1),1)&gt;0,AND(ISNUMBER(L814),OR(L814&lt;0,L814&gt;95))),"Введите целое число от 0 до 95",IF(OR(AND(J814&lt;&gt;"",NOT(ISNUMBER(J814))),IFERROR(MOD(J814,1),1)&gt;0,AND(ISNUMBER(J814),OR(J814&lt;50,J814&gt;20000000))),"Введите целое число от 50 до 20000000",IF(NOT(ABS(IFERROR(VALUE(LEFT(M814,FIND("-",M814)-1)),M814)*100-(2500+2000000000)/2)&lt;=ABS(2500-2000000000)/2),"Цена со скидкой должна быть от 25 до 20000000",IF(AND(IFERROR(VALUE(LEFT(M814,FIND("-",M814)-1)),M814)*150&lt;=786816,IFERROR(VALUE(LEFT(M814,FIND("-",M814)-1)),M814)*200&gt;786816),"Вы уменьшили цену в несколько раз, товар попадет в карантин цен",IF(IFERROR(VALUE(LEFT(M814,FIND("-",M814)-1)),M814)*200&lt;=786816,"Не сохранили изменения, чтобы защитить от ошибки — новые цены меньше текущих более чем в 2 раза. Снижайте их постепенно",IF(AND(IFERROR(VALUE(I814),0)=0,ISNUMBER(J814),OR(J814&lt;523,ABS(IFERROR(VALUE(LEFT(M814,FIND("-",M814)-1)),M814))*100&lt;52300)),"Проверьте цену товара. Большинство товаров в выбранной категории стоят дороже 523","")))))),"")</f>
      </c>
    </row>
    <row r="815">
      <c r="A815" s="2" t="inlineStr">
        <is>
          <t/>
        </is>
      </c>
      <c r="B815" s="2" t="inlineStr">
        <is>
          <t>Кастрюли</t>
        </is>
      </c>
      <c r="C815" s="2">
        <v>729143928</v>
      </c>
      <c r="D815" s="2" t="inlineStr">
        <is>
          <t>37047</t>
        </is>
      </c>
      <c r="E815" s="2" t="inlineStr">
        <is>
          <t>2048079086363</t>
        </is>
      </c>
      <c r="F815" s="2">
        <v>0</v>
      </c>
      <c r="G815" s="2">
        <v>1</v>
      </c>
      <c r="H815" s="2" t="inlineStr">
        <is>
          <t/>
        </is>
      </c>
      <c r="I815" s="2" t="inlineStr">
        <is>
          <t>28996</t>
        </is>
      </c>
      <c r="J815" s="4"/>
      <c r="K815" s="2">
        <v>80</v>
      </c>
      <c r="L815" s="6"/>
      <c r="M815" s="2" t="str">
        <f>IF(J815="",ROUND(I815*(1-IF(ISBLANK(L815),K815,L815)/100),2),ROUND(J815*(1-IF(ISBLANK(L815),K815,L815)/100),2))</f>
      </c>
      <c r="N815" s="7" t="str">
        <f>IF(NOT(AND(J815="",L815="")),IF(OR(AND(L815&lt;&gt;"",NOT(ISNUMBER(L815))),IFERROR(MOD(L815,1),1)&gt;0,AND(ISNUMBER(L815),OR(L815&lt;0,L815&gt;95))),"Введите целое число от 0 до 95",IF(OR(AND(J815&lt;&gt;"",NOT(ISNUMBER(J815))),IFERROR(MOD(J815,1),1)&gt;0,AND(ISNUMBER(J815),OR(J815&lt;50,J815&gt;20000000))),"Введите целое число от 50 до 20000000",IF(NOT(ABS(IFERROR(VALUE(LEFT(M815,FIND("-",M815)-1)),M815)*100-(2500+2000000000)/2)&lt;=ABS(2500-2000000000)/2),"Цена со скидкой должна быть от 25 до 20000000",IF(AND(IFERROR(VALUE(LEFT(M815,FIND("-",M815)-1)),M815)*150&lt;=579919,IFERROR(VALUE(LEFT(M815,FIND("-",M815)-1)),M815)*200&gt;579919),"Вы уменьшили цену в несколько раз, товар попадет в карантин цен",IF(IFERROR(VALUE(LEFT(M815,FIND("-",M815)-1)),M815)*200&lt;=579919,"Не сохранили изменения, чтобы защитить от ошибки — новые цены меньше текущих более чем в 2 раза. Снижайте их постепенно",IF(AND(IFERROR(VALUE(I815),0)=0,ISNUMBER(J815),OR(J815&lt;523,ABS(IFERROR(VALUE(LEFT(M815,FIND("-",M815)-1)),M815))*100&lt;52300)),"Проверьте цену товара. Большинство товаров в выбранной категории стоят дороже 523","")))))),"")</f>
      </c>
    </row>
    <row r="816">
      <c r="A816" s="2" t="inlineStr">
        <is>
          <t/>
        </is>
      </c>
      <c r="B816" s="2" t="inlineStr">
        <is>
          <t>Кастрюли</t>
        </is>
      </c>
      <c r="C816" s="2">
        <v>729144187</v>
      </c>
      <c r="D816" s="2" t="inlineStr">
        <is>
          <t>240200</t>
        </is>
      </c>
      <c r="E816" s="2" t="inlineStr">
        <is>
          <t>2048079094498</t>
        </is>
      </c>
      <c r="F816" s="2">
        <v>2</v>
      </c>
      <c r="G816" s="2">
        <v>2</v>
      </c>
      <c r="H816" s="2">
        <v>999</v>
      </c>
      <c r="I816" s="2" t="inlineStr">
        <is>
          <t>38141</t>
        </is>
      </c>
      <c r="J816" s="4"/>
      <c r="K816" s="2">
        <v>85</v>
      </c>
      <c r="L816" s="6"/>
      <c r="M816" s="2" t="str">
        <f>IF(J816="",ROUND(I816*(1-IF(ISBLANK(L816),K816,L816)/100),2),ROUND(J816*(1-IF(ISBLANK(L816),K816,L816)/100),2))</f>
      </c>
      <c r="N816" s="7" t="str">
        <f>IF(NOT(AND(J816="",L816="")),IF(OR(AND(L816&lt;&gt;"",NOT(ISNUMBER(L816))),IFERROR(MOD(L816,1),1)&gt;0,AND(ISNUMBER(L816),OR(L816&lt;0,L816&gt;95))),"Введите целое число от 0 до 95",IF(OR(AND(J816&lt;&gt;"",NOT(ISNUMBER(J816))),IFERROR(MOD(J816,1),1)&gt;0,AND(ISNUMBER(J816),OR(J816&lt;50,J816&gt;20000000))),"Введите целое число от 50 до 20000000",IF(NOT(ABS(IFERROR(VALUE(LEFT(M816,FIND("-",M816)-1)),M816)*100-(2500+2000000000)/2)&lt;=ABS(2500-2000000000)/2),"Цена со скидкой должна быть от 25 до 20000000",IF(AND(IFERROR(VALUE(LEFT(M816,FIND("-",M816)-1)),M816)*150&lt;=572115,IFERROR(VALUE(LEFT(M816,FIND("-",M816)-1)),M816)*200&gt;572115),"Вы уменьшили цену в несколько раз, товар попадет в карантин цен",IF(IFERROR(VALUE(LEFT(M816,FIND("-",M816)-1)),M816)*200&lt;=572115,"Не сохранили изменения, чтобы защитить от ошибки — новые цены меньше текущих более чем в 2 раза. Снижайте их постепенно",IF(AND(IFERROR(VALUE(I816),0)=0,ISNUMBER(J816),OR(J816&lt;523,ABS(IFERROR(VALUE(LEFT(M816,FIND("-",M816)-1)),M816))*100&lt;52300)),"Проверьте цену товара. Большинство товаров в выбранной категории стоят дороже 523","")))))),"")</f>
      </c>
    </row>
    <row r="817">
      <c r="A817" s="2" t="inlineStr">
        <is>
          <t/>
        </is>
      </c>
      <c r="B817" s="2" t="inlineStr">
        <is>
          <t>Кастрюли</t>
        </is>
      </c>
      <c r="C817" s="2">
        <v>729144191</v>
      </c>
      <c r="D817" s="2" t="inlineStr">
        <is>
          <t>240098</t>
        </is>
      </c>
      <c r="E817" s="2" t="inlineStr">
        <is>
          <t>2048079094542</t>
        </is>
      </c>
      <c r="F817" s="2">
        <v>0</v>
      </c>
      <c r="G817" s="2">
        <v>2</v>
      </c>
      <c r="H817" s="2">
        <v>1</v>
      </c>
      <c r="I817" s="2" t="inlineStr">
        <is>
          <t>35319</t>
        </is>
      </c>
      <c r="J817" s="4"/>
      <c r="K817" s="2">
        <v>75</v>
      </c>
      <c r="L817" s="6"/>
      <c r="M817" s="2" t="str">
        <f>IF(J817="",ROUND(I817*(1-IF(ISBLANK(L817),K817,L817)/100),2),ROUND(J817*(1-IF(ISBLANK(L817),K817,L817)/100),2))</f>
      </c>
      <c r="N817" s="7" t="str">
        <f>IF(NOT(AND(J817="",L817="")),IF(OR(AND(L817&lt;&gt;"",NOT(ISNUMBER(L817))),IFERROR(MOD(L817,1),1)&gt;0,AND(ISNUMBER(L817),OR(L817&lt;0,L817&gt;95))),"Введите целое число от 0 до 95",IF(OR(AND(J817&lt;&gt;"",NOT(ISNUMBER(J817))),IFERROR(MOD(J817,1),1)&gt;0,AND(ISNUMBER(J817),OR(J817&lt;50,J817&gt;20000000))),"Введите целое число от 50 до 20000000",IF(NOT(ABS(IFERROR(VALUE(LEFT(M817,FIND("-",M817)-1)),M817)*100-(2500+2000000000)/2)&lt;=ABS(2500-2000000000)/2),"Цена со скидкой должна быть от 25 до 20000000",IF(AND(IFERROR(VALUE(LEFT(M817,FIND("-",M817)-1)),M817)*150&lt;=882975,IFERROR(VALUE(LEFT(M817,FIND("-",M817)-1)),M817)*200&gt;882975),"Вы уменьшили цену в несколько раз, товар попадет в карантин цен",IF(IFERROR(VALUE(LEFT(M817,FIND("-",M817)-1)),M817)*200&lt;=882975,"Не сохранили изменения, чтобы защитить от ошибки — новые цены меньше текущих более чем в 2 раза. Снижайте их постепенно",IF(AND(IFERROR(VALUE(I817),0)=0,ISNUMBER(J817),OR(J817&lt;523,ABS(IFERROR(VALUE(LEFT(M817,FIND("-",M817)-1)),M817))*100&lt;52300)),"Проверьте цену товара. Большинство товаров в выбранной категории стоят дороже 523","")))))),"")</f>
      </c>
    </row>
    <row r="818">
      <c r="A818" s="2" t="inlineStr">
        <is>
          <t/>
        </is>
      </c>
      <c r="B818" s="2" t="inlineStr">
        <is>
          <t>Кастрюли</t>
        </is>
      </c>
      <c r="C818" s="2">
        <v>729144139</v>
      </c>
      <c r="D818" s="2" t="inlineStr">
        <is>
          <t>281148</t>
        </is>
      </c>
      <c r="E818" s="2" t="inlineStr">
        <is>
          <t>2048079094153</t>
        </is>
      </c>
      <c r="F818" s="2">
        <v>3</v>
      </c>
      <c r="G818" s="2">
        <v>5</v>
      </c>
      <c r="H818" s="2">
        <v>999</v>
      </c>
      <c r="I818" s="2" t="inlineStr">
        <is>
          <t>19128</t>
        </is>
      </c>
      <c r="J818" s="4"/>
      <c r="K818" s="2">
        <v>80</v>
      </c>
      <c r="L818" s="6"/>
      <c r="M818" s="2" t="str">
        <f>IF(J818="",ROUND(I818*(1-IF(ISBLANK(L818),K818,L818)/100),2),ROUND(J818*(1-IF(ISBLANK(L818),K818,L818)/100),2))</f>
      </c>
      <c r="N818" s="7" t="str">
        <f>IF(NOT(AND(J818="",L818="")),IF(OR(AND(L818&lt;&gt;"",NOT(ISNUMBER(L818))),IFERROR(MOD(L818,1),1)&gt;0,AND(ISNUMBER(L818),OR(L818&lt;0,L818&gt;95))),"Введите целое число от 0 до 95",IF(OR(AND(J818&lt;&gt;"",NOT(ISNUMBER(J818))),IFERROR(MOD(J818,1),1)&gt;0,AND(ISNUMBER(J818),OR(J818&lt;50,J818&gt;20000000))),"Введите целое число от 50 до 20000000",IF(NOT(ABS(IFERROR(VALUE(LEFT(M818,FIND("-",M818)-1)),M818)*100-(2500+2000000000)/2)&lt;=ABS(2500-2000000000)/2),"Цена со скидкой должна быть от 25 до 20000000",IF(AND(IFERROR(VALUE(LEFT(M818,FIND("-",M818)-1)),M818)*150&lt;=382559,IFERROR(VALUE(LEFT(M818,FIND("-",M818)-1)),M818)*200&gt;382559),"Вы уменьшили цену в несколько раз, товар попадет в карантин цен",IF(IFERROR(VALUE(LEFT(M818,FIND("-",M818)-1)),M818)*200&lt;=382559,"Не сохранили изменения, чтобы защитить от ошибки — новые цены меньше текущих более чем в 2 раза. Снижайте их постепенно",IF(AND(IFERROR(VALUE(I818),0)=0,ISNUMBER(J818),OR(J818&lt;523,ABS(IFERROR(VALUE(LEFT(M818,FIND("-",M818)-1)),M818))*100&lt;52300)),"Проверьте цену товара. Большинство товаров в выбранной категории стоят дороже 523","")))))),"")</f>
      </c>
    </row>
    <row r="819">
      <c r="A819" s="2" t="inlineStr">
        <is>
          <t/>
        </is>
      </c>
      <c r="B819" s="2" t="inlineStr">
        <is>
          <t>Кастрюли</t>
        </is>
      </c>
      <c r="C819" s="2">
        <v>729145121</v>
      </c>
      <c r="D819" s="2" t="inlineStr">
        <is>
          <t>283387</t>
        </is>
      </c>
      <c r="E819" s="2" t="inlineStr">
        <is>
          <t>2048079111294</t>
        </is>
      </c>
      <c r="F819" s="2">
        <v>0</v>
      </c>
      <c r="G819" s="2">
        <v>1</v>
      </c>
      <c r="H819" s="2" t="inlineStr">
        <is>
          <t/>
        </is>
      </c>
      <c r="I819" s="2" t="inlineStr">
        <is>
          <t>35051</t>
        </is>
      </c>
      <c r="J819" s="4"/>
      <c r="K819" s="2">
        <v>80</v>
      </c>
      <c r="L819" s="6"/>
      <c r="M819" s="2" t="str">
        <f>IF(J819="",ROUND(I819*(1-IF(ISBLANK(L819),K819,L819)/100),2),ROUND(J819*(1-IF(ISBLANK(L819),K819,L819)/100),2))</f>
      </c>
      <c r="N819" s="7" t="str">
        <f>IF(NOT(AND(J819="",L819="")),IF(OR(AND(L819&lt;&gt;"",NOT(ISNUMBER(L819))),IFERROR(MOD(L819,1),1)&gt;0,AND(ISNUMBER(L819),OR(L819&lt;0,L819&gt;95))),"Введите целое число от 0 до 95",IF(OR(AND(J819&lt;&gt;"",NOT(ISNUMBER(J819))),IFERROR(MOD(J819,1),1)&gt;0,AND(ISNUMBER(J819),OR(J819&lt;50,J819&gt;20000000))),"Введите целое число от 50 до 20000000",IF(NOT(ABS(IFERROR(VALUE(LEFT(M819,FIND("-",M819)-1)),M819)*100-(2500+2000000000)/2)&lt;=ABS(2500-2000000000)/2),"Цена со скидкой должна быть от 25 до 20000000",IF(AND(IFERROR(VALUE(LEFT(M819,FIND("-",M819)-1)),M819)*150&lt;=701019,IFERROR(VALUE(LEFT(M819,FIND("-",M819)-1)),M819)*200&gt;701019),"Вы уменьшили цену в несколько раз, товар попадет в карантин цен",IF(IFERROR(VALUE(LEFT(M819,FIND("-",M819)-1)),M819)*200&lt;=701019,"Не сохранили изменения, чтобы защитить от ошибки — новые цены меньше текущих более чем в 2 раза. Снижайте их постепенно",IF(AND(IFERROR(VALUE(I819),0)=0,ISNUMBER(J819),OR(J819&lt;523,ABS(IFERROR(VALUE(LEFT(M819,FIND("-",M819)-1)),M819))*100&lt;52300)),"Проверьте цену товара. Большинство товаров в выбранной категории стоят дороже 523","")))))),"")</f>
      </c>
    </row>
    <row r="820">
      <c r="A820" s="2" t="inlineStr">
        <is>
          <t/>
        </is>
      </c>
      <c r="B820" s="2" t="inlineStr">
        <is>
          <t>Кастрюли</t>
        </is>
      </c>
      <c r="C820" s="2">
        <v>729145109</v>
      </c>
      <c r="D820" s="2" t="inlineStr">
        <is>
          <t>283081</t>
        </is>
      </c>
      <c r="E820" s="2" t="inlineStr">
        <is>
          <t>2048079111126</t>
        </is>
      </c>
      <c r="F820" s="2">
        <v>4</v>
      </c>
      <c r="G820" s="2">
        <v>1</v>
      </c>
      <c r="H820" s="2">
        <v>999</v>
      </c>
      <c r="I820" s="2" t="inlineStr">
        <is>
          <t>22781</t>
        </is>
      </c>
      <c r="J820" s="4"/>
      <c r="K820" s="2">
        <v>80</v>
      </c>
      <c r="L820" s="6"/>
      <c r="M820" s="2" t="str">
        <f>IF(J820="",ROUND(I820*(1-IF(ISBLANK(L820),K820,L820)/100),2),ROUND(J820*(1-IF(ISBLANK(L820),K820,L820)/100),2))</f>
      </c>
      <c r="N820" s="7" t="str">
        <f>IF(NOT(AND(J820="",L820="")),IF(OR(AND(L820&lt;&gt;"",NOT(ISNUMBER(L820))),IFERROR(MOD(L820,1),1)&gt;0,AND(ISNUMBER(L820),OR(L820&lt;0,L820&gt;95))),"Введите целое число от 0 до 95",IF(OR(AND(J820&lt;&gt;"",NOT(ISNUMBER(J820))),IFERROR(MOD(J820,1),1)&gt;0,AND(ISNUMBER(J820),OR(J820&lt;50,J820&gt;20000000))),"Введите целое число от 50 до 20000000",IF(NOT(ABS(IFERROR(VALUE(LEFT(M820,FIND("-",M820)-1)),M820)*100-(2500+2000000000)/2)&lt;=ABS(2500-2000000000)/2),"Цена со скидкой должна быть от 25 до 20000000",IF(AND(IFERROR(VALUE(LEFT(M820,FIND("-",M820)-1)),M820)*150&lt;=455619,IFERROR(VALUE(LEFT(M820,FIND("-",M820)-1)),M820)*200&gt;455619),"Вы уменьшили цену в несколько раз, товар попадет в карантин цен",IF(IFERROR(VALUE(LEFT(M820,FIND("-",M820)-1)),M820)*200&lt;=455619,"Не сохранили изменения, чтобы защитить от ошибки — новые цены меньше текущих более чем в 2 раза. Снижайте их постепенно",IF(AND(IFERROR(VALUE(I820),0)=0,ISNUMBER(J820),OR(J820&lt;523,ABS(IFERROR(VALUE(LEFT(M820,FIND("-",M820)-1)),M820))*100&lt;52300)),"Проверьте цену товара. Большинство товаров в выбранной категории стоят дороже 523","")))))),"")</f>
      </c>
    </row>
    <row r="821">
      <c r="A821" s="2" t="inlineStr">
        <is>
          <t/>
        </is>
      </c>
      <c r="B821" s="2" t="inlineStr">
        <is>
          <t>Кастрюли</t>
        </is>
      </c>
      <c r="C821" s="2">
        <v>729143924</v>
      </c>
      <c r="D821" s="2" t="inlineStr">
        <is>
          <t>541717</t>
        </is>
      </c>
      <c r="E821" s="2" t="inlineStr">
        <is>
          <t>2048079086158</t>
        </is>
      </c>
      <c r="F821" s="2">
        <v>0</v>
      </c>
      <c r="G821" s="2">
        <v>3</v>
      </c>
      <c r="H821" s="2" t="inlineStr">
        <is>
          <t/>
        </is>
      </c>
      <c r="I821" s="2" t="inlineStr">
        <is>
          <t>15484</t>
        </is>
      </c>
      <c r="J821" s="4"/>
      <c r="K821" s="2">
        <v>76</v>
      </c>
      <c r="L821" s="6"/>
      <c r="M821" s="2" t="str">
        <f>IF(J821="",ROUND(I821*(1-IF(ISBLANK(L821),K821,L821)/100),2),ROUND(J821*(1-IF(ISBLANK(L821),K821,L821)/100),2))</f>
      </c>
      <c r="N821" s="7" t="str">
        <f>IF(NOT(AND(J821="",L821="")),IF(OR(AND(L821&lt;&gt;"",NOT(ISNUMBER(L821))),IFERROR(MOD(L821,1),1)&gt;0,AND(ISNUMBER(L821),OR(L821&lt;0,L821&gt;95))),"Введите целое число от 0 до 95",IF(OR(AND(J821&lt;&gt;"",NOT(ISNUMBER(J821))),IFERROR(MOD(J821,1),1)&gt;0,AND(ISNUMBER(J821),OR(J821&lt;50,J821&gt;20000000))),"Введите целое число от 50 до 20000000",IF(NOT(ABS(IFERROR(VALUE(LEFT(M821,FIND("-",M821)-1)),M821)*100-(2500+2000000000)/2)&lt;=ABS(2500-2000000000)/2),"Цена со скидкой должна быть от 25 до 20000000",IF(AND(IFERROR(VALUE(LEFT(M821,FIND("-",M821)-1)),M821)*150&lt;=371616,IFERROR(VALUE(LEFT(M821,FIND("-",M821)-1)),M821)*200&gt;371616),"Вы уменьшили цену в несколько раз, товар попадет в карантин цен",IF(IFERROR(VALUE(LEFT(M821,FIND("-",M821)-1)),M821)*200&lt;=371616,"Не сохранили изменения, чтобы защитить от ошибки — новые цены меньше текущих более чем в 2 раза. Снижайте их постепенно",IF(AND(IFERROR(VALUE(I821),0)=0,ISNUMBER(J821),OR(J821&lt;523,ABS(IFERROR(VALUE(LEFT(M821,FIND("-",M821)-1)),M821))*100&lt;52300)),"Проверьте цену товара. Большинство товаров в выбранной категории стоят дороже 523","")))))),"")</f>
      </c>
    </row>
    <row r="822">
      <c r="A822" s="2" t="inlineStr">
        <is>
          <t/>
        </is>
      </c>
      <c r="B822" s="2" t="inlineStr">
        <is>
          <t>Кастрюли</t>
        </is>
      </c>
      <c r="C822" s="2">
        <v>729145110</v>
      </c>
      <c r="D822" s="2" t="inlineStr">
        <is>
          <t>820793</t>
        </is>
      </c>
      <c r="E822" s="2" t="inlineStr">
        <is>
          <t>2048079111133</t>
        </is>
      </c>
      <c r="F822" s="2">
        <v>0</v>
      </c>
      <c r="G822" s="2">
        <v>3</v>
      </c>
      <c r="H822" s="2" t="inlineStr">
        <is>
          <t/>
        </is>
      </c>
      <c r="I822" s="2" t="inlineStr">
        <is>
          <t>34788</t>
        </is>
      </c>
      <c r="J822" s="4"/>
      <c r="K822" s="2">
        <v>80</v>
      </c>
      <c r="L822" s="6"/>
      <c r="M822" s="2" t="str">
        <f>IF(J822="",ROUND(I822*(1-IF(ISBLANK(L822),K822,L822)/100),2),ROUND(J822*(1-IF(ISBLANK(L822),K822,L822)/100),2))</f>
      </c>
      <c r="N822" s="7" t="str">
        <f>IF(NOT(AND(J822="",L822="")),IF(OR(AND(L822&lt;&gt;"",NOT(ISNUMBER(L822))),IFERROR(MOD(L822,1),1)&gt;0,AND(ISNUMBER(L822),OR(L822&lt;0,L822&gt;95))),"Введите целое число от 0 до 95",IF(OR(AND(J822&lt;&gt;"",NOT(ISNUMBER(J822))),IFERROR(MOD(J822,1),1)&gt;0,AND(ISNUMBER(J822),OR(J822&lt;50,J822&gt;20000000))),"Введите целое число от 50 до 20000000",IF(NOT(ABS(IFERROR(VALUE(LEFT(M822,FIND("-",M822)-1)),M822)*100-(2500+2000000000)/2)&lt;=ABS(2500-2000000000)/2),"Цена со скидкой должна быть от 25 до 20000000",IF(AND(IFERROR(VALUE(LEFT(M822,FIND("-",M822)-1)),M822)*150&lt;=695759,IFERROR(VALUE(LEFT(M822,FIND("-",M822)-1)),M822)*200&gt;695759),"Вы уменьшили цену в несколько раз, товар попадет в карантин цен",IF(IFERROR(VALUE(LEFT(M822,FIND("-",M822)-1)),M822)*200&lt;=695759,"Не сохранили изменения, чтобы защитить от ошибки — новые цены меньше текущих более чем в 2 раза. Снижайте их постепенно",IF(AND(IFERROR(VALUE(I822),0)=0,ISNUMBER(J822),OR(J822&lt;523,ABS(IFERROR(VALUE(LEFT(M822,FIND("-",M822)-1)),M822))*100&lt;52300)),"Проверьте цену товара. Большинство товаров в выбранной категории стоят дороже 523","")))))),"")</f>
      </c>
    </row>
    <row r="823">
      <c r="A823" s="2" t="inlineStr">
        <is>
          <t/>
        </is>
      </c>
      <c r="B823" s="2" t="inlineStr">
        <is>
          <t>Кастрюли</t>
        </is>
      </c>
      <c r="C823" s="2">
        <v>729143926</v>
      </c>
      <c r="D823" s="2" t="inlineStr">
        <is>
          <t>541718</t>
        </is>
      </c>
      <c r="E823" s="2" t="inlineStr">
        <is>
          <t>2048079086240</t>
        </is>
      </c>
      <c r="F823" s="2">
        <v>0</v>
      </c>
      <c r="G823" s="2">
        <v>5</v>
      </c>
      <c r="H823" s="2" t="inlineStr">
        <is>
          <t/>
        </is>
      </c>
      <c r="I823" s="2" t="inlineStr">
        <is>
          <t>23558</t>
        </is>
      </c>
      <c r="J823" s="4"/>
      <c r="K823" s="2">
        <v>80</v>
      </c>
      <c r="L823" s="6"/>
      <c r="M823" s="2" t="str">
        <f>IF(J823="",ROUND(I823*(1-IF(ISBLANK(L823),K823,L823)/100),2),ROUND(J823*(1-IF(ISBLANK(L823),K823,L823)/100),2))</f>
      </c>
      <c r="N823" s="7" t="str">
        <f>IF(NOT(AND(J823="",L823="")),IF(OR(AND(L823&lt;&gt;"",NOT(ISNUMBER(L823))),IFERROR(MOD(L823,1),1)&gt;0,AND(ISNUMBER(L823),OR(L823&lt;0,L823&gt;95))),"Введите целое число от 0 до 95",IF(OR(AND(J823&lt;&gt;"",NOT(ISNUMBER(J823))),IFERROR(MOD(J823,1),1)&gt;0,AND(ISNUMBER(J823),OR(J823&lt;50,J823&gt;20000000))),"Введите целое число от 50 до 20000000",IF(NOT(ABS(IFERROR(VALUE(LEFT(M823,FIND("-",M823)-1)),M823)*100-(2500+2000000000)/2)&lt;=ABS(2500-2000000000)/2),"Цена со скидкой должна быть от 25 до 20000000",IF(AND(IFERROR(VALUE(LEFT(M823,FIND("-",M823)-1)),M823)*150&lt;=471159,IFERROR(VALUE(LEFT(M823,FIND("-",M823)-1)),M823)*200&gt;471159),"Вы уменьшили цену в несколько раз, товар попадет в карантин цен",IF(IFERROR(VALUE(LEFT(M823,FIND("-",M823)-1)),M823)*200&lt;=471159,"Не сохранили изменения, чтобы защитить от ошибки — новые цены меньше текущих более чем в 2 раза. Снижайте их постепенно",IF(AND(IFERROR(VALUE(I823),0)=0,ISNUMBER(J823),OR(J823&lt;523,ABS(IFERROR(VALUE(LEFT(M823,FIND("-",M823)-1)),M823))*100&lt;52300)),"Проверьте цену товара. Большинство товаров в выбранной категории стоят дороже 523","")))))),"")</f>
      </c>
    </row>
    <row r="824">
      <c r="A824" s="2" t="inlineStr">
        <is>
          <t/>
        </is>
      </c>
      <c r="B824" s="2" t="inlineStr">
        <is>
          <t>Кастрюли</t>
        </is>
      </c>
      <c r="C824" s="2">
        <v>729144199</v>
      </c>
      <c r="D824" s="2" t="inlineStr">
        <is>
          <t>21546</t>
        </is>
      </c>
      <c r="E824" s="2" t="inlineStr">
        <is>
          <t>2048079094733</t>
        </is>
      </c>
      <c r="F824" s="2">
        <v>0</v>
      </c>
      <c r="G824" s="2">
        <v>1</v>
      </c>
      <c r="H824" s="2" t="inlineStr">
        <is>
          <t/>
        </is>
      </c>
      <c r="I824" s="2" t="inlineStr">
        <is>
          <t>33793</t>
        </is>
      </c>
      <c r="J824" s="4"/>
      <c r="K824" s="2">
        <v>80</v>
      </c>
      <c r="L824" s="6"/>
      <c r="M824" s="2" t="str">
        <f>IF(J824="",ROUND(I824*(1-IF(ISBLANK(L824),K824,L824)/100),2),ROUND(J824*(1-IF(ISBLANK(L824),K824,L824)/100),2))</f>
      </c>
      <c r="N824" s="7" t="str">
        <f>IF(NOT(AND(J824="",L824="")),IF(OR(AND(L824&lt;&gt;"",NOT(ISNUMBER(L824))),IFERROR(MOD(L824,1),1)&gt;0,AND(ISNUMBER(L824),OR(L824&lt;0,L824&gt;95))),"Введите целое число от 0 до 95",IF(OR(AND(J824&lt;&gt;"",NOT(ISNUMBER(J824))),IFERROR(MOD(J824,1),1)&gt;0,AND(ISNUMBER(J824),OR(J824&lt;50,J824&gt;20000000))),"Введите целое число от 50 до 20000000",IF(NOT(ABS(IFERROR(VALUE(LEFT(M824,FIND("-",M824)-1)),M824)*100-(2500+2000000000)/2)&lt;=ABS(2500-2000000000)/2),"Цена со скидкой должна быть от 25 до 20000000",IF(AND(IFERROR(VALUE(LEFT(M824,FIND("-",M824)-1)),M824)*150&lt;=675859,IFERROR(VALUE(LEFT(M824,FIND("-",M824)-1)),M824)*200&gt;675859),"Вы уменьшили цену в несколько раз, товар попадет в карантин цен",IF(IFERROR(VALUE(LEFT(M824,FIND("-",M824)-1)),M824)*200&lt;=675859,"Не сохранили изменения, чтобы защитить от ошибки — новые цены меньше текущих более чем в 2 раза. Снижайте их постепенно",IF(AND(IFERROR(VALUE(I824),0)=0,ISNUMBER(J824),OR(J824&lt;523,ABS(IFERROR(VALUE(LEFT(M824,FIND("-",M824)-1)),M824))*100&lt;52300)),"Проверьте цену товара. Большинство товаров в выбранной категории стоят дороже 523","")))))),"")</f>
      </c>
    </row>
    <row r="825">
      <c r="A825" s="2" t="inlineStr">
        <is>
          <t/>
        </is>
      </c>
      <c r="B825" s="2" t="inlineStr">
        <is>
          <t>Кастрюли</t>
        </is>
      </c>
      <c r="C825" s="2">
        <v>729143929</v>
      </c>
      <c r="D825" s="2" t="inlineStr">
        <is>
          <t>283526</t>
        </is>
      </c>
      <c r="E825" s="2" t="inlineStr">
        <is>
          <t>2048079086370</t>
        </is>
      </c>
      <c r="F825" s="2">
        <v>3</v>
      </c>
      <c r="G825" s="2">
        <v>5</v>
      </c>
      <c r="H825" s="2">
        <v>999</v>
      </c>
      <c r="I825" s="2" t="inlineStr">
        <is>
          <t>18248</t>
        </is>
      </c>
      <c r="J825" s="4"/>
      <c r="K825" s="2">
        <v>80</v>
      </c>
      <c r="L825" s="6"/>
      <c r="M825" s="2" t="str">
        <f>IF(J825="",ROUND(I825*(1-IF(ISBLANK(L825),K825,L825)/100),2),ROUND(J825*(1-IF(ISBLANK(L825),K825,L825)/100),2))</f>
      </c>
      <c r="N825" s="7" t="str">
        <f>IF(NOT(AND(J825="",L825="")),IF(OR(AND(L825&lt;&gt;"",NOT(ISNUMBER(L825))),IFERROR(MOD(L825,1),1)&gt;0,AND(ISNUMBER(L825),OR(L825&lt;0,L825&gt;95))),"Введите целое число от 0 до 95",IF(OR(AND(J825&lt;&gt;"",NOT(ISNUMBER(J825))),IFERROR(MOD(J825,1),1)&gt;0,AND(ISNUMBER(J825),OR(J825&lt;50,J825&gt;20000000))),"Введите целое число от 50 до 20000000",IF(NOT(ABS(IFERROR(VALUE(LEFT(M825,FIND("-",M825)-1)),M825)*100-(2500+2000000000)/2)&lt;=ABS(2500-2000000000)/2),"Цена со скидкой должна быть от 25 до 20000000",IF(AND(IFERROR(VALUE(LEFT(M825,FIND("-",M825)-1)),M825)*150&lt;=364959,IFERROR(VALUE(LEFT(M825,FIND("-",M825)-1)),M825)*200&gt;364959),"Вы уменьшили цену в несколько раз, товар попадет в карантин цен",IF(IFERROR(VALUE(LEFT(M825,FIND("-",M825)-1)),M825)*200&lt;=364959,"Не сохранили изменения, чтобы защитить от ошибки — новые цены меньше текущих более чем в 2 раза. Снижайте их постепенно",IF(AND(IFERROR(VALUE(I825),0)=0,ISNUMBER(J825),OR(J825&lt;523,ABS(IFERROR(VALUE(LEFT(M825,FIND("-",M825)-1)),M825))*100&lt;52300)),"Проверьте цену товара. Большинство товаров в выбранной категории стоят дороже 523","")))))),"")</f>
      </c>
    </row>
    <row r="826">
      <c r="A826" s="2" t="inlineStr">
        <is>
          <t/>
        </is>
      </c>
      <c r="B826" s="2" t="inlineStr">
        <is>
          <t>Сковороды</t>
        </is>
      </c>
      <c r="C826" s="2">
        <v>729286328</v>
      </c>
      <c r="D826" s="2" t="inlineStr">
        <is>
          <t>283090</t>
        </is>
      </c>
      <c r="E826" s="2" t="inlineStr">
        <is>
          <t>2048080622895</t>
        </is>
      </c>
      <c r="F826" s="2">
        <v>0</v>
      </c>
      <c r="G826" s="2">
        <v>4</v>
      </c>
      <c r="H826" s="2" t="inlineStr">
        <is>
          <t/>
        </is>
      </c>
      <c r="I826" s="2" t="inlineStr">
        <is>
          <t>22927</t>
        </is>
      </c>
      <c r="J826" s="4"/>
      <c r="K826" s="2">
        <v>80</v>
      </c>
      <c r="L826" s="6"/>
      <c r="M826" s="2" t="str">
        <f>IF(J826="",ROUND(I826*(1-IF(ISBLANK(L826),K826,L826)/100),2),ROUND(J826*(1-IF(ISBLANK(L826),K826,L826)/100),2))</f>
      </c>
      <c r="N826" s="7" t="str">
        <f>IF(NOT(AND(J826="",L826="")),IF(OR(AND(L826&lt;&gt;"",NOT(ISNUMBER(L826))),IFERROR(MOD(L826,1),1)&gt;0,AND(ISNUMBER(L826),OR(L826&lt;0,L826&gt;95))),"Введите целое число от 0 до 95",IF(OR(AND(J826&lt;&gt;"",NOT(ISNUMBER(J826))),IFERROR(MOD(J826,1),1)&gt;0,AND(ISNUMBER(J826),OR(J826&lt;50,J826&gt;20000000))),"Введите целое число от 50 до 20000000",IF(NOT(ABS(IFERROR(VALUE(LEFT(M826,FIND("-",M826)-1)),M826)*100-(2500+2000000000)/2)&lt;=ABS(2500-2000000000)/2),"Цена со скидкой должна быть от 25 до 20000000",IF(AND(IFERROR(VALUE(LEFT(M826,FIND("-",M826)-1)),M826)*150&lt;=458539,IFERROR(VALUE(LEFT(M826,FIND("-",M826)-1)),M826)*200&gt;458539),"Вы уменьшили цену в несколько раз, товар попадет в карантин цен",IF(IFERROR(VALUE(LEFT(M826,FIND("-",M826)-1)),M826)*200&lt;=458539,"Не сохранили изменения, чтобы защитить от ошибки — новые цены меньше текущих более чем в 2 раза. Снижайте их постепенно",IF(AND(IFERROR(VALUE(I826),0)=0,ISNUMBER(J826),OR(J826&lt;756,ABS(IFERROR(VALUE(LEFT(M826,FIND("-",M826)-1)),M826))*100&lt;75600)),"Проверьте цену товара. Большинство товаров в выбранной категории стоят дороже 756","")))))),"")</f>
      </c>
    </row>
    <row r="827">
      <c r="A827" s="2" t="inlineStr">
        <is>
          <t/>
        </is>
      </c>
      <c r="B827" s="2" t="inlineStr">
        <is>
          <t>Кастрюли</t>
        </is>
      </c>
      <c r="C827" s="2">
        <v>729144125</v>
      </c>
      <c r="D827" s="2" t="inlineStr">
        <is>
          <t>283587</t>
        </is>
      </c>
      <c r="E827" s="2" t="inlineStr">
        <is>
          <t>2048079093446</t>
        </is>
      </c>
      <c r="F827" s="2">
        <v>0</v>
      </c>
      <c r="G827" s="2">
        <v>8</v>
      </c>
      <c r="H827" s="2" t="inlineStr">
        <is>
          <t/>
        </is>
      </c>
      <c r="I827" s="2" t="inlineStr">
        <is>
          <t>12524</t>
        </is>
      </c>
      <c r="J827" s="4"/>
      <c r="K827" s="2">
        <v>80</v>
      </c>
      <c r="L827" s="6"/>
      <c r="M827" s="2" t="str">
        <f>IF(J827="",ROUND(I827*(1-IF(ISBLANK(L827),K827,L827)/100),2),ROUND(J827*(1-IF(ISBLANK(L827),K827,L827)/100),2))</f>
      </c>
      <c r="N827" s="7" t="str">
        <f>IF(NOT(AND(J827="",L827="")),IF(OR(AND(L827&lt;&gt;"",NOT(ISNUMBER(L827))),IFERROR(MOD(L827,1),1)&gt;0,AND(ISNUMBER(L827),OR(L827&lt;0,L827&gt;95))),"Введите целое число от 0 до 95",IF(OR(AND(J827&lt;&gt;"",NOT(ISNUMBER(J827))),IFERROR(MOD(J827,1),1)&gt;0,AND(ISNUMBER(J827),OR(J827&lt;50,J827&gt;20000000))),"Введите целое число от 50 до 20000000",IF(NOT(ABS(IFERROR(VALUE(LEFT(M827,FIND("-",M827)-1)),M827)*100-(2500+2000000000)/2)&lt;=ABS(2500-2000000000)/2),"Цена со скидкой должна быть от 25 до 20000000",IF(AND(IFERROR(VALUE(LEFT(M827,FIND("-",M827)-1)),M827)*150&lt;=250479,IFERROR(VALUE(LEFT(M827,FIND("-",M827)-1)),M827)*200&gt;250479),"Вы уменьшили цену в несколько раз, товар попадет в карантин цен",IF(IFERROR(VALUE(LEFT(M827,FIND("-",M827)-1)),M827)*200&lt;=250479,"Не сохранили изменения, чтобы защитить от ошибки — новые цены меньше текущих более чем в 2 раза. Снижайте их постепенно",IF(AND(IFERROR(VALUE(I827),0)=0,ISNUMBER(J827),OR(J827&lt;523,ABS(IFERROR(VALUE(LEFT(M827,FIND("-",M827)-1)),M827))*100&lt;52300)),"Проверьте цену товара. Большинство товаров в выбранной категории стоят дороже 523","")))))),"")</f>
      </c>
    </row>
    <row r="828">
      <c r="A828" s="2" t="inlineStr">
        <is>
          <t/>
        </is>
      </c>
      <c r="B828" s="2" t="inlineStr">
        <is>
          <t>Фруктовницы</t>
        </is>
      </c>
      <c r="C828" s="2">
        <v>729467926</v>
      </c>
      <c r="D828" s="2" t="inlineStr">
        <is>
          <t>080093</t>
        </is>
      </c>
      <c r="E828" s="2" t="inlineStr">
        <is>
          <t>2048082442606</t>
        </is>
      </c>
      <c r="F828" s="2">
        <v>0</v>
      </c>
      <c r="G828" s="2">
        <v>3</v>
      </c>
      <c r="H828" s="2" t="inlineStr">
        <is>
          <t/>
        </is>
      </c>
      <c r="I828" s="2" t="inlineStr">
        <is>
          <t>0</t>
        </is>
      </c>
      <c r="J828" s="4"/>
      <c r="K828" s="2">
        <v>0</v>
      </c>
      <c r="L828" s="6"/>
      <c r="M828" s="2" t="str">
        <f>IF(J828="",ROUND(I828*(1-IF(ISBLANK(L828),K828,L828)/100),2),ROUND(J828*(1-IF(ISBLANK(L828),K828,L828)/100),2))</f>
      </c>
      <c r="N828" s="7" t="str">
        <f>IF(NOT(AND(J828="",L828="")),IF(OR(AND(L828&lt;&gt;"",NOT(ISNUMBER(L828))),IFERROR(MOD(L828,1),1)&gt;0,AND(ISNUMBER(L828),OR(L828&lt;0,L828&gt;95))),"Введите целое число от 0 до 95",IF(OR(AND(J828&lt;&gt;"",NOT(ISNUMBER(J828))),IFERROR(MOD(J828,1),1)&gt;0,AND(ISNUMBER(J828),OR(J828&lt;50,J828&gt;20000000))),"Введите целое число от 50 до 20000000",IF(NOT(ABS(IFERROR(VALUE(LEFT(M828,FIND("-",M828)-1)),M828)*100-(2500+2000000000)/2)&lt;=ABS(2500-2000000000)/2),"Цена со скидкой должна быть от 25 до 20000000",IF(AND(IFERROR(VALUE(LEFT(M828,FIND("-",M828)-1)),M828)*150&lt;=0,IFERROR(VALUE(LEFT(M828,FIND("-",M828)-1)),M828)*200&gt;0),"Вы уменьшили цену в несколько раз, товар попадет в карантин цен",IF(IFERROR(VALUE(LEFT(M828,FIND("-",M828)-1)),M828)*200&lt;=0,"Не сохранили изменения, чтобы защитить от ошибки — новые цены меньше текущих более чем в 2 раза. Снижайте их постепенно",IF(AND(IFERROR(VALUE(I828),0)=0,ISNUMBER(J828),OR(J828&lt;286,ABS(IFERROR(VALUE(LEFT(M828,FIND("-",M828)-1)),M828))*100&lt;28600)),"Проверьте цену товара. Большинство товаров в выбранной категории стоят дороже 286","")))))),"")</f>
      </c>
    </row>
    <row r="829">
      <c r="A829" s="2" t="inlineStr">
        <is>
          <t/>
        </is>
      </c>
      <c r="B829" s="2" t="inlineStr">
        <is>
          <t>Сковороды</t>
        </is>
      </c>
      <c r="C829" s="2">
        <v>729401507</v>
      </c>
      <c r="D829" s="2" t="inlineStr">
        <is>
          <t>200519</t>
        </is>
      </c>
      <c r="E829" s="2" t="inlineStr">
        <is>
          <t>2048081743384</t>
        </is>
      </c>
      <c r="F829" s="2">
        <v>0</v>
      </c>
      <c r="G829" s="2">
        <v>4</v>
      </c>
      <c r="H829" s="2" t="inlineStr">
        <is>
          <t/>
        </is>
      </c>
      <c r="I829" s="2" t="inlineStr">
        <is>
          <t>28148</t>
        </is>
      </c>
      <c r="J829" s="4"/>
      <c r="K829" s="2">
        <v>80</v>
      </c>
      <c r="L829" s="6"/>
      <c r="M829" s="2" t="str">
        <f>IF(J829="",ROUND(I829*(1-IF(ISBLANK(L829),K829,L829)/100),2),ROUND(J829*(1-IF(ISBLANK(L829),K829,L829)/100),2))</f>
      </c>
      <c r="N829" s="7" t="str">
        <f>IF(NOT(AND(J829="",L829="")),IF(OR(AND(L829&lt;&gt;"",NOT(ISNUMBER(L829))),IFERROR(MOD(L829,1),1)&gt;0,AND(ISNUMBER(L829),OR(L829&lt;0,L829&gt;95))),"Введите целое число от 0 до 95",IF(OR(AND(J829&lt;&gt;"",NOT(ISNUMBER(J829))),IFERROR(MOD(J829,1),1)&gt;0,AND(ISNUMBER(J829),OR(J829&lt;50,J829&gt;20000000))),"Введите целое число от 50 до 20000000",IF(NOT(ABS(IFERROR(VALUE(LEFT(M829,FIND("-",M829)-1)),M829)*100-(2500+2000000000)/2)&lt;=ABS(2500-2000000000)/2),"Цена со скидкой должна быть от 25 до 20000000",IF(AND(IFERROR(VALUE(LEFT(M829,FIND("-",M829)-1)),M829)*150&lt;=562959,IFERROR(VALUE(LEFT(M829,FIND("-",M829)-1)),M829)*200&gt;562959),"Вы уменьшили цену в несколько раз, товар попадет в карантин цен",IF(IFERROR(VALUE(LEFT(M829,FIND("-",M829)-1)),M829)*200&lt;=562959,"Не сохранили изменения, чтобы защитить от ошибки — новые цены меньше текущих более чем в 2 раза. Снижайте их постепенно",IF(AND(IFERROR(VALUE(I829),0)=0,ISNUMBER(J829),OR(J829&lt;756,ABS(IFERROR(VALUE(LEFT(M829,FIND("-",M829)-1)),M829))*100&lt;75600)),"Проверьте цену товара. Большинство товаров в выбранной категории стоят дороже 756","")))))),"")</f>
      </c>
    </row>
    <row r="830">
      <c r="A830" s="2" t="inlineStr">
        <is>
          <t/>
        </is>
      </c>
      <c r="B830" s="2" t="inlineStr">
        <is>
          <t>Сковороды</t>
        </is>
      </c>
      <c r="C830" s="2">
        <v>729401498</v>
      </c>
      <c r="D830" s="2" t="inlineStr">
        <is>
          <t>32547</t>
        </is>
      </c>
      <c r="E830" s="2" t="inlineStr">
        <is>
          <t>2048081743278</t>
        </is>
      </c>
      <c r="F830" s="2">
        <v>0</v>
      </c>
      <c r="G830" s="2">
        <v>2</v>
      </c>
      <c r="H830" s="2" t="inlineStr">
        <is>
          <t/>
        </is>
      </c>
      <c r="I830" s="2" t="inlineStr">
        <is>
          <t>25241</t>
        </is>
      </c>
      <c r="J830" s="4"/>
      <c r="K830" s="2">
        <v>78</v>
      </c>
      <c r="L830" s="6"/>
      <c r="M830" s="2" t="str">
        <f>IF(J830="",ROUND(I830*(1-IF(ISBLANK(L830),K830,L830)/100),2),ROUND(J830*(1-IF(ISBLANK(L830),K830,L830)/100),2))</f>
      </c>
      <c r="N830" s="7" t="str">
        <f>IF(NOT(AND(J830="",L830="")),IF(OR(AND(L830&lt;&gt;"",NOT(ISNUMBER(L830))),IFERROR(MOD(L830,1),1)&gt;0,AND(ISNUMBER(L830),OR(L830&lt;0,L830&gt;95))),"Введите целое число от 0 до 95",IF(OR(AND(J830&lt;&gt;"",NOT(ISNUMBER(J830))),IFERROR(MOD(J830,1),1)&gt;0,AND(ISNUMBER(J830),OR(J830&lt;50,J830&gt;20000000))),"Введите целое число от 50 до 20000000",IF(NOT(ABS(IFERROR(VALUE(LEFT(M830,FIND("-",M830)-1)),M830)*100-(2500+2000000000)/2)&lt;=ABS(2500-2000000000)/2),"Цена со скидкой должна быть от 25 до 20000000",IF(AND(IFERROR(VALUE(LEFT(M830,FIND("-",M830)-1)),M830)*150&lt;=555302,IFERROR(VALUE(LEFT(M830,FIND("-",M830)-1)),M830)*200&gt;555302),"Вы уменьшили цену в несколько раз, товар попадет в карантин цен",IF(IFERROR(VALUE(LEFT(M830,FIND("-",M830)-1)),M830)*200&lt;=555302,"Не сохранили изменения, чтобы защитить от ошибки — новые цены меньше текущих более чем в 2 раза. Снижайте их постепенно",IF(AND(IFERROR(VALUE(I830),0)=0,ISNUMBER(J830),OR(J830&lt;756,ABS(IFERROR(VALUE(LEFT(M830,FIND("-",M830)-1)),M830))*100&lt;75600)),"Проверьте цену товара. Большинство товаров в выбранной категории стоят дороже 756","")))))),"")</f>
      </c>
    </row>
    <row r="831">
      <c r="A831" s="2" t="inlineStr">
        <is>
          <t/>
        </is>
      </c>
      <c r="B831" s="2" t="inlineStr">
        <is>
          <t>Сковороды</t>
        </is>
      </c>
      <c r="C831" s="2">
        <v>729401497</v>
      </c>
      <c r="D831" s="2" t="inlineStr">
        <is>
          <t>20105</t>
        </is>
      </c>
      <c r="E831" s="2" t="inlineStr">
        <is>
          <t>2048081743261</t>
        </is>
      </c>
      <c r="F831" s="2">
        <v>0</v>
      </c>
      <c r="G831" s="2">
        <v>5</v>
      </c>
      <c r="H831" s="2" t="inlineStr">
        <is>
          <t/>
        </is>
      </c>
      <c r="I831" s="2" t="inlineStr">
        <is>
          <t>24831</t>
        </is>
      </c>
      <c r="J831" s="4"/>
      <c r="K831" s="2">
        <v>80</v>
      </c>
      <c r="L831" s="6"/>
      <c r="M831" s="2" t="str">
        <f>IF(J831="",ROUND(I831*(1-IF(ISBLANK(L831),K831,L831)/100),2),ROUND(J831*(1-IF(ISBLANK(L831),K831,L831)/100),2))</f>
      </c>
      <c r="N831" s="7" t="str">
        <f>IF(NOT(AND(J831="",L831="")),IF(OR(AND(L831&lt;&gt;"",NOT(ISNUMBER(L831))),IFERROR(MOD(L831,1),1)&gt;0,AND(ISNUMBER(L831),OR(L831&lt;0,L831&gt;95))),"Введите целое число от 0 до 95",IF(OR(AND(J831&lt;&gt;"",NOT(ISNUMBER(J831))),IFERROR(MOD(J831,1),1)&gt;0,AND(ISNUMBER(J831),OR(J831&lt;50,J831&gt;20000000))),"Введите целое число от 50 до 20000000",IF(NOT(ABS(IFERROR(VALUE(LEFT(M831,FIND("-",M831)-1)),M831)*100-(2500+2000000000)/2)&lt;=ABS(2500-2000000000)/2),"Цена со скидкой должна быть от 25 до 20000000",IF(AND(IFERROR(VALUE(LEFT(M831,FIND("-",M831)-1)),M831)*150&lt;=496619,IFERROR(VALUE(LEFT(M831,FIND("-",M831)-1)),M831)*200&gt;496619),"Вы уменьшили цену в несколько раз, товар попадет в карантин цен",IF(IFERROR(VALUE(LEFT(M831,FIND("-",M831)-1)),M831)*200&lt;=496619,"Не сохранили изменения, чтобы защитить от ошибки — новые цены меньше текущих более чем в 2 раза. Снижайте их постепенно",IF(AND(IFERROR(VALUE(I831),0)=0,ISNUMBER(J831),OR(J831&lt;756,ABS(IFERROR(VALUE(LEFT(M831,FIND("-",M831)-1)),M831))*100&lt;75600)),"Проверьте цену товара. Большинство товаров в выбранной категории стоят дороже 756","")))))),"")</f>
      </c>
    </row>
    <row r="832">
      <c r="A832" s="2" t="inlineStr">
        <is>
          <t/>
        </is>
      </c>
      <c r="B832" s="2" t="inlineStr">
        <is>
          <t>Сковороды</t>
        </is>
      </c>
      <c r="C832" s="2">
        <v>729401511</v>
      </c>
      <c r="D832" s="2" t="inlineStr">
        <is>
          <t>200524</t>
        </is>
      </c>
      <c r="E832" s="2" t="inlineStr">
        <is>
          <t>2048081743421</t>
        </is>
      </c>
      <c r="F832" s="2">
        <v>0</v>
      </c>
      <c r="G832" s="2">
        <v>6</v>
      </c>
      <c r="H832" s="2" t="inlineStr">
        <is>
          <t/>
        </is>
      </c>
      <c r="I832" s="2" t="inlineStr">
        <is>
          <t>27856</t>
        </is>
      </c>
      <c r="J832" s="4"/>
      <c r="K832" s="2">
        <v>80</v>
      </c>
      <c r="L832" s="6"/>
      <c r="M832" s="2" t="str">
        <f>IF(J832="",ROUND(I832*(1-IF(ISBLANK(L832),K832,L832)/100),2),ROUND(J832*(1-IF(ISBLANK(L832),K832,L832)/100),2))</f>
      </c>
      <c r="N832" s="7" t="str">
        <f>IF(NOT(AND(J832="",L832="")),IF(OR(AND(L832&lt;&gt;"",NOT(ISNUMBER(L832))),IFERROR(MOD(L832,1),1)&gt;0,AND(ISNUMBER(L832),OR(L832&lt;0,L832&gt;95))),"Введите целое число от 0 до 95",IF(OR(AND(J832&lt;&gt;"",NOT(ISNUMBER(J832))),IFERROR(MOD(J832,1),1)&gt;0,AND(ISNUMBER(J832),OR(J832&lt;50,J832&gt;20000000))),"Введите целое число от 50 до 20000000",IF(NOT(ABS(IFERROR(VALUE(LEFT(M832,FIND("-",M832)-1)),M832)*100-(2500+2000000000)/2)&lt;=ABS(2500-2000000000)/2),"Цена со скидкой должна быть от 25 до 20000000",IF(AND(IFERROR(VALUE(LEFT(M832,FIND("-",M832)-1)),M832)*150&lt;=557119,IFERROR(VALUE(LEFT(M832,FIND("-",M832)-1)),M832)*200&gt;557119),"Вы уменьшили цену в несколько раз, товар попадет в карантин цен",IF(IFERROR(VALUE(LEFT(M832,FIND("-",M832)-1)),M832)*200&lt;=557119,"Не сохранили изменения, чтобы защитить от ошибки — новые цены меньше текущих более чем в 2 раза. Снижайте их постепенно",IF(AND(IFERROR(VALUE(I832),0)=0,ISNUMBER(J832),OR(J832&lt;756,ABS(IFERROR(VALUE(LEFT(M832,FIND("-",M832)-1)),M832))*100&lt;75600)),"Проверьте цену товара. Большинство товаров в выбранной категории стоят дороже 756","")))))),"")</f>
      </c>
    </row>
    <row r="833">
      <c r="A833" s="2" t="inlineStr">
        <is>
          <t/>
        </is>
      </c>
      <c r="B833" s="2" t="inlineStr">
        <is>
          <t>Сковороды</t>
        </is>
      </c>
      <c r="C833" s="2">
        <v>729401491</v>
      </c>
      <c r="D833" s="2" t="inlineStr">
        <is>
          <t>200391</t>
        </is>
      </c>
      <c r="E833" s="2" t="inlineStr">
        <is>
          <t>2048081743193</t>
        </is>
      </c>
      <c r="F833" s="2">
        <v>0</v>
      </c>
      <c r="G833" s="2">
        <v>6</v>
      </c>
      <c r="H833" s="2" t="inlineStr">
        <is>
          <t/>
        </is>
      </c>
      <c r="I833" s="2" t="inlineStr">
        <is>
          <t>22294</t>
        </is>
      </c>
      <c r="J833" s="4"/>
      <c r="K833" s="2">
        <v>80</v>
      </c>
      <c r="L833" s="6"/>
      <c r="M833" s="2" t="str">
        <f>IF(J833="",ROUND(I833*(1-IF(ISBLANK(L833),K833,L833)/100),2),ROUND(J833*(1-IF(ISBLANK(L833),K833,L833)/100),2))</f>
      </c>
      <c r="N833" s="7" t="str">
        <f>IF(NOT(AND(J833="",L833="")),IF(OR(AND(L833&lt;&gt;"",NOT(ISNUMBER(L833))),IFERROR(MOD(L833,1),1)&gt;0,AND(ISNUMBER(L833),OR(L833&lt;0,L833&gt;95))),"Введите целое число от 0 до 95",IF(OR(AND(J833&lt;&gt;"",NOT(ISNUMBER(J833))),IFERROR(MOD(J833,1),1)&gt;0,AND(ISNUMBER(J833),OR(J833&lt;50,J833&gt;20000000))),"Введите целое число от 50 до 20000000",IF(NOT(ABS(IFERROR(VALUE(LEFT(M833,FIND("-",M833)-1)),M833)*100-(2500+2000000000)/2)&lt;=ABS(2500-2000000000)/2),"Цена со скидкой должна быть от 25 до 20000000",IF(AND(IFERROR(VALUE(LEFT(M833,FIND("-",M833)-1)),M833)*150&lt;=445879,IFERROR(VALUE(LEFT(M833,FIND("-",M833)-1)),M833)*200&gt;445879),"Вы уменьшили цену в несколько раз, товар попадет в карантин цен",IF(IFERROR(VALUE(LEFT(M833,FIND("-",M833)-1)),M833)*200&lt;=445879,"Не сохранили изменения, чтобы защитить от ошибки — новые цены меньше текущих более чем в 2 раза. Снижайте их постепенно",IF(AND(IFERROR(VALUE(I833),0)=0,ISNUMBER(J833),OR(J833&lt;756,ABS(IFERROR(VALUE(LEFT(M833,FIND("-",M833)-1)),M833))*100&lt;75600)),"Проверьте цену товара. Большинство товаров в выбранной категории стоят дороже 756","")))))),"")</f>
      </c>
    </row>
    <row r="834">
      <c r="A834" s="2" t="inlineStr">
        <is>
          <t/>
        </is>
      </c>
      <c r="B834" s="2" t="inlineStr">
        <is>
          <t>Тарелки</t>
        </is>
      </c>
      <c r="C834" s="2">
        <v>729438446</v>
      </c>
      <c r="D834" s="2" t="inlineStr">
        <is>
          <t>076070</t>
        </is>
      </c>
      <c r="E834" s="2" t="inlineStr">
        <is>
          <t>2048082120290</t>
        </is>
      </c>
      <c r="F834" s="2">
        <v>0</v>
      </c>
      <c r="G834" s="2">
        <v>0</v>
      </c>
      <c r="H834" s="2" t="inlineStr">
        <is>
          <t/>
        </is>
      </c>
      <c r="I834" s="2" t="inlineStr">
        <is>
          <t>0</t>
        </is>
      </c>
      <c r="J834" s="4"/>
      <c r="K834" s="2">
        <v>0</v>
      </c>
      <c r="L834" s="6"/>
      <c r="M834" s="2" t="str">
        <f>IF(J834="",ROUND(I834*(1-IF(ISBLANK(L834),K834,L834)/100),2),ROUND(J834*(1-IF(ISBLANK(L834),K834,L834)/100),2))</f>
      </c>
      <c r="N834" s="7" t="str">
        <f>IF(NOT(AND(J834="",L834="")),IF(OR(AND(L834&lt;&gt;"",NOT(ISNUMBER(L834))),IFERROR(MOD(L834,1),1)&gt;0,AND(ISNUMBER(L834),OR(L834&lt;0,L834&gt;95))),"Введите целое число от 0 до 95",IF(OR(AND(J834&lt;&gt;"",NOT(ISNUMBER(J834))),IFERROR(MOD(J834,1),1)&gt;0,AND(ISNUMBER(J834),OR(J834&lt;50,J834&gt;20000000))),"Введите целое число от 50 до 20000000",IF(NOT(ABS(IFERROR(VALUE(LEFT(M834,FIND("-",M834)-1)),M834)*100-(2500+2000000000)/2)&lt;=ABS(2500-2000000000)/2),"Цена со скидкой должна быть от 25 до 20000000",IF(AND(IFERROR(VALUE(LEFT(M834,FIND("-",M834)-1)),M834)*150&lt;=0,IFERROR(VALUE(LEFT(M834,FIND("-",M834)-1)),M834)*200&gt;0),"Вы уменьшили цену в несколько раз, товар попадет в карантин цен",IF(IFERROR(VALUE(LEFT(M834,FIND("-",M834)-1)),M834)*200&lt;=0,"Не сохранили изменения, чтобы защитить от ошибки — новые цены меньше текущих более чем в 2 раза. Снижайте их постепенно",IF(AND(IFERROR(VALUE(I834),0)=0,ISNUMBER(J834),OR(J834&lt;413,ABS(IFERROR(VALUE(LEFT(M834,FIND("-",M834)-1)),M834))*100&lt;41300)),"Проверьте цену товара. Большинство товаров в выбранной категории стоят дороже 413","")))))),"")</f>
      </c>
    </row>
    <row r="835">
      <c r="A835" s="2" t="inlineStr">
        <is>
          <t/>
        </is>
      </c>
      <c r="B835" s="2" t="inlineStr">
        <is>
          <t>Чайники для плиты</t>
        </is>
      </c>
      <c r="C835" s="2">
        <v>729520882</v>
      </c>
      <c r="D835" s="2" t="inlineStr">
        <is>
          <t>820797</t>
        </is>
      </c>
      <c r="E835" s="2" t="inlineStr">
        <is>
          <t>2048082929466</t>
        </is>
      </c>
      <c r="F835" s="2">
        <v>0</v>
      </c>
      <c r="G835" s="2">
        <v>1</v>
      </c>
      <c r="H835" s="2" t="inlineStr">
        <is>
          <t/>
        </is>
      </c>
      <c r="I835" s="2" t="inlineStr">
        <is>
          <t>20380</t>
        </is>
      </c>
      <c r="J835" s="4"/>
      <c r="K835" s="2">
        <v>80</v>
      </c>
      <c r="L835" s="6"/>
      <c r="M835" s="2" t="str">
        <f>IF(J835="",ROUND(I835*(1-IF(ISBLANK(L835),K835,L835)/100),2),ROUND(J835*(1-IF(ISBLANK(L835),K835,L835)/100),2))</f>
      </c>
      <c r="N835" s="7" t="str">
        <f>IF(NOT(AND(J835="",L835="")),IF(OR(AND(L835&lt;&gt;"",NOT(ISNUMBER(L835))),IFERROR(MOD(L835,1),1)&gt;0,AND(ISNUMBER(L835),OR(L835&lt;0,L835&gt;95))),"Введите целое число от 0 до 95",IF(OR(AND(J835&lt;&gt;"",NOT(ISNUMBER(J835))),IFERROR(MOD(J835,1),1)&gt;0,AND(ISNUMBER(J835),OR(J835&lt;50,J835&gt;20000000))),"Введите целое число от 50 до 20000000",IF(NOT(ABS(IFERROR(VALUE(LEFT(M835,FIND("-",M835)-1)),M835)*100-(2500+2000000000)/2)&lt;=ABS(2500-2000000000)/2),"Цена со скидкой должна быть от 25 до 20000000",IF(AND(IFERROR(VALUE(LEFT(M835,FIND("-",M835)-1)),M835)*150&lt;=407599,IFERROR(VALUE(LEFT(M835,FIND("-",M835)-1)),M835)*200&gt;407599),"Вы уменьшили цену в несколько раз, товар попадет в карантин цен",IF(IFERROR(VALUE(LEFT(M835,FIND("-",M835)-1)),M835)*200&lt;=407599,"Не сохранили изменения, чтобы защитить от ошибки — новые цены меньше текущих более чем в 2 раза. Снижайте их постепенно",IF(AND(IFERROR(VALUE(I835),0)=0,ISNUMBER(J835),OR(J835&lt;468,ABS(IFERROR(VALUE(LEFT(M835,FIND("-",M835)-1)),M835))*100&lt;46800)),"Проверьте цену товара. Большинство товаров в выбранной категории стоят дороже 468","")))))),"")</f>
      </c>
    </row>
    <row r="836">
      <c r="A836" s="2" t="inlineStr">
        <is>
          <t/>
        </is>
      </c>
      <c r="B836" s="2" t="inlineStr">
        <is>
          <t>Фруктовницы</t>
        </is>
      </c>
      <c r="C836" s="2">
        <v>729467938</v>
      </c>
      <c r="D836" s="2" t="inlineStr">
        <is>
          <t>121776</t>
        </is>
      </c>
      <c r="E836" s="2" t="inlineStr">
        <is>
          <t>2048082442736</t>
        </is>
      </c>
      <c r="F836" s="2">
        <v>0</v>
      </c>
      <c r="G836" s="2">
        <v>0</v>
      </c>
      <c r="H836" s="2">
        <v>1</v>
      </c>
      <c r="I836" s="2" t="inlineStr">
        <is>
          <t>14616</t>
        </is>
      </c>
      <c r="J836" s="4"/>
      <c r="K836" s="2">
        <v>65</v>
      </c>
      <c r="L836" s="6"/>
      <c r="M836" s="2" t="str">
        <f>IF(J836="",ROUND(I836*(1-IF(ISBLANK(L836),K836,L836)/100),2),ROUND(J836*(1-IF(ISBLANK(L836),K836,L836)/100),2))</f>
      </c>
      <c r="N836" s="7" t="str">
        <f>IF(NOT(AND(J836="",L836="")),IF(OR(AND(L836&lt;&gt;"",NOT(ISNUMBER(L836))),IFERROR(MOD(L836,1),1)&gt;0,AND(ISNUMBER(L836),OR(L836&lt;0,L836&gt;95))),"Введите целое число от 0 до 95",IF(OR(AND(J836&lt;&gt;"",NOT(ISNUMBER(J836))),IFERROR(MOD(J836,1),1)&gt;0,AND(ISNUMBER(J836),OR(J836&lt;50,J836&gt;20000000))),"Введите целое число от 50 до 20000000",IF(NOT(ABS(IFERROR(VALUE(LEFT(M836,FIND("-",M836)-1)),M836)*100-(2500+2000000000)/2)&lt;=ABS(2500-2000000000)/2),"Цена со скидкой должна быть от 25 до 20000000",IF(AND(IFERROR(VALUE(LEFT(M836,FIND("-",M836)-1)),M836)*150&lt;=511559,IFERROR(VALUE(LEFT(M836,FIND("-",M836)-1)),M836)*200&gt;511559),"Вы уменьшили цену в несколько раз, товар попадет в карантин цен",IF(IFERROR(VALUE(LEFT(M836,FIND("-",M836)-1)),M836)*200&lt;=511559,"Не сохранили изменения, чтобы защитить от ошибки — новые цены меньше текущих более чем в 2 раза. Снижайте их постепенно",IF(AND(IFERROR(VALUE(I836),0)=0,ISNUMBER(J836),OR(J836&lt;286,ABS(IFERROR(VALUE(LEFT(M836,FIND("-",M836)-1)),M836))*100&lt;28600)),"Проверьте цену товара. Большинство товаров в выбранной категории стоят дороже 286","")))))),"")</f>
      </c>
    </row>
    <row r="837">
      <c r="A837" s="2" t="inlineStr">
        <is>
          <t/>
        </is>
      </c>
      <c r="B837" s="2" t="inlineStr">
        <is>
          <t>Фруктовницы</t>
        </is>
      </c>
      <c r="C837" s="2">
        <v>729467928</v>
      </c>
      <c r="D837" s="2" t="inlineStr">
        <is>
          <t>076415</t>
        </is>
      </c>
      <c r="E837" s="2" t="inlineStr">
        <is>
          <t>2048082442620</t>
        </is>
      </c>
      <c r="F837" s="2">
        <v>0</v>
      </c>
      <c r="G837" s="2">
        <v>3</v>
      </c>
      <c r="H837" s="2" t="inlineStr">
        <is>
          <t/>
        </is>
      </c>
      <c r="I837" s="2" t="inlineStr">
        <is>
          <t>0</t>
        </is>
      </c>
      <c r="J837" s="4"/>
      <c r="K837" s="2">
        <v>0</v>
      </c>
      <c r="L837" s="6"/>
      <c r="M837" s="2" t="str">
        <f>IF(J837="",ROUND(I837*(1-IF(ISBLANK(L837),K837,L837)/100),2),ROUND(J837*(1-IF(ISBLANK(L837),K837,L837)/100),2))</f>
      </c>
      <c r="N837" s="7" t="str">
        <f>IF(NOT(AND(J837="",L837="")),IF(OR(AND(L837&lt;&gt;"",NOT(ISNUMBER(L837))),IFERROR(MOD(L837,1),1)&gt;0,AND(ISNUMBER(L837),OR(L837&lt;0,L837&gt;95))),"Введите целое число от 0 до 95",IF(OR(AND(J837&lt;&gt;"",NOT(ISNUMBER(J837))),IFERROR(MOD(J837,1),1)&gt;0,AND(ISNUMBER(J837),OR(J837&lt;50,J837&gt;20000000))),"Введите целое число от 50 до 20000000",IF(NOT(ABS(IFERROR(VALUE(LEFT(M837,FIND("-",M837)-1)),M837)*100-(2500+2000000000)/2)&lt;=ABS(2500-2000000000)/2),"Цена со скидкой должна быть от 25 до 20000000",IF(AND(IFERROR(VALUE(LEFT(M837,FIND("-",M837)-1)),M837)*150&lt;=0,IFERROR(VALUE(LEFT(M837,FIND("-",M837)-1)),M837)*200&gt;0),"Вы уменьшили цену в несколько раз, товар попадет в карантин цен",IF(IFERROR(VALUE(LEFT(M837,FIND("-",M837)-1)),M837)*200&lt;=0,"Не сохранили изменения, чтобы защитить от ошибки — новые цены меньше текущих более чем в 2 раза. Снижайте их постепенно",IF(AND(IFERROR(VALUE(I837),0)=0,ISNUMBER(J837),OR(J837&lt;286,ABS(IFERROR(VALUE(LEFT(M837,FIND("-",M837)-1)),M837))*100&lt;28600)),"Проверьте цену товара. Большинство товаров в выбранной категории стоят дороже 286","")))))),"")</f>
      </c>
    </row>
    <row r="838">
      <c r="A838" s="2" t="inlineStr">
        <is>
          <t/>
        </is>
      </c>
      <c r="B838" s="2" t="inlineStr">
        <is>
          <t>Тарелки</t>
        </is>
      </c>
      <c r="C838" s="2">
        <v>729438436</v>
      </c>
      <c r="D838" s="2" t="inlineStr">
        <is>
          <t>076486</t>
        </is>
      </c>
      <c r="E838" s="2" t="inlineStr">
        <is>
          <t>2048082120146</t>
        </is>
      </c>
      <c r="F838" s="2" t="inlineStr">
        <is>
          <t/>
        </is>
      </c>
      <c r="G838" s="2" t="inlineStr">
        <is>
          <t/>
        </is>
      </c>
      <c r="H838" s="2" t="inlineStr">
        <is>
          <t/>
        </is>
      </c>
      <c r="I838" s="2" t="inlineStr">
        <is>
          <t>0</t>
        </is>
      </c>
      <c r="J838" s="4"/>
      <c r="K838" s="2">
        <v>0</v>
      </c>
      <c r="L838" s="6"/>
      <c r="M838" s="2" t="str">
        <f>IF(J838="",ROUND(I838*(1-IF(ISBLANK(L838),K838,L838)/100),2),ROUND(J838*(1-IF(ISBLANK(L838),K838,L838)/100),2))</f>
      </c>
      <c r="N838" s="7" t="str">
        <f>IF(NOT(AND(J838="",L838="")),IF(OR(AND(L838&lt;&gt;"",NOT(ISNUMBER(L838))),IFERROR(MOD(L838,1),1)&gt;0,AND(ISNUMBER(L838),OR(L838&lt;0,L838&gt;95))),"Введите целое число от 0 до 95",IF(OR(AND(J838&lt;&gt;"",NOT(ISNUMBER(J838))),IFERROR(MOD(J838,1),1)&gt;0,AND(ISNUMBER(J838),OR(J838&lt;50,J838&gt;20000000))),"Введите целое число от 50 до 20000000",IF(NOT(ABS(IFERROR(VALUE(LEFT(M838,FIND("-",M838)-1)),M838)*100-(2500+2000000000)/2)&lt;=ABS(2500-2000000000)/2),"Цена со скидкой должна быть от 25 до 20000000",IF(AND(IFERROR(VALUE(LEFT(M838,FIND("-",M838)-1)),M838)*150&lt;=0,IFERROR(VALUE(LEFT(M838,FIND("-",M838)-1)),M838)*200&gt;0),"Вы уменьшили цену в несколько раз, товар попадет в карантин цен",IF(IFERROR(VALUE(LEFT(M838,FIND("-",M838)-1)),M838)*200&lt;=0,"Не сохранили изменения, чтобы защитить от ошибки — новые цены меньше текущих более чем в 2 раза. Снижайте их постепенно",IF(AND(IFERROR(VALUE(I838),0)=0,ISNUMBER(J838),OR(J838&lt;413,ABS(IFERROR(VALUE(LEFT(M838,FIND("-",M838)-1)),M838))*100&lt;41300)),"Проверьте цену товара. Большинство товаров в выбранной категории стоят дороже 413","")))))),"")</f>
      </c>
    </row>
    <row r="839">
      <c r="A839" s="2" t="inlineStr">
        <is>
          <t/>
        </is>
      </c>
      <c r="B839" s="2" t="inlineStr">
        <is>
          <t>Фруктовницы</t>
        </is>
      </c>
      <c r="C839" s="2">
        <v>729467937</v>
      </c>
      <c r="D839" s="2" t="inlineStr">
        <is>
          <t>076417</t>
        </is>
      </c>
      <c r="E839" s="2" t="inlineStr">
        <is>
          <t>2048082442729</t>
        </is>
      </c>
      <c r="F839" s="2" t="inlineStr">
        <is>
          <t/>
        </is>
      </c>
      <c r="G839" s="2" t="inlineStr">
        <is>
          <t/>
        </is>
      </c>
      <c r="H839" s="2" t="inlineStr">
        <is>
          <t/>
        </is>
      </c>
      <c r="I839" s="2" t="inlineStr">
        <is>
          <t>0</t>
        </is>
      </c>
      <c r="J839" s="4"/>
      <c r="K839" s="2">
        <v>0</v>
      </c>
      <c r="L839" s="6"/>
      <c r="M839" s="2" t="str">
        <f>IF(J839="",ROUND(I839*(1-IF(ISBLANK(L839),K839,L839)/100),2),ROUND(J839*(1-IF(ISBLANK(L839),K839,L839)/100),2))</f>
      </c>
      <c r="N839" s="7" t="str">
        <f>IF(NOT(AND(J839="",L839="")),IF(OR(AND(L839&lt;&gt;"",NOT(ISNUMBER(L839))),IFERROR(MOD(L839,1),1)&gt;0,AND(ISNUMBER(L839),OR(L839&lt;0,L839&gt;95))),"Введите целое число от 0 до 95",IF(OR(AND(J839&lt;&gt;"",NOT(ISNUMBER(J839))),IFERROR(MOD(J839,1),1)&gt;0,AND(ISNUMBER(J839),OR(J839&lt;50,J839&gt;20000000))),"Введите целое число от 50 до 20000000",IF(NOT(ABS(IFERROR(VALUE(LEFT(M839,FIND("-",M839)-1)),M839)*100-(2500+2000000000)/2)&lt;=ABS(2500-2000000000)/2),"Цена со скидкой должна быть от 25 до 20000000",IF(AND(IFERROR(VALUE(LEFT(M839,FIND("-",M839)-1)),M839)*150&lt;=0,IFERROR(VALUE(LEFT(M839,FIND("-",M839)-1)),M839)*200&gt;0),"Вы уменьшили цену в несколько раз, товар попадет в карантин цен",IF(IFERROR(VALUE(LEFT(M839,FIND("-",M839)-1)),M839)*200&lt;=0,"Не сохранили изменения, чтобы защитить от ошибки — новые цены меньше текущих более чем в 2 раза. Снижайте их постепенно",IF(AND(IFERROR(VALUE(I839),0)=0,ISNUMBER(J839),OR(J839&lt;286,ABS(IFERROR(VALUE(LEFT(M839,FIND("-",M839)-1)),M839))*100&lt;28600)),"Проверьте цену товара. Большинство товаров в выбранной категории стоят дороже 286","")))))),"")</f>
      </c>
    </row>
    <row r="840">
      <c r="A840" s="2" t="inlineStr">
        <is>
          <t/>
        </is>
      </c>
      <c r="B840" s="2" t="inlineStr">
        <is>
          <t>Фруктовницы</t>
        </is>
      </c>
      <c r="C840" s="2">
        <v>729467930</v>
      </c>
      <c r="D840" s="2" t="inlineStr">
        <is>
          <t>122019</t>
        </is>
      </c>
      <c r="E840" s="2" t="inlineStr">
        <is>
          <t>2048082442644</t>
        </is>
      </c>
      <c r="F840" s="2" t="inlineStr">
        <is>
          <t/>
        </is>
      </c>
      <c r="G840" s="2" t="inlineStr">
        <is>
          <t/>
        </is>
      </c>
      <c r="H840" s="2" t="inlineStr">
        <is>
          <t/>
        </is>
      </c>
      <c r="I840" s="2" t="inlineStr">
        <is>
          <t>11815</t>
        </is>
      </c>
      <c r="J840" s="4"/>
      <c r="K840" s="2">
        <v>65</v>
      </c>
      <c r="L840" s="6"/>
      <c r="M840" s="2" t="str">
        <f>IF(J840="",ROUND(I840*(1-IF(ISBLANK(L840),K840,L840)/100),2),ROUND(J840*(1-IF(ISBLANK(L840),K840,L840)/100),2))</f>
      </c>
      <c r="N840" s="7" t="str">
        <f>IF(NOT(AND(J840="",L840="")),IF(OR(AND(L840&lt;&gt;"",NOT(ISNUMBER(L840))),IFERROR(MOD(L840,1),1)&gt;0,AND(ISNUMBER(L840),OR(L840&lt;0,L840&gt;95))),"Введите целое число от 0 до 95",IF(OR(AND(J840&lt;&gt;"",NOT(ISNUMBER(J840))),IFERROR(MOD(J840,1),1)&gt;0,AND(ISNUMBER(J840),OR(J840&lt;50,J840&gt;20000000))),"Введите целое число от 50 до 20000000",IF(NOT(ABS(IFERROR(VALUE(LEFT(M840,FIND("-",M840)-1)),M840)*100-(2500+2000000000)/2)&lt;=ABS(2500-2000000000)/2),"Цена со скидкой должна быть от 25 до 20000000",IF(AND(IFERROR(VALUE(LEFT(M840,FIND("-",M840)-1)),M840)*150&lt;=413525,IFERROR(VALUE(LEFT(M840,FIND("-",M840)-1)),M840)*200&gt;413525),"Вы уменьшили цену в несколько раз, товар попадет в карантин цен",IF(IFERROR(VALUE(LEFT(M840,FIND("-",M840)-1)),M840)*200&lt;=413525,"Не сохранили изменения, чтобы защитить от ошибки — новые цены меньше текущих более чем в 2 раза. Снижайте их постепенно",IF(AND(IFERROR(VALUE(I840),0)=0,ISNUMBER(J840),OR(J840&lt;286,ABS(IFERROR(VALUE(LEFT(M840,FIND("-",M840)-1)),M840))*100&lt;28600)),"Проверьте цену товара. Большинство товаров в выбранной категории стоят дороже 286","")))))),"")</f>
      </c>
    </row>
    <row r="841">
      <c r="A841" s="2" t="inlineStr">
        <is>
          <t/>
        </is>
      </c>
      <c r="B841" s="2" t="inlineStr">
        <is>
          <t>Фруктовницы</t>
        </is>
      </c>
      <c r="C841" s="2">
        <v>729467924</v>
      </c>
      <c r="D841" s="2" t="inlineStr">
        <is>
          <t>076060</t>
        </is>
      </c>
      <c r="E841" s="2" t="inlineStr">
        <is>
          <t>2048082442576</t>
        </is>
      </c>
      <c r="F841" s="2">
        <v>0</v>
      </c>
      <c r="G841" s="2">
        <v>1</v>
      </c>
      <c r="H841" s="2" t="inlineStr">
        <is>
          <t/>
        </is>
      </c>
      <c r="I841" s="2" t="inlineStr">
        <is>
          <t>0</t>
        </is>
      </c>
      <c r="J841" s="4"/>
      <c r="K841" s="2">
        <v>0</v>
      </c>
      <c r="L841" s="6"/>
      <c r="M841" s="2" t="str">
        <f>IF(J841="",ROUND(I841*(1-IF(ISBLANK(L841),K841,L841)/100),2),ROUND(J841*(1-IF(ISBLANK(L841),K841,L841)/100),2))</f>
      </c>
      <c r="N841" s="7" t="str">
        <f>IF(NOT(AND(J841="",L841="")),IF(OR(AND(L841&lt;&gt;"",NOT(ISNUMBER(L841))),IFERROR(MOD(L841,1),1)&gt;0,AND(ISNUMBER(L841),OR(L841&lt;0,L841&gt;95))),"Введите целое число от 0 до 95",IF(OR(AND(J841&lt;&gt;"",NOT(ISNUMBER(J841))),IFERROR(MOD(J841,1),1)&gt;0,AND(ISNUMBER(J841),OR(J841&lt;50,J841&gt;20000000))),"Введите целое число от 50 до 20000000",IF(NOT(ABS(IFERROR(VALUE(LEFT(M841,FIND("-",M841)-1)),M841)*100-(2500+2000000000)/2)&lt;=ABS(2500-2000000000)/2),"Цена со скидкой должна быть от 25 до 20000000",IF(AND(IFERROR(VALUE(LEFT(M841,FIND("-",M841)-1)),M841)*150&lt;=0,IFERROR(VALUE(LEFT(M841,FIND("-",M841)-1)),M841)*200&gt;0),"Вы уменьшили цену в несколько раз, товар попадет в карантин цен",IF(IFERROR(VALUE(LEFT(M841,FIND("-",M841)-1)),M841)*200&lt;=0,"Не сохранили изменения, чтобы защитить от ошибки — новые цены меньше текущих более чем в 2 раза. Снижайте их постепенно",IF(AND(IFERROR(VALUE(I841),0)=0,ISNUMBER(J841),OR(J841&lt;286,ABS(IFERROR(VALUE(LEFT(M841,FIND("-",M841)-1)),M841))*100&lt;28600)),"Проверьте цену товара. Большинство товаров в выбранной категории стоят дороже 286","")))))),"")</f>
      </c>
    </row>
    <row r="842">
      <c r="A842" s="2" t="inlineStr">
        <is>
          <t/>
        </is>
      </c>
      <c r="B842" s="2" t="inlineStr">
        <is>
          <t>Фруктовницы</t>
        </is>
      </c>
      <c r="C842" s="2">
        <v>729467936</v>
      </c>
      <c r="D842" s="2" t="inlineStr">
        <is>
          <t>076418</t>
        </is>
      </c>
      <c r="E842" s="2" t="inlineStr">
        <is>
          <t>2048082442712</t>
        </is>
      </c>
      <c r="F842" s="2">
        <v>0</v>
      </c>
      <c r="G842" s="2">
        <v>0</v>
      </c>
      <c r="H842" s="2" t="inlineStr">
        <is>
          <t/>
        </is>
      </c>
      <c r="I842" s="2" t="inlineStr">
        <is>
          <t>0</t>
        </is>
      </c>
      <c r="J842" s="4"/>
      <c r="K842" s="2">
        <v>0</v>
      </c>
      <c r="L842" s="6"/>
      <c r="M842" s="2" t="str">
        <f>IF(J842="",ROUND(I842*(1-IF(ISBLANK(L842),K842,L842)/100),2),ROUND(J842*(1-IF(ISBLANK(L842),K842,L842)/100),2))</f>
      </c>
      <c r="N842" s="7" t="str">
        <f>IF(NOT(AND(J842="",L842="")),IF(OR(AND(L842&lt;&gt;"",NOT(ISNUMBER(L842))),IFERROR(MOD(L842,1),1)&gt;0,AND(ISNUMBER(L842),OR(L842&lt;0,L842&gt;95))),"Введите целое число от 0 до 95",IF(OR(AND(J842&lt;&gt;"",NOT(ISNUMBER(J842))),IFERROR(MOD(J842,1),1)&gt;0,AND(ISNUMBER(J842),OR(J842&lt;50,J842&gt;20000000))),"Введите целое число от 50 до 20000000",IF(NOT(ABS(IFERROR(VALUE(LEFT(M842,FIND("-",M842)-1)),M842)*100-(2500+2000000000)/2)&lt;=ABS(2500-2000000000)/2),"Цена со скидкой должна быть от 25 до 20000000",IF(AND(IFERROR(VALUE(LEFT(M842,FIND("-",M842)-1)),M842)*150&lt;=0,IFERROR(VALUE(LEFT(M842,FIND("-",M842)-1)),M842)*200&gt;0),"Вы уменьшили цену в несколько раз, товар попадет в карантин цен",IF(IFERROR(VALUE(LEFT(M842,FIND("-",M842)-1)),M842)*200&lt;=0,"Не сохранили изменения, чтобы защитить от ошибки — новые цены меньше текущих более чем в 2 раза. Снижайте их постепенно",IF(AND(IFERROR(VALUE(I842),0)=0,ISNUMBER(J842),OR(J842&lt;286,ABS(IFERROR(VALUE(LEFT(M842,FIND("-",M842)-1)),M842))*100&lt;28600)),"Проверьте цену товара. Большинство товаров в выбранной категории стоят дороже 286","")))))),"")</f>
      </c>
    </row>
    <row r="843">
      <c r="A843" s="2" t="inlineStr">
        <is>
          <t/>
        </is>
      </c>
      <c r="B843" s="2" t="inlineStr">
        <is>
          <t>Фруктовницы</t>
        </is>
      </c>
      <c r="C843" s="2">
        <v>729467933</v>
      </c>
      <c r="D843" s="2" t="inlineStr">
        <is>
          <t>075917</t>
        </is>
      </c>
      <c r="E843" s="2" t="inlineStr">
        <is>
          <t>2048082442682</t>
        </is>
      </c>
      <c r="F843" s="2">
        <v>0</v>
      </c>
      <c r="G843" s="2">
        <v>1</v>
      </c>
      <c r="H843" s="2" t="inlineStr">
        <is>
          <t/>
        </is>
      </c>
      <c r="I843" s="2" t="inlineStr">
        <is>
          <t>0</t>
        </is>
      </c>
      <c r="J843" s="4"/>
      <c r="K843" s="2">
        <v>0</v>
      </c>
      <c r="L843" s="6"/>
      <c r="M843" s="2" t="str">
        <f>IF(J843="",ROUND(I843*(1-IF(ISBLANK(L843),K843,L843)/100),2),ROUND(J843*(1-IF(ISBLANK(L843),K843,L843)/100),2))</f>
      </c>
      <c r="N843" s="7" t="str">
        <f>IF(NOT(AND(J843="",L843="")),IF(OR(AND(L843&lt;&gt;"",NOT(ISNUMBER(L843))),IFERROR(MOD(L843,1),1)&gt;0,AND(ISNUMBER(L843),OR(L843&lt;0,L843&gt;95))),"Введите целое число от 0 до 95",IF(OR(AND(J843&lt;&gt;"",NOT(ISNUMBER(J843))),IFERROR(MOD(J843,1),1)&gt;0,AND(ISNUMBER(J843),OR(J843&lt;50,J843&gt;20000000))),"Введите целое число от 50 до 20000000",IF(NOT(ABS(IFERROR(VALUE(LEFT(M843,FIND("-",M843)-1)),M843)*100-(2500+2000000000)/2)&lt;=ABS(2500-2000000000)/2),"Цена со скидкой должна быть от 25 до 20000000",IF(AND(IFERROR(VALUE(LEFT(M843,FIND("-",M843)-1)),M843)*150&lt;=0,IFERROR(VALUE(LEFT(M843,FIND("-",M843)-1)),M843)*200&gt;0),"Вы уменьшили цену в несколько раз, товар попадет в карантин цен",IF(IFERROR(VALUE(LEFT(M843,FIND("-",M843)-1)),M843)*200&lt;=0,"Не сохранили изменения, чтобы защитить от ошибки — новые цены меньше текущих более чем в 2 раза. Снижайте их постепенно",IF(AND(IFERROR(VALUE(I843),0)=0,ISNUMBER(J843),OR(J843&lt;286,ABS(IFERROR(VALUE(LEFT(M843,FIND("-",M843)-1)),M843))*100&lt;28600)),"Проверьте цену товара. Большинство товаров в выбранной категории стоят дороже 286","")))))),"")</f>
      </c>
    </row>
    <row r="844">
      <c r="A844" s="2" t="inlineStr">
        <is>
          <t/>
        </is>
      </c>
      <c r="B844" s="2" t="inlineStr">
        <is>
          <t>Фруктовницы</t>
        </is>
      </c>
      <c r="C844" s="2">
        <v>729467942</v>
      </c>
      <c r="D844" s="2" t="inlineStr">
        <is>
          <t>076335</t>
        </is>
      </c>
      <c r="E844" s="2" t="inlineStr">
        <is>
          <t>2048082442798</t>
        </is>
      </c>
      <c r="F844" s="2" t="inlineStr">
        <is>
          <t/>
        </is>
      </c>
      <c r="G844" s="2" t="inlineStr">
        <is>
          <t/>
        </is>
      </c>
      <c r="H844" s="2" t="inlineStr">
        <is>
          <t/>
        </is>
      </c>
      <c r="I844" s="2" t="inlineStr">
        <is>
          <t>0</t>
        </is>
      </c>
      <c r="J844" s="4"/>
      <c r="K844" s="2">
        <v>0</v>
      </c>
      <c r="L844" s="6"/>
      <c r="M844" s="2" t="str">
        <f>IF(J844="",ROUND(I844*(1-IF(ISBLANK(L844),K844,L844)/100),2),ROUND(J844*(1-IF(ISBLANK(L844),K844,L844)/100),2))</f>
      </c>
      <c r="N844" s="7" t="str">
        <f>IF(NOT(AND(J844="",L844="")),IF(OR(AND(L844&lt;&gt;"",NOT(ISNUMBER(L844))),IFERROR(MOD(L844,1),1)&gt;0,AND(ISNUMBER(L844),OR(L844&lt;0,L844&gt;95))),"Введите целое число от 0 до 95",IF(OR(AND(J844&lt;&gt;"",NOT(ISNUMBER(J844))),IFERROR(MOD(J844,1),1)&gt;0,AND(ISNUMBER(J844),OR(J844&lt;50,J844&gt;20000000))),"Введите целое число от 50 до 20000000",IF(NOT(ABS(IFERROR(VALUE(LEFT(M844,FIND("-",M844)-1)),M844)*100-(2500+2000000000)/2)&lt;=ABS(2500-2000000000)/2),"Цена со скидкой должна быть от 25 до 20000000",IF(AND(IFERROR(VALUE(LEFT(M844,FIND("-",M844)-1)),M844)*150&lt;=0,IFERROR(VALUE(LEFT(M844,FIND("-",M844)-1)),M844)*200&gt;0),"Вы уменьшили цену в несколько раз, товар попадет в карантин цен",IF(IFERROR(VALUE(LEFT(M844,FIND("-",M844)-1)),M844)*200&lt;=0,"Не сохранили изменения, чтобы защитить от ошибки — новые цены меньше текущих более чем в 2 раза. Снижайте их постепенно",IF(AND(IFERROR(VALUE(I844),0)=0,ISNUMBER(J844),OR(J844&lt;286,ABS(IFERROR(VALUE(LEFT(M844,FIND("-",M844)-1)),M844))*100&lt;28600)),"Проверьте цену товара. Большинство товаров в выбранной категории стоят дороже 286","")))))),"")</f>
      </c>
    </row>
    <row r="845">
      <c r="A845" s="2" t="inlineStr">
        <is>
          <t/>
        </is>
      </c>
      <c r="B845" s="2" t="inlineStr">
        <is>
          <t>Фруктовницы</t>
        </is>
      </c>
      <c r="C845" s="2">
        <v>729467935</v>
      </c>
      <c r="D845" s="2" t="inlineStr">
        <is>
          <t>075602</t>
        </is>
      </c>
      <c r="E845" s="2" t="inlineStr">
        <is>
          <t>2048082442705</t>
        </is>
      </c>
      <c r="F845" s="2" t="inlineStr">
        <is>
          <t/>
        </is>
      </c>
      <c r="G845" s="2" t="inlineStr">
        <is>
          <t/>
        </is>
      </c>
      <c r="H845" s="2" t="inlineStr">
        <is>
          <t/>
        </is>
      </c>
      <c r="I845" s="2" t="inlineStr">
        <is>
          <t>0</t>
        </is>
      </c>
      <c r="J845" s="4"/>
      <c r="K845" s="2">
        <v>0</v>
      </c>
      <c r="L845" s="6"/>
      <c r="M845" s="2" t="str">
        <f>IF(J845="",ROUND(I845*(1-IF(ISBLANK(L845),K845,L845)/100),2),ROUND(J845*(1-IF(ISBLANK(L845),K845,L845)/100),2))</f>
      </c>
      <c r="N845" s="7" t="str">
        <f>IF(NOT(AND(J845="",L845="")),IF(OR(AND(L845&lt;&gt;"",NOT(ISNUMBER(L845))),IFERROR(MOD(L845,1),1)&gt;0,AND(ISNUMBER(L845),OR(L845&lt;0,L845&gt;95))),"Введите целое число от 0 до 95",IF(OR(AND(J845&lt;&gt;"",NOT(ISNUMBER(J845))),IFERROR(MOD(J845,1),1)&gt;0,AND(ISNUMBER(J845),OR(J845&lt;50,J845&gt;20000000))),"Введите целое число от 50 до 20000000",IF(NOT(ABS(IFERROR(VALUE(LEFT(M845,FIND("-",M845)-1)),M845)*100-(2500+2000000000)/2)&lt;=ABS(2500-2000000000)/2),"Цена со скидкой должна быть от 25 до 20000000",IF(AND(IFERROR(VALUE(LEFT(M845,FIND("-",M845)-1)),M845)*150&lt;=0,IFERROR(VALUE(LEFT(M845,FIND("-",M845)-1)),M845)*200&gt;0),"Вы уменьшили цену в несколько раз, товар попадет в карантин цен",IF(IFERROR(VALUE(LEFT(M845,FIND("-",M845)-1)),M845)*200&lt;=0,"Не сохранили изменения, чтобы защитить от ошибки — новые цены меньше текущих более чем в 2 раза. Снижайте их постепенно",IF(AND(IFERROR(VALUE(I845),0)=0,ISNUMBER(J845),OR(J845&lt;286,ABS(IFERROR(VALUE(LEFT(M845,FIND("-",M845)-1)),M845))*100&lt;28600)),"Проверьте цену товара. Большинство товаров в выбранной категории стоят дороже 286","")))))),"")</f>
      </c>
    </row>
    <row r="846">
      <c r="A846" s="2" t="inlineStr">
        <is>
          <t/>
        </is>
      </c>
      <c r="B846" s="2" t="inlineStr">
        <is>
          <t>Фруктовницы</t>
        </is>
      </c>
      <c r="C846" s="2">
        <v>729467925</v>
      </c>
      <c r="D846" s="2" t="inlineStr">
        <is>
          <t>075621</t>
        </is>
      </c>
      <c r="E846" s="2" t="inlineStr">
        <is>
          <t>2048082442583</t>
        </is>
      </c>
      <c r="F846" s="2">
        <v>0</v>
      </c>
      <c r="G846" s="2">
        <v>7</v>
      </c>
      <c r="H846" s="2" t="inlineStr">
        <is>
          <t/>
        </is>
      </c>
      <c r="I846" s="2" t="inlineStr">
        <is>
          <t>0</t>
        </is>
      </c>
      <c r="J846" s="4"/>
      <c r="K846" s="2">
        <v>0</v>
      </c>
      <c r="L846" s="6"/>
      <c r="M846" s="2" t="str">
        <f>IF(J846="",ROUND(I846*(1-IF(ISBLANK(L846),K846,L846)/100),2),ROUND(J846*(1-IF(ISBLANK(L846),K846,L846)/100),2))</f>
      </c>
      <c r="N846" s="7" t="str">
        <f>IF(NOT(AND(J846="",L846="")),IF(OR(AND(L846&lt;&gt;"",NOT(ISNUMBER(L846))),IFERROR(MOD(L846,1),1)&gt;0,AND(ISNUMBER(L846),OR(L846&lt;0,L846&gt;95))),"Введите целое число от 0 до 95",IF(OR(AND(J846&lt;&gt;"",NOT(ISNUMBER(J846))),IFERROR(MOD(J846,1),1)&gt;0,AND(ISNUMBER(J846),OR(J846&lt;50,J846&gt;20000000))),"Введите целое число от 50 до 20000000",IF(NOT(ABS(IFERROR(VALUE(LEFT(M846,FIND("-",M846)-1)),M846)*100-(2500+2000000000)/2)&lt;=ABS(2500-2000000000)/2),"Цена со скидкой должна быть от 25 до 20000000",IF(AND(IFERROR(VALUE(LEFT(M846,FIND("-",M846)-1)),M846)*150&lt;=0,IFERROR(VALUE(LEFT(M846,FIND("-",M846)-1)),M846)*200&gt;0),"Вы уменьшили цену в несколько раз, товар попадет в карантин цен",IF(IFERROR(VALUE(LEFT(M846,FIND("-",M846)-1)),M846)*200&lt;=0,"Не сохранили изменения, чтобы защитить от ошибки — новые цены меньше текущих более чем в 2 раза. Снижайте их постепенно",IF(AND(IFERROR(VALUE(I846),0)=0,ISNUMBER(J846),OR(J846&lt;286,ABS(IFERROR(VALUE(LEFT(M846,FIND("-",M846)-1)),M846))*100&lt;28600)),"Проверьте цену товара. Большинство товаров в выбранной категории стоят дороже 286","")))))),"")</f>
      </c>
    </row>
    <row r="847">
      <c r="A847" s="2" t="inlineStr">
        <is>
          <t/>
        </is>
      </c>
      <c r="B847" s="2" t="inlineStr">
        <is>
          <t>Фруктовницы</t>
        </is>
      </c>
      <c r="C847" s="2">
        <v>729467931</v>
      </c>
      <c r="D847" s="2" t="inlineStr">
        <is>
          <t>074090</t>
        </is>
      </c>
      <c r="E847" s="2" t="inlineStr">
        <is>
          <t>2048082442651</t>
        </is>
      </c>
      <c r="F847" s="2">
        <v>0</v>
      </c>
      <c r="G847" s="2">
        <v>3</v>
      </c>
      <c r="H847" s="2" t="inlineStr">
        <is>
          <t/>
        </is>
      </c>
      <c r="I847" s="2" t="inlineStr">
        <is>
          <t>0</t>
        </is>
      </c>
      <c r="J847" s="4"/>
      <c r="K847" s="2">
        <v>0</v>
      </c>
      <c r="L847" s="6"/>
      <c r="M847" s="2" t="str">
        <f>IF(J847="",ROUND(I847*(1-IF(ISBLANK(L847),K847,L847)/100),2),ROUND(J847*(1-IF(ISBLANK(L847),K847,L847)/100),2))</f>
      </c>
      <c r="N847" s="7" t="str">
        <f>IF(NOT(AND(J847="",L847="")),IF(OR(AND(L847&lt;&gt;"",NOT(ISNUMBER(L847))),IFERROR(MOD(L847,1),1)&gt;0,AND(ISNUMBER(L847),OR(L847&lt;0,L847&gt;95))),"Введите целое число от 0 до 95",IF(OR(AND(J847&lt;&gt;"",NOT(ISNUMBER(J847))),IFERROR(MOD(J847,1),1)&gt;0,AND(ISNUMBER(J847),OR(J847&lt;50,J847&gt;20000000))),"Введите целое число от 50 до 20000000",IF(NOT(ABS(IFERROR(VALUE(LEFT(M847,FIND("-",M847)-1)),M847)*100-(2500+2000000000)/2)&lt;=ABS(2500-2000000000)/2),"Цена со скидкой должна быть от 25 до 20000000",IF(AND(IFERROR(VALUE(LEFT(M847,FIND("-",M847)-1)),M847)*150&lt;=0,IFERROR(VALUE(LEFT(M847,FIND("-",M847)-1)),M847)*200&gt;0),"Вы уменьшили цену в несколько раз, товар попадет в карантин цен",IF(IFERROR(VALUE(LEFT(M847,FIND("-",M847)-1)),M847)*200&lt;=0,"Не сохранили изменения, чтобы защитить от ошибки — новые цены меньше текущих более чем в 2 раза. Снижайте их постепенно",IF(AND(IFERROR(VALUE(I847),0)=0,ISNUMBER(J847),OR(J847&lt;286,ABS(IFERROR(VALUE(LEFT(M847,FIND("-",M847)-1)),M847))*100&lt;28600)),"Проверьте цену товара. Большинство товаров в выбранной категории стоят дороже 286","")))))),"")</f>
      </c>
    </row>
    <row r="848">
      <c r="A848" s="2" t="inlineStr">
        <is>
          <t/>
        </is>
      </c>
      <c r="B848" s="2" t="inlineStr">
        <is>
          <t>Турки</t>
        </is>
      </c>
      <c r="C848" s="2">
        <v>729507962</v>
      </c>
      <c r="D848" s="2" t="inlineStr">
        <is>
          <t>34021</t>
        </is>
      </c>
      <c r="E848" s="2" t="inlineStr">
        <is>
          <t>2048082797881</t>
        </is>
      </c>
      <c r="F848" s="2">
        <v>0</v>
      </c>
      <c r="G848" s="2">
        <v>38</v>
      </c>
      <c r="H848" s="2" t="inlineStr">
        <is>
          <t/>
        </is>
      </c>
      <c r="I848" s="2" t="inlineStr">
        <is>
          <t>11069</t>
        </is>
      </c>
      <c r="J848" s="4"/>
      <c r="K848" s="2">
        <v>75</v>
      </c>
      <c r="L848" s="6"/>
      <c r="M848" s="2" t="str">
        <f>IF(J848="",ROUND(I848*(1-IF(ISBLANK(L848),K848,L848)/100),2),ROUND(J848*(1-IF(ISBLANK(L848),K848,L848)/100),2))</f>
      </c>
      <c r="N848" s="7" t="str">
        <f>IF(NOT(AND(J848="",L848="")),IF(OR(AND(L848&lt;&gt;"",NOT(ISNUMBER(L848))),IFERROR(MOD(L848,1),1)&gt;0,AND(ISNUMBER(L848),OR(L848&lt;0,L848&gt;95))),"Введите целое число от 0 до 95",IF(OR(AND(J848&lt;&gt;"",NOT(ISNUMBER(J848))),IFERROR(MOD(J848,1),1)&gt;0,AND(ISNUMBER(J848),OR(J848&lt;50,J848&gt;20000000))),"Введите целое число от 50 до 20000000",IF(NOT(ABS(IFERROR(VALUE(LEFT(M848,FIND("-",M848)-1)),M848)*100-(2500+2000000000)/2)&lt;=ABS(2500-2000000000)/2),"Цена со скидкой должна быть от 25 до 20000000",IF(AND(IFERROR(VALUE(LEFT(M848,FIND("-",M848)-1)),M848)*150&lt;=276725,IFERROR(VALUE(LEFT(M848,FIND("-",M848)-1)),M848)*200&gt;276725),"Вы уменьшили цену в несколько раз, товар попадет в карантин цен",IF(IFERROR(VALUE(LEFT(M848,FIND("-",M848)-1)),M848)*200&lt;=276725,"Не сохранили изменения, чтобы защитить от ошибки — новые цены меньше текущих более чем в 2 раза. Снижайте их постепенно",IF(AND(IFERROR(VALUE(I848),0)=0,ISNUMBER(J848),OR(J848&lt;643,ABS(IFERROR(VALUE(LEFT(M848,FIND("-",M848)-1)),M848))*100&lt;64300)),"Проверьте цену товара. Большинство товаров в выбранной категории стоят дороже 643","")))))),"")</f>
      </c>
    </row>
    <row r="849">
      <c r="A849" s="2" t="inlineStr">
        <is>
          <t/>
        </is>
      </c>
      <c r="B849" s="2" t="inlineStr">
        <is>
          <t>Турки</t>
        </is>
      </c>
      <c r="C849" s="2">
        <v>729507966</v>
      </c>
      <c r="D849" s="2" t="inlineStr">
        <is>
          <t>32060</t>
        </is>
      </c>
      <c r="E849" s="2" t="inlineStr">
        <is>
          <t>2048082797928</t>
        </is>
      </c>
      <c r="F849" s="2">
        <v>0</v>
      </c>
      <c r="G849" s="2">
        <v>13</v>
      </c>
      <c r="H849" s="2" t="inlineStr">
        <is>
          <t/>
        </is>
      </c>
      <c r="I849" s="2" t="inlineStr">
        <is>
          <t>12031</t>
        </is>
      </c>
      <c r="J849" s="4"/>
      <c r="K849" s="2">
        <v>75</v>
      </c>
      <c r="L849" s="6"/>
      <c r="M849" s="2" t="str">
        <f>IF(J849="",ROUND(I849*(1-IF(ISBLANK(L849),K849,L849)/100),2),ROUND(J849*(1-IF(ISBLANK(L849),K849,L849)/100),2))</f>
      </c>
      <c r="N849" s="7" t="str">
        <f>IF(NOT(AND(J849="",L849="")),IF(OR(AND(L849&lt;&gt;"",NOT(ISNUMBER(L849))),IFERROR(MOD(L849,1),1)&gt;0,AND(ISNUMBER(L849),OR(L849&lt;0,L849&gt;95))),"Введите целое число от 0 до 95",IF(OR(AND(J849&lt;&gt;"",NOT(ISNUMBER(J849))),IFERROR(MOD(J849,1),1)&gt;0,AND(ISNUMBER(J849),OR(J849&lt;50,J849&gt;20000000))),"Введите целое число от 50 до 20000000",IF(NOT(ABS(IFERROR(VALUE(LEFT(M849,FIND("-",M849)-1)),M849)*100-(2500+2000000000)/2)&lt;=ABS(2500-2000000000)/2),"Цена со скидкой должна быть от 25 до 20000000",IF(AND(IFERROR(VALUE(LEFT(M849,FIND("-",M849)-1)),M849)*150&lt;=300775,IFERROR(VALUE(LEFT(M849,FIND("-",M849)-1)),M849)*200&gt;300775),"Вы уменьшили цену в несколько раз, товар попадет в карантин цен",IF(IFERROR(VALUE(LEFT(M849,FIND("-",M849)-1)),M849)*200&lt;=300775,"Не сохранили изменения, чтобы защитить от ошибки — новые цены меньше текущих более чем в 2 раза. Снижайте их постепенно",IF(AND(IFERROR(VALUE(I849),0)=0,ISNUMBER(J849),OR(J849&lt;643,ABS(IFERROR(VALUE(LEFT(M849,FIND("-",M849)-1)),M849))*100&lt;64300)),"Проверьте цену товара. Большинство товаров в выбранной категории стоят дороже 643","")))))),"")</f>
      </c>
    </row>
    <row r="850">
      <c r="A850" s="2" t="inlineStr">
        <is>
          <t/>
        </is>
      </c>
      <c r="B850" s="2" t="inlineStr">
        <is>
          <t>Турки</t>
        </is>
      </c>
      <c r="C850" s="2">
        <v>729507969</v>
      </c>
      <c r="D850" s="2" t="inlineStr">
        <is>
          <t>32403</t>
        </is>
      </c>
      <c r="E850" s="2" t="inlineStr">
        <is>
          <t>2048082797959</t>
        </is>
      </c>
      <c r="F850" s="2">
        <v>0</v>
      </c>
      <c r="G850" s="2">
        <v>14</v>
      </c>
      <c r="H850" s="2" t="inlineStr">
        <is>
          <t/>
        </is>
      </c>
      <c r="I850" s="2" t="inlineStr">
        <is>
          <t>14392</t>
        </is>
      </c>
      <c r="J850" s="4"/>
      <c r="K850" s="2">
        <v>75</v>
      </c>
      <c r="L850" s="6"/>
      <c r="M850" s="2" t="str">
        <f>IF(J850="",ROUND(I850*(1-IF(ISBLANK(L850),K850,L850)/100),2),ROUND(J850*(1-IF(ISBLANK(L850),K850,L850)/100),2))</f>
      </c>
      <c r="N850" s="7" t="str">
        <f>IF(NOT(AND(J850="",L850="")),IF(OR(AND(L850&lt;&gt;"",NOT(ISNUMBER(L850))),IFERROR(MOD(L850,1),1)&gt;0,AND(ISNUMBER(L850),OR(L850&lt;0,L850&gt;95))),"Введите целое число от 0 до 95",IF(OR(AND(J850&lt;&gt;"",NOT(ISNUMBER(J850))),IFERROR(MOD(J850,1),1)&gt;0,AND(ISNUMBER(J850),OR(J850&lt;50,J850&gt;20000000))),"Введите целое число от 50 до 20000000",IF(NOT(ABS(IFERROR(VALUE(LEFT(M850,FIND("-",M850)-1)),M850)*100-(2500+2000000000)/2)&lt;=ABS(2500-2000000000)/2),"Цена со скидкой должна быть от 25 до 20000000",IF(AND(IFERROR(VALUE(LEFT(M850,FIND("-",M850)-1)),M850)*150&lt;=359800,IFERROR(VALUE(LEFT(M850,FIND("-",M850)-1)),M850)*200&gt;359800),"Вы уменьшили цену в несколько раз, товар попадет в карантин цен",IF(IFERROR(VALUE(LEFT(M850,FIND("-",M850)-1)),M850)*200&lt;=359800,"Не сохранили изменения, чтобы защитить от ошибки — новые цены меньше текущих более чем в 2 раза. Снижайте их постепенно",IF(AND(IFERROR(VALUE(I850),0)=0,ISNUMBER(J850),OR(J850&lt;643,ABS(IFERROR(VALUE(LEFT(M850,FIND("-",M850)-1)),M850))*100&lt;64300)),"Проверьте цену товара. Большинство товаров в выбранной категории стоят дороже 643","")))))),"")</f>
      </c>
    </row>
    <row r="851">
      <c r="A851" s="2" t="inlineStr">
        <is>
          <t/>
        </is>
      </c>
      <c r="B851" s="2" t="inlineStr">
        <is>
          <t>Тарелки</t>
        </is>
      </c>
      <c r="C851" s="2">
        <v>729438955</v>
      </c>
      <c r="D851" s="2" t="inlineStr">
        <is>
          <t>076490</t>
        </is>
      </c>
      <c r="E851" s="2" t="inlineStr">
        <is>
          <t>2048082126551</t>
        </is>
      </c>
      <c r="F851" s="2" t="inlineStr">
        <is>
          <t/>
        </is>
      </c>
      <c r="G851" s="2" t="inlineStr">
        <is>
          <t/>
        </is>
      </c>
      <c r="H851" s="2" t="inlineStr">
        <is>
          <t/>
        </is>
      </c>
      <c r="I851" s="2" t="inlineStr">
        <is>
          <t>0</t>
        </is>
      </c>
      <c r="J851" s="4"/>
      <c r="K851" s="2">
        <v>0</v>
      </c>
      <c r="L851" s="6"/>
      <c r="M851" s="2" t="str">
        <f>IF(J851="",ROUND(I851*(1-IF(ISBLANK(L851),K851,L851)/100),2),ROUND(J851*(1-IF(ISBLANK(L851),K851,L851)/100),2))</f>
      </c>
      <c r="N851" s="7" t="str">
        <f>IF(NOT(AND(J851="",L851="")),IF(OR(AND(L851&lt;&gt;"",NOT(ISNUMBER(L851))),IFERROR(MOD(L851,1),1)&gt;0,AND(ISNUMBER(L851),OR(L851&lt;0,L851&gt;95))),"Введите целое число от 0 до 95",IF(OR(AND(J851&lt;&gt;"",NOT(ISNUMBER(J851))),IFERROR(MOD(J851,1),1)&gt;0,AND(ISNUMBER(J851),OR(J851&lt;50,J851&gt;20000000))),"Введите целое число от 50 до 20000000",IF(NOT(ABS(IFERROR(VALUE(LEFT(M851,FIND("-",M851)-1)),M851)*100-(2500+2000000000)/2)&lt;=ABS(2500-2000000000)/2),"Цена со скидкой должна быть от 25 до 20000000",IF(AND(IFERROR(VALUE(LEFT(M851,FIND("-",M851)-1)),M851)*150&lt;=0,IFERROR(VALUE(LEFT(M851,FIND("-",M851)-1)),M851)*200&gt;0),"Вы уменьшили цену в несколько раз, товар попадет в карантин цен",IF(IFERROR(VALUE(LEFT(M851,FIND("-",M851)-1)),M851)*200&lt;=0,"Не сохранили изменения, чтобы защитить от ошибки — новые цены меньше текущих более чем в 2 раза. Снижайте их постепенно",IF(AND(IFERROR(VALUE(I851),0)=0,ISNUMBER(J851),OR(J851&lt;413,ABS(IFERROR(VALUE(LEFT(M851,FIND("-",M851)-1)),M851))*100&lt;41300)),"Проверьте цену товара. Большинство товаров в выбранной категории стоят дороже 413","")))))),"")</f>
      </c>
    </row>
    <row r="852">
      <c r="A852" s="2" t="inlineStr">
        <is>
          <t/>
        </is>
      </c>
      <c r="B852" s="2" t="inlineStr">
        <is>
          <t>Турки</t>
        </is>
      </c>
      <c r="C852" s="2">
        <v>729507967</v>
      </c>
      <c r="D852" s="2" t="inlineStr">
        <is>
          <t>33033</t>
        </is>
      </c>
      <c r="E852" s="2" t="inlineStr">
        <is>
          <t>2048082797935</t>
        </is>
      </c>
      <c r="F852" s="2">
        <v>1</v>
      </c>
      <c r="G852" s="2">
        <v>22</v>
      </c>
      <c r="H852" s="2">
        <v>999</v>
      </c>
      <c r="I852" s="2" t="inlineStr">
        <is>
          <t>11868</t>
        </is>
      </c>
      <c r="J852" s="4"/>
      <c r="K852" s="2">
        <v>78</v>
      </c>
      <c r="L852" s="6"/>
      <c r="M852" s="2" t="str">
        <f>IF(J852="",ROUND(I852*(1-IF(ISBLANK(L852),K852,L852)/100),2),ROUND(J852*(1-IF(ISBLANK(L852),K852,L852)/100),2))</f>
      </c>
      <c r="N852" s="7" t="str">
        <f>IF(NOT(AND(J852="",L852="")),IF(OR(AND(L852&lt;&gt;"",NOT(ISNUMBER(L852))),IFERROR(MOD(L852,1),1)&gt;0,AND(ISNUMBER(L852),OR(L852&lt;0,L852&gt;95))),"Введите целое число от 0 до 95",IF(OR(AND(J852&lt;&gt;"",NOT(ISNUMBER(J852))),IFERROR(MOD(J852,1),1)&gt;0,AND(ISNUMBER(J852),OR(J852&lt;50,J852&gt;20000000))),"Введите целое число от 50 до 20000000",IF(NOT(ABS(IFERROR(VALUE(LEFT(M852,FIND("-",M852)-1)),M852)*100-(2500+2000000000)/2)&lt;=ABS(2500-2000000000)/2),"Цена со скидкой должна быть от 25 до 20000000",IF(AND(IFERROR(VALUE(LEFT(M852,FIND("-",M852)-1)),M852)*150&lt;=261095,IFERROR(VALUE(LEFT(M852,FIND("-",M852)-1)),M852)*200&gt;261095),"Вы уменьшили цену в несколько раз, товар попадет в карантин цен",IF(IFERROR(VALUE(LEFT(M852,FIND("-",M852)-1)),M852)*200&lt;=261095,"Не сохранили изменения, чтобы защитить от ошибки — новые цены меньше текущих более чем в 2 раза. Снижайте их постепенно",IF(AND(IFERROR(VALUE(I852),0)=0,ISNUMBER(J852),OR(J852&lt;643,ABS(IFERROR(VALUE(LEFT(M852,FIND("-",M852)-1)),M852))*100&lt;64300)),"Проверьте цену товара. Большинство товаров в выбранной категории стоят дороже 643","")))))),"")</f>
      </c>
    </row>
    <row r="853">
      <c r="A853" s="2" t="inlineStr">
        <is>
          <t/>
        </is>
      </c>
      <c r="B853" s="2" t="inlineStr">
        <is>
          <t>Турки</t>
        </is>
      </c>
      <c r="C853" s="2">
        <v>729507965</v>
      </c>
      <c r="D853" s="2" t="inlineStr">
        <is>
          <t>283562</t>
        </is>
      </c>
      <c r="E853" s="2" t="inlineStr">
        <is>
          <t>2048082797911</t>
        </is>
      </c>
      <c r="F853" s="2">
        <v>8</v>
      </c>
      <c r="G853" s="2">
        <v>0</v>
      </c>
      <c r="H853" s="2">
        <v>65</v>
      </c>
      <c r="I853" s="2" t="inlineStr">
        <is>
          <t>4968</t>
        </is>
      </c>
      <c r="J853" s="4"/>
      <c r="K853" s="2">
        <v>83</v>
      </c>
      <c r="L853" s="6"/>
      <c r="M853" s="2" t="str">
        <f>IF(J853="",ROUND(I853*(1-IF(ISBLANK(L853),K853,L853)/100),2),ROUND(J853*(1-IF(ISBLANK(L853),K853,L853)/100),2))</f>
      </c>
      <c r="N853" s="7" t="str">
        <f>IF(NOT(AND(J853="",L853="")),IF(OR(AND(L853&lt;&gt;"",NOT(ISNUMBER(L853))),IFERROR(MOD(L853,1),1)&gt;0,AND(ISNUMBER(L853),OR(L853&lt;0,L853&gt;95))),"Введите целое число от 0 до 95",IF(OR(AND(J853&lt;&gt;"",NOT(ISNUMBER(J853))),IFERROR(MOD(J853,1),1)&gt;0,AND(ISNUMBER(J853),OR(J853&lt;50,J853&gt;20000000))),"Введите целое число от 50 до 20000000",IF(NOT(ABS(IFERROR(VALUE(LEFT(M853,FIND("-",M853)-1)),M853)*100-(2500+2000000000)/2)&lt;=ABS(2500-2000000000)/2),"Цена со скидкой должна быть от 25 до 20000000",IF(AND(IFERROR(VALUE(LEFT(M853,FIND("-",M853)-1)),M853)*150&lt;=84456,IFERROR(VALUE(LEFT(M853,FIND("-",M853)-1)),M853)*200&gt;84456),"Вы уменьшили цену в несколько раз, товар попадет в карантин цен",IF(IFERROR(VALUE(LEFT(M853,FIND("-",M853)-1)),M853)*200&lt;=84456,"Не сохранили изменения, чтобы защитить от ошибки — новые цены меньше текущих более чем в 2 раза. Снижайте их постепенно",IF(AND(IFERROR(VALUE(I853),0)=0,ISNUMBER(J853),OR(J853&lt;643,ABS(IFERROR(VALUE(LEFT(M853,FIND("-",M853)-1)),M853))*100&lt;64300)),"Проверьте цену товара. Большинство товаров в выбранной категории стоят дороже 643","")))))),"")</f>
      </c>
    </row>
    <row r="854">
      <c r="A854" s="2" t="inlineStr">
        <is>
          <t/>
        </is>
      </c>
      <c r="B854" s="2" t="inlineStr">
        <is>
          <t>Турки</t>
        </is>
      </c>
      <c r="C854" s="2">
        <v>729507961</v>
      </c>
      <c r="D854" s="2" t="inlineStr">
        <is>
          <t>82881</t>
        </is>
      </c>
      <c r="E854" s="2" t="inlineStr">
        <is>
          <t>2048082797874</t>
        </is>
      </c>
      <c r="F854" s="2">
        <v>0</v>
      </c>
      <c r="G854" s="2">
        <v>0</v>
      </c>
      <c r="H854" s="2" t="inlineStr">
        <is>
          <t/>
        </is>
      </c>
      <c r="I854" s="2" t="inlineStr">
        <is>
          <t>3956</t>
        </is>
      </c>
      <c r="J854" s="4"/>
      <c r="K854" s="2">
        <v>65</v>
      </c>
      <c r="L854" s="6"/>
      <c r="M854" s="2" t="str">
        <f>IF(J854="",ROUND(I854*(1-IF(ISBLANK(L854),K854,L854)/100),2),ROUND(J854*(1-IF(ISBLANK(L854),K854,L854)/100),2))</f>
      </c>
      <c r="N854" s="7" t="str">
        <f>IF(NOT(AND(J854="",L854="")),IF(OR(AND(L854&lt;&gt;"",NOT(ISNUMBER(L854))),IFERROR(MOD(L854,1),1)&gt;0,AND(ISNUMBER(L854),OR(L854&lt;0,L854&gt;95))),"Введите целое число от 0 до 95",IF(OR(AND(J854&lt;&gt;"",NOT(ISNUMBER(J854))),IFERROR(MOD(J854,1),1)&gt;0,AND(ISNUMBER(J854),OR(J854&lt;50,J854&gt;20000000))),"Введите целое число от 50 до 20000000",IF(NOT(ABS(IFERROR(VALUE(LEFT(M854,FIND("-",M854)-1)),M854)*100-(2500+2000000000)/2)&lt;=ABS(2500-2000000000)/2),"Цена со скидкой должна быть от 25 до 20000000",IF(AND(IFERROR(VALUE(LEFT(M854,FIND("-",M854)-1)),M854)*150&lt;=138460,IFERROR(VALUE(LEFT(M854,FIND("-",M854)-1)),M854)*200&gt;138460),"Вы уменьшили цену в несколько раз, товар попадет в карантин цен",IF(IFERROR(VALUE(LEFT(M854,FIND("-",M854)-1)),M854)*200&lt;=138460,"Не сохранили изменения, чтобы защитить от ошибки — новые цены меньше текущих более чем в 2 раза. Снижайте их постепенно",IF(AND(IFERROR(VALUE(I854),0)=0,ISNUMBER(J854),OR(J854&lt;643,ABS(IFERROR(VALUE(LEFT(M854,FIND("-",M854)-1)),M854))*100&lt;64300)),"Проверьте цену товара. Большинство товаров в выбранной категории стоят дороже 643","")))))),"")</f>
      </c>
    </row>
    <row r="855">
      <c r="A855" s="2" t="inlineStr">
        <is>
          <t/>
        </is>
      </c>
      <c r="B855" s="2" t="inlineStr">
        <is>
          <t>Турки</t>
        </is>
      </c>
      <c r="C855" s="2">
        <v>729507964</v>
      </c>
      <c r="D855" s="2" t="inlineStr">
        <is>
          <t>28715</t>
        </is>
      </c>
      <c r="E855" s="2" t="inlineStr">
        <is>
          <t>2048082797904</t>
        </is>
      </c>
      <c r="F855" s="2">
        <v>15</v>
      </c>
      <c r="G855" s="2">
        <v>0</v>
      </c>
      <c r="H855" s="2">
        <v>999</v>
      </c>
      <c r="I855" s="2" t="inlineStr">
        <is>
          <t>4204</t>
        </is>
      </c>
      <c r="J855" s="4"/>
      <c r="K855" s="2">
        <v>81</v>
      </c>
      <c r="L855" s="6"/>
      <c r="M855" s="2" t="str">
        <f>IF(J855="",ROUND(I855*(1-IF(ISBLANK(L855),K855,L855)/100),2),ROUND(J855*(1-IF(ISBLANK(L855),K855,L855)/100),2))</f>
      </c>
      <c r="N855" s="7" t="str">
        <f>IF(NOT(AND(J855="",L855="")),IF(OR(AND(L855&lt;&gt;"",NOT(ISNUMBER(L855))),IFERROR(MOD(L855,1),1)&gt;0,AND(ISNUMBER(L855),OR(L855&lt;0,L855&gt;95))),"Введите целое число от 0 до 95",IF(OR(AND(J855&lt;&gt;"",NOT(ISNUMBER(J855))),IFERROR(MOD(J855,1),1)&gt;0,AND(ISNUMBER(J855),OR(J855&lt;50,J855&gt;20000000))),"Введите целое число от 50 до 20000000",IF(NOT(ABS(IFERROR(VALUE(LEFT(M855,FIND("-",M855)-1)),M855)*100-(2500+2000000000)/2)&lt;=ABS(2500-2000000000)/2),"Цена со скидкой должна быть от 25 до 20000000",IF(AND(IFERROR(VALUE(LEFT(M855,FIND("-",M855)-1)),M855)*150&lt;=79875,IFERROR(VALUE(LEFT(M855,FIND("-",M855)-1)),M855)*200&gt;79875),"Вы уменьшили цену в несколько раз, товар попадет в карантин цен",IF(IFERROR(VALUE(LEFT(M855,FIND("-",M855)-1)),M855)*200&lt;=79875,"Не сохранили изменения, чтобы защитить от ошибки — новые цены меньше текущих более чем в 2 раза. Снижайте их постепенно",IF(AND(IFERROR(VALUE(I855),0)=0,ISNUMBER(J855),OR(J855&lt;643,ABS(IFERROR(VALUE(LEFT(M855,FIND("-",M855)-1)),M855))*100&lt;64300)),"Проверьте цену товара. Большинство товаров в выбранной категории стоят дороже 643","")))))),"")</f>
      </c>
    </row>
    <row r="856">
      <c r="A856" s="2" t="inlineStr">
        <is>
          <t/>
        </is>
      </c>
      <c r="B856" s="2" t="inlineStr">
        <is>
          <t>Турки</t>
        </is>
      </c>
      <c r="C856" s="2">
        <v>729507963</v>
      </c>
      <c r="D856" s="2" t="inlineStr">
        <is>
          <t>33032</t>
        </is>
      </c>
      <c r="E856" s="2" t="inlineStr">
        <is>
          <t>2048082797898</t>
        </is>
      </c>
      <c r="F856" s="2">
        <v>0</v>
      </c>
      <c r="G856" s="2">
        <v>32</v>
      </c>
      <c r="H856" s="2" t="inlineStr">
        <is>
          <t/>
        </is>
      </c>
      <c r="I856" s="2" t="inlineStr">
        <is>
          <t>14385</t>
        </is>
      </c>
      <c r="J856" s="4"/>
      <c r="K856" s="2">
        <v>75</v>
      </c>
      <c r="L856" s="6"/>
      <c r="M856" s="2" t="str">
        <f>IF(J856="",ROUND(I856*(1-IF(ISBLANK(L856),K856,L856)/100),2),ROUND(J856*(1-IF(ISBLANK(L856),K856,L856)/100),2))</f>
      </c>
      <c r="N856" s="7" t="str">
        <f>IF(NOT(AND(J856="",L856="")),IF(OR(AND(L856&lt;&gt;"",NOT(ISNUMBER(L856))),IFERROR(MOD(L856,1),1)&gt;0,AND(ISNUMBER(L856),OR(L856&lt;0,L856&gt;95))),"Введите целое число от 0 до 95",IF(OR(AND(J856&lt;&gt;"",NOT(ISNUMBER(J856))),IFERROR(MOD(J856,1),1)&gt;0,AND(ISNUMBER(J856),OR(J856&lt;50,J856&gt;20000000))),"Введите целое число от 50 до 20000000",IF(NOT(ABS(IFERROR(VALUE(LEFT(M856,FIND("-",M856)-1)),M856)*100-(2500+2000000000)/2)&lt;=ABS(2500-2000000000)/2),"Цена со скидкой должна быть от 25 до 20000000",IF(AND(IFERROR(VALUE(LEFT(M856,FIND("-",M856)-1)),M856)*150&lt;=359625,IFERROR(VALUE(LEFT(M856,FIND("-",M856)-1)),M856)*200&gt;359625),"Вы уменьшили цену в несколько раз, товар попадет в карантин цен",IF(IFERROR(VALUE(LEFT(M856,FIND("-",M856)-1)),M856)*200&lt;=359625,"Не сохранили изменения, чтобы защитить от ошибки — новые цены меньше текущих более чем в 2 раза. Снижайте их постепенно",IF(AND(IFERROR(VALUE(I856),0)=0,ISNUMBER(J856),OR(J856&lt;643,ABS(IFERROR(VALUE(LEFT(M856,FIND("-",M856)-1)),M856))*100&lt;64300)),"Проверьте цену товара. Большинство товаров в выбранной категории стоят дороже 643","")))))),"")</f>
      </c>
    </row>
    <row r="857">
      <c r="A857" s="2" t="inlineStr">
        <is>
          <t/>
        </is>
      </c>
      <c r="B857" s="2" t="inlineStr">
        <is>
          <t>Турки</t>
        </is>
      </c>
      <c r="C857" s="2">
        <v>729507960</v>
      </c>
      <c r="D857" s="2" t="inlineStr">
        <is>
          <t>283583</t>
        </is>
      </c>
      <c r="E857" s="2" t="inlineStr">
        <is>
          <t>2048082797867</t>
        </is>
      </c>
      <c r="F857" s="2">
        <v>16</v>
      </c>
      <c r="G857" s="2">
        <v>0</v>
      </c>
      <c r="H857" s="2">
        <v>999</v>
      </c>
      <c r="I857" s="2" t="inlineStr">
        <is>
          <t>4256</t>
        </is>
      </c>
      <c r="J857" s="4"/>
      <c r="K857" s="2">
        <v>81</v>
      </c>
      <c r="L857" s="6"/>
      <c r="M857" s="2" t="str">
        <f>IF(J857="",ROUND(I857*(1-IF(ISBLANK(L857),K857,L857)/100),2),ROUND(J857*(1-IF(ISBLANK(L857),K857,L857)/100),2))</f>
      </c>
      <c r="N857" s="7" t="str">
        <f>IF(NOT(AND(J857="",L857="")),IF(OR(AND(L857&lt;&gt;"",NOT(ISNUMBER(L857))),IFERROR(MOD(L857,1),1)&gt;0,AND(ISNUMBER(L857),OR(L857&lt;0,L857&gt;95))),"Введите целое число от 0 до 95",IF(OR(AND(J857&lt;&gt;"",NOT(ISNUMBER(J857))),IFERROR(MOD(J857,1),1)&gt;0,AND(ISNUMBER(J857),OR(J857&lt;50,J857&gt;20000000))),"Введите целое число от 50 до 20000000",IF(NOT(ABS(IFERROR(VALUE(LEFT(M857,FIND("-",M857)-1)),M857)*100-(2500+2000000000)/2)&lt;=ABS(2500-2000000000)/2),"Цена со скидкой должна быть от 25 до 20000000",IF(AND(IFERROR(VALUE(LEFT(M857,FIND("-",M857)-1)),M857)*150&lt;=80863,IFERROR(VALUE(LEFT(M857,FIND("-",M857)-1)),M857)*200&gt;80863),"Вы уменьшили цену в несколько раз, товар попадет в карантин цен",IF(IFERROR(VALUE(LEFT(M857,FIND("-",M857)-1)),M857)*200&lt;=80863,"Не сохранили изменения, чтобы защитить от ошибки — новые цены меньше текущих более чем в 2 раза. Снижайте их постепенно",IF(AND(IFERROR(VALUE(I857),0)=0,ISNUMBER(J857),OR(J857&lt;643,ABS(IFERROR(VALUE(LEFT(M857,FIND("-",M857)-1)),M857))*100&lt;64300)),"Проверьте цену товара. Большинство товаров в выбранной категории стоят дороже 643","")))))),"")</f>
      </c>
    </row>
    <row r="858">
      <c r="A858" s="2" t="inlineStr">
        <is>
          <t/>
        </is>
      </c>
      <c r="B858" s="2" t="inlineStr">
        <is>
          <t>Турки</t>
        </is>
      </c>
      <c r="C858" s="2">
        <v>729507959</v>
      </c>
      <c r="D858" s="2" t="inlineStr">
        <is>
          <t>282970</t>
        </is>
      </c>
      <c r="E858" s="2" t="inlineStr">
        <is>
          <t>2048082797850</t>
        </is>
      </c>
      <c r="F858" s="2">
        <v>4</v>
      </c>
      <c r="G858" s="2">
        <v>0</v>
      </c>
      <c r="H858" s="2">
        <v>999</v>
      </c>
      <c r="I858" s="2" t="inlineStr">
        <is>
          <t>4460</t>
        </is>
      </c>
      <c r="J858" s="4"/>
      <c r="K858" s="2">
        <v>81</v>
      </c>
      <c r="L858" s="6"/>
      <c r="M858" s="2" t="str">
        <f>IF(J858="",ROUND(I858*(1-IF(ISBLANK(L858),K858,L858)/100),2),ROUND(J858*(1-IF(ISBLANK(L858),K858,L858)/100),2))</f>
      </c>
      <c r="N858" s="7" t="str">
        <f>IF(NOT(AND(J858="",L858="")),IF(OR(AND(L858&lt;&gt;"",NOT(ISNUMBER(L858))),IFERROR(MOD(L858,1),1)&gt;0,AND(ISNUMBER(L858),OR(L858&lt;0,L858&gt;95))),"Введите целое число от 0 до 95",IF(OR(AND(J858&lt;&gt;"",NOT(ISNUMBER(J858))),IFERROR(MOD(J858,1),1)&gt;0,AND(ISNUMBER(J858),OR(J858&lt;50,J858&gt;20000000))),"Введите целое число от 50 до 20000000",IF(NOT(ABS(IFERROR(VALUE(LEFT(M858,FIND("-",M858)-1)),M858)*100-(2500+2000000000)/2)&lt;=ABS(2500-2000000000)/2),"Цена со скидкой должна быть от 25 до 20000000",IF(AND(IFERROR(VALUE(LEFT(M858,FIND("-",M858)-1)),M858)*150&lt;=84739,IFERROR(VALUE(LEFT(M858,FIND("-",M858)-1)),M858)*200&gt;84739),"Вы уменьшили цену в несколько раз, товар попадет в карантин цен",IF(IFERROR(VALUE(LEFT(M858,FIND("-",M858)-1)),M858)*200&lt;=84739,"Не сохранили изменения, чтобы защитить от ошибки — новые цены меньше текущих более чем в 2 раза. Снижайте их постепенно",IF(AND(IFERROR(VALUE(I858),0)=0,ISNUMBER(J858),OR(J858&lt;643,ABS(IFERROR(VALUE(LEFT(M858,FIND("-",M858)-1)),M858))*100&lt;64300)),"Проверьте цену товара. Большинство товаров в выбранной категории стоят дороже 643","")))))),"")</f>
      </c>
    </row>
    <row r="859">
      <c r="A859" s="2" t="inlineStr">
        <is>
          <t/>
        </is>
      </c>
      <c r="B859" s="2" t="inlineStr">
        <is>
          <t>Чайники для плиты</t>
        </is>
      </c>
      <c r="C859" s="2">
        <v>729520888</v>
      </c>
      <c r="D859" s="2" t="inlineStr">
        <is>
          <t>820805</t>
        </is>
      </c>
      <c r="E859" s="2" t="inlineStr">
        <is>
          <t>2048082929503</t>
        </is>
      </c>
      <c r="F859" s="2">
        <v>0</v>
      </c>
      <c r="G859" s="2">
        <v>0</v>
      </c>
      <c r="H859" s="2" t="inlineStr">
        <is>
          <t/>
        </is>
      </c>
      <c r="I859" s="2" t="inlineStr">
        <is>
          <t>13844</t>
        </is>
      </c>
      <c r="J859" s="4"/>
      <c r="K859" s="2">
        <v>69</v>
      </c>
      <c r="L859" s="6"/>
      <c r="M859" s="2" t="str">
        <f>IF(J859="",ROUND(I859*(1-IF(ISBLANK(L859),K859,L859)/100),2),ROUND(J859*(1-IF(ISBLANK(L859),K859,L859)/100),2))</f>
      </c>
      <c r="N859" s="7" t="str">
        <f>IF(NOT(AND(J859="",L859="")),IF(OR(AND(L859&lt;&gt;"",NOT(ISNUMBER(L859))),IFERROR(MOD(L859,1),1)&gt;0,AND(ISNUMBER(L859),OR(L859&lt;0,L859&gt;95))),"Введите целое число от 0 до 95",IF(OR(AND(J859&lt;&gt;"",NOT(ISNUMBER(J859))),IFERROR(MOD(J859,1),1)&gt;0,AND(ISNUMBER(J859),OR(J859&lt;50,J859&gt;20000000))),"Введите целое число от 50 до 20000000",IF(NOT(ABS(IFERROR(VALUE(LEFT(M859,FIND("-",M859)-1)),M859)*100-(2500+2000000000)/2)&lt;=ABS(2500-2000000000)/2),"Цена со скидкой должна быть от 25 до 20000000",IF(AND(IFERROR(VALUE(LEFT(M859,FIND("-",M859)-1)),M859)*150&lt;=429164,IFERROR(VALUE(LEFT(M859,FIND("-",M859)-1)),M859)*200&gt;429164),"Вы уменьшили цену в несколько раз, товар попадет в карантин цен",IF(IFERROR(VALUE(LEFT(M859,FIND("-",M859)-1)),M859)*200&lt;=429164,"Не сохранили изменения, чтобы защитить от ошибки — новые цены меньше текущих более чем в 2 раза. Снижайте их постепенно",IF(AND(IFERROR(VALUE(I859),0)=0,ISNUMBER(J859),OR(J859&lt;468,ABS(IFERROR(VALUE(LEFT(M859,FIND("-",M859)-1)),M859))*100&lt;46800)),"Проверьте цену товара. Большинство товаров в выбранной категории стоят дороже 468","")))))),"")</f>
      </c>
    </row>
    <row r="860">
      <c r="A860" s="2" t="inlineStr">
        <is>
          <t/>
        </is>
      </c>
      <c r="B860" s="2" t="inlineStr">
        <is>
          <t>Чайники для плиты</t>
        </is>
      </c>
      <c r="C860" s="2">
        <v>729520826</v>
      </c>
      <c r="D860" s="2" t="inlineStr">
        <is>
          <t>820951</t>
        </is>
      </c>
      <c r="E860" s="2" t="inlineStr">
        <is>
          <t>2048082929015</t>
        </is>
      </c>
      <c r="F860" s="2">
        <v>0</v>
      </c>
      <c r="G860" s="2">
        <v>0</v>
      </c>
      <c r="H860" s="2" t="inlineStr">
        <is>
          <t/>
        </is>
      </c>
      <c r="I860" s="2" t="inlineStr">
        <is>
          <t>13824</t>
        </is>
      </c>
      <c r="J860" s="4"/>
      <c r="K860" s="2">
        <v>65</v>
      </c>
      <c r="L860" s="6"/>
      <c r="M860" s="2" t="str">
        <f>IF(J860="",ROUND(I860*(1-IF(ISBLANK(L860),K860,L860)/100),2),ROUND(J860*(1-IF(ISBLANK(L860),K860,L860)/100),2))</f>
      </c>
      <c r="N860" s="7" t="str">
        <f>IF(NOT(AND(J860="",L860="")),IF(OR(AND(L860&lt;&gt;"",NOT(ISNUMBER(L860))),IFERROR(MOD(L860,1),1)&gt;0,AND(ISNUMBER(L860),OR(L860&lt;0,L860&gt;95))),"Введите целое число от 0 до 95",IF(OR(AND(J860&lt;&gt;"",NOT(ISNUMBER(J860))),IFERROR(MOD(J860,1),1)&gt;0,AND(ISNUMBER(J860),OR(J860&lt;50,J860&gt;20000000))),"Введите целое число от 50 до 20000000",IF(NOT(ABS(IFERROR(VALUE(LEFT(M860,FIND("-",M860)-1)),M860)*100-(2500+2000000000)/2)&lt;=ABS(2500-2000000000)/2),"Цена со скидкой должна быть от 25 до 20000000",IF(AND(IFERROR(VALUE(LEFT(M860,FIND("-",M860)-1)),M860)*150&lt;=483839,IFERROR(VALUE(LEFT(M860,FIND("-",M860)-1)),M860)*200&gt;483839),"Вы уменьшили цену в несколько раз, товар попадет в карантин цен",IF(IFERROR(VALUE(LEFT(M860,FIND("-",M860)-1)),M860)*200&lt;=483839,"Не сохранили изменения, чтобы защитить от ошибки — новые цены меньше текущих более чем в 2 раза. Снижайте их постепенно",IF(AND(IFERROR(VALUE(I860),0)=0,ISNUMBER(J860),OR(J860&lt;468,ABS(IFERROR(VALUE(LEFT(M860,FIND("-",M860)-1)),M860))*100&lt;46800)),"Проверьте цену товара. Большинство товаров в выбранной категории стоят дороже 468","")))))),"")</f>
      </c>
    </row>
    <row r="861">
      <c r="A861" s="2" t="inlineStr">
        <is>
          <t/>
        </is>
      </c>
      <c r="B861" s="2" t="inlineStr">
        <is>
          <t>Чайники для плиты</t>
        </is>
      </c>
      <c r="C861" s="2">
        <v>729520839</v>
      </c>
      <c r="D861" s="2" t="inlineStr">
        <is>
          <t>283573</t>
        </is>
      </c>
      <c r="E861" s="2" t="inlineStr">
        <is>
          <t>2048082929114</t>
        </is>
      </c>
      <c r="F861" s="2">
        <v>0</v>
      </c>
      <c r="G861" s="2">
        <v>0</v>
      </c>
      <c r="H861" s="2" t="inlineStr">
        <is>
          <t/>
        </is>
      </c>
      <c r="I861" s="2" t="inlineStr">
        <is>
          <t>42253</t>
        </is>
      </c>
      <c r="J861" s="4"/>
      <c r="K861" s="2">
        <v>65</v>
      </c>
      <c r="L861" s="6"/>
      <c r="M861" s="2" t="str">
        <f>IF(J861="",ROUND(I861*(1-IF(ISBLANK(L861),K861,L861)/100),2),ROUND(J861*(1-IF(ISBLANK(L861),K861,L861)/100),2))</f>
      </c>
      <c r="N861" s="7" t="str">
        <f>IF(NOT(AND(J861="",L861="")),IF(OR(AND(L861&lt;&gt;"",NOT(ISNUMBER(L861))),IFERROR(MOD(L861,1),1)&gt;0,AND(ISNUMBER(L861),OR(L861&lt;0,L861&gt;95))),"Введите целое число от 0 до 95",IF(OR(AND(J861&lt;&gt;"",NOT(ISNUMBER(J861))),IFERROR(MOD(J861,1),1)&gt;0,AND(ISNUMBER(J861),OR(J861&lt;50,J861&gt;20000000))),"Введите целое число от 50 до 20000000",IF(NOT(ABS(IFERROR(VALUE(LEFT(M861,FIND("-",M861)-1)),M861)*100-(2500+2000000000)/2)&lt;=ABS(2500-2000000000)/2),"Цена со скидкой должна быть от 25 до 20000000",IF(AND(IFERROR(VALUE(LEFT(M861,FIND("-",M861)-1)),M861)*150&lt;=1478855,IFERROR(VALUE(LEFT(M861,FIND("-",M861)-1)),M861)*200&gt;1478855),"Вы уменьшили цену в несколько раз, товар попадет в карантин цен",IF(IFERROR(VALUE(LEFT(M861,FIND("-",M861)-1)),M861)*200&lt;=1478855,"Не сохранили изменения, чтобы защитить от ошибки — новые цены меньше текущих более чем в 2 раза. Снижайте их постепенно",IF(AND(IFERROR(VALUE(I861),0)=0,ISNUMBER(J861),OR(J861&lt;468,ABS(IFERROR(VALUE(LEFT(M861,FIND("-",M861)-1)),M861))*100&lt;46800)),"Проверьте цену товара. Большинство товаров в выбранной категории стоят дороже 468","")))))),"")</f>
      </c>
    </row>
    <row r="862">
      <c r="A862" s="2" t="inlineStr">
        <is>
          <t/>
        </is>
      </c>
      <c r="B862" s="2" t="inlineStr">
        <is>
          <t>Чайники для плиты</t>
        </is>
      </c>
      <c r="C862" s="2">
        <v>729520878</v>
      </c>
      <c r="D862" s="2" t="inlineStr">
        <is>
          <t>821141</t>
        </is>
      </c>
      <c r="E862" s="2" t="inlineStr">
        <is>
          <t>2048082929442</t>
        </is>
      </c>
      <c r="F862" s="2">
        <v>0</v>
      </c>
      <c r="G862" s="2">
        <v>10</v>
      </c>
      <c r="H862" s="2" t="inlineStr">
        <is>
          <t/>
        </is>
      </c>
      <c r="I862" s="2" t="inlineStr">
        <is>
          <t>21222</t>
        </is>
      </c>
      <c r="J862" s="4"/>
      <c r="K862" s="2">
        <v>80</v>
      </c>
      <c r="L862" s="6"/>
      <c r="M862" s="2" t="str">
        <f>IF(J862="",ROUND(I862*(1-IF(ISBLANK(L862),K862,L862)/100),2),ROUND(J862*(1-IF(ISBLANK(L862),K862,L862)/100),2))</f>
      </c>
      <c r="N862" s="7" t="str">
        <f>IF(NOT(AND(J862="",L862="")),IF(OR(AND(L862&lt;&gt;"",NOT(ISNUMBER(L862))),IFERROR(MOD(L862,1),1)&gt;0,AND(ISNUMBER(L862),OR(L862&lt;0,L862&gt;95))),"Введите целое число от 0 до 95",IF(OR(AND(J862&lt;&gt;"",NOT(ISNUMBER(J862))),IFERROR(MOD(J862,1),1)&gt;0,AND(ISNUMBER(J862),OR(J862&lt;50,J862&gt;20000000))),"Введите целое число от 50 до 20000000",IF(NOT(ABS(IFERROR(VALUE(LEFT(M862,FIND("-",M862)-1)),M862)*100-(2500+2000000000)/2)&lt;=ABS(2500-2000000000)/2),"Цена со скидкой должна быть от 25 до 20000000",IF(AND(IFERROR(VALUE(LEFT(M862,FIND("-",M862)-1)),M862)*150&lt;=424439,IFERROR(VALUE(LEFT(M862,FIND("-",M862)-1)),M862)*200&gt;424439),"Вы уменьшили цену в несколько раз, товар попадет в карантин цен",IF(IFERROR(VALUE(LEFT(M862,FIND("-",M862)-1)),M862)*200&lt;=424439,"Не сохранили изменения, чтобы защитить от ошибки — новые цены меньше текущих более чем в 2 раза. Снижайте их постепенно",IF(AND(IFERROR(VALUE(I862),0)=0,ISNUMBER(J862),OR(J862&lt;468,ABS(IFERROR(VALUE(LEFT(M862,FIND("-",M862)-1)),M862))*100&lt;46800)),"Проверьте цену товара. Большинство товаров в выбранной категории стоят дороже 468","")))))),"")</f>
      </c>
    </row>
    <row r="863">
      <c r="A863" s="2" t="inlineStr">
        <is>
          <t/>
        </is>
      </c>
      <c r="B863" s="2" t="inlineStr">
        <is>
          <t>Чайники для плиты</t>
        </is>
      </c>
      <c r="C863" s="2">
        <v>729520768</v>
      </c>
      <c r="D863" s="2" t="inlineStr">
        <is>
          <t>821161</t>
        </is>
      </c>
      <c r="E863" s="2" t="inlineStr">
        <is>
          <t>2048082928445</t>
        </is>
      </c>
      <c r="F863" s="2">
        <v>0</v>
      </c>
      <c r="G863" s="2">
        <v>0</v>
      </c>
      <c r="H863" s="2" t="inlineStr">
        <is>
          <t/>
        </is>
      </c>
      <c r="I863" s="2" t="inlineStr">
        <is>
          <t>16128</t>
        </is>
      </c>
      <c r="J863" s="4"/>
      <c r="K863" s="2">
        <v>65</v>
      </c>
      <c r="L863" s="6"/>
      <c r="M863" s="2" t="str">
        <f>IF(J863="",ROUND(I863*(1-IF(ISBLANK(L863),K863,L863)/100),2),ROUND(J863*(1-IF(ISBLANK(L863),K863,L863)/100),2))</f>
      </c>
      <c r="N863" s="7" t="str">
        <f>IF(NOT(AND(J863="",L863="")),IF(OR(AND(L863&lt;&gt;"",NOT(ISNUMBER(L863))),IFERROR(MOD(L863,1),1)&gt;0,AND(ISNUMBER(L863),OR(L863&lt;0,L863&gt;95))),"Введите целое число от 0 до 95",IF(OR(AND(J863&lt;&gt;"",NOT(ISNUMBER(J863))),IFERROR(MOD(J863,1),1)&gt;0,AND(ISNUMBER(J863),OR(J863&lt;50,J863&gt;20000000))),"Введите целое число от 50 до 20000000",IF(NOT(ABS(IFERROR(VALUE(LEFT(M863,FIND("-",M863)-1)),M863)*100-(2500+2000000000)/2)&lt;=ABS(2500-2000000000)/2),"Цена со скидкой должна быть от 25 до 20000000",IF(AND(IFERROR(VALUE(LEFT(M863,FIND("-",M863)-1)),M863)*150&lt;=564479,IFERROR(VALUE(LEFT(M863,FIND("-",M863)-1)),M863)*200&gt;564479),"Вы уменьшили цену в несколько раз, товар попадет в карантин цен",IF(IFERROR(VALUE(LEFT(M863,FIND("-",M863)-1)),M863)*200&lt;=564479,"Не сохранили изменения, чтобы защитить от ошибки — новые цены меньше текущих более чем в 2 раза. Снижайте их постепенно",IF(AND(IFERROR(VALUE(I863),0)=0,ISNUMBER(J863),OR(J863&lt;468,ABS(IFERROR(VALUE(LEFT(M863,FIND("-",M863)-1)),M863))*100&lt;46800)),"Проверьте цену товара. Большинство товаров в выбранной категории стоят дороже 468","")))))),"")</f>
      </c>
    </row>
    <row r="864">
      <c r="A864" s="2" t="inlineStr">
        <is>
          <t/>
        </is>
      </c>
      <c r="B864" s="2" t="inlineStr">
        <is>
          <t>Чайники для плиты</t>
        </is>
      </c>
      <c r="C864" s="2">
        <v>729520823</v>
      </c>
      <c r="D864" s="2" t="inlineStr">
        <is>
          <t>821349</t>
        </is>
      </c>
      <c r="E864" s="2" t="inlineStr">
        <is>
          <t>2048082928964</t>
        </is>
      </c>
      <c r="F864" s="2">
        <v>0</v>
      </c>
      <c r="G864" s="2">
        <v>0</v>
      </c>
      <c r="H864" s="2" t="inlineStr">
        <is>
          <t/>
        </is>
      </c>
      <c r="I864" s="2" t="inlineStr">
        <is>
          <t>18613</t>
        </is>
      </c>
      <c r="J864" s="4"/>
      <c r="K864" s="2">
        <v>80</v>
      </c>
      <c r="L864" s="6"/>
      <c r="M864" s="2" t="str">
        <f>IF(J864="",ROUND(I864*(1-IF(ISBLANK(L864),K864,L864)/100),2),ROUND(J864*(1-IF(ISBLANK(L864),K864,L864)/100),2))</f>
      </c>
      <c r="N864" s="7" t="str">
        <f>IF(NOT(AND(J864="",L864="")),IF(OR(AND(L864&lt;&gt;"",NOT(ISNUMBER(L864))),IFERROR(MOD(L864,1),1)&gt;0,AND(ISNUMBER(L864),OR(L864&lt;0,L864&gt;95))),"Введите целое число от 0 до 95",IF(OR(AND(J864&lt;&gt;"",NOT(ISNUMBER(J864))),IFERROR(MOD(J864,1),1)&gt;0,AND(ISNUMBER(J864),OR(J864&lt;50,J864&gt;20000000))),"Введите целое число от 50 до 20000000",IF(NOT(ABS(IFERROR(VALUE(LEFT(M864,FIND("-",M864)-1)),M864)*100-(2500+2000000000)/2)&lt;=ABS(2500-2000000000)/2),"Цена со скидкой должна быть от 25 до 20000000",IF(AND(IFERROR(VALUE(LEFT(M864,FIND("-",M864)-1)),M864)*150&lt;=372259,IFERROR(VALUE(LEFT(M864,FIND("-",M864)-1)),M864)*200&gt;372259),"Вы уменьшили цену в несколько раз, товар попадет в карантин цен",IF(IFERROR(VALUE(LEFT(M864,FIND("-",M864)-1)),M864)*200&lt;=372259,"Не сохранили изменения, чтобы защитить от ошибки — новые цены меньше текущих более чем в 2 раза. Снижайте их постепенно",IF(AND(IFERROR(VALUE(I864),0)=0,ISNUMBER(J864),OR(J864&lt;468,ABS(IFERROR(VALUE(LEFT(M864,FIND("-",M864)-1)),M864))*100&lt;46800)),"Проверьте цену товара. Большинство товаров в выбранной категории стоят дороже 468","")))))),"")</f>
      </c>
    </row>
    <row r="865">
      <c r="A865" s="2" t="inlineStr">
        <is>
          <t/>
        </is>
      </c>
      <c r="B865" s="2" t="inlineStr">
        <is>
          <t>Чайники для плиты</t>
        </is>
      </c>
      <c r="C865" s="2">
        <v>729520810</v>
      </c>
      <c r="D865" s="2" t="inlineStr">
        <is>
          <t>22035</t>
        </is>
      </c>
      <c r="E865" s="2" t="inlineStr">
        <is>
          <t>2048082928841</t>
        </is>
      </c>
      <c r="F865" s="2">
        <v>0</v>
      </c>
      <c r="G865" s="2">
        <v>6</v>
      </c>
      <c r="H865" s="2" t="inlineStr">
        <is>
          <t/>
        </is>
      </c>
      <c r="I865" s="2" t="inlineStr">
        <is>
          <t>14032</t>
        </is>
      </c>
      <c r="J865" s="4"/>
      <c r="K865" s="2">
        <v>78</v>
      </c>
      <c r="L865" s="6"/>
      <c r="M865" s="2" t="str">
        <f>IF(J865="",ROUND(I865*(1-IF(ISBLANK(L865),K865,L865)/100),2),ROUND(J865*(1-IF(ISBLANK(L865),K865,L865)/100),2))</f>
      </c>
      <c r="N865" s="7" t="str">
        <f>IF(NOT(AND(J865="",L865="")),IF(OR(AND(L865&lt;&gt;"",NOT(ISNUMBER(L865))),IFERROR(MOD(L865,1),1)&gt;0,AND(ISNUMBER(L865),OR(L865&lt;0,L865&gt;95))),"Введите целое число от 0 до 95",IF(OR(AND(J865&lt;&gt;"",NOT(ISNUMBER(J865))),IFERROR(MOD(J865,1),1)&gt;0,AND(ISNUMBER(J865),OR(J865&lt;50,J865&gt;20000000))),"Введите целое число от 50 до 20000000",IF(NOT(ABS(IFERROR(VALUE(LEFT(M865,FIND("-",M865)-1)),M865)*100-(2500+2000000000)/2)&lt;=ABS(2500-2000000000)/2),"Цена со скидкой должна быть от 25 до 20000000",IF(AND(IFERROR(VALUE(LEFT(M865,FIND("-",M865)-1)),M865)*150&lt;=308703,IFERROR(VALUE(LEFT(M865,FIND("-",M865)-1)),M865)*200&gt;308703),"Вы уменьшили цену в несколько раз, товар попадет в карантин цен",IF(IFERROR(VALUE(LEFT(M865,FIND("-",M865)-1)),M865)*200&lt;=308703,"Не сохранили изменения, чтобы защитить от ошибки — новые цены меньше текущих более чем в 2 раза. Снижайте их постепенно",IF(AND(IFERROR(VALUE(I865),0)=0,ISNUMBER(J865),OR(J865&lt;468,ABS(IFERROR(VALUE(LEFT(M865,FIND("-",M865)-1)),M865))*100&lt;46800)),"Проверьте цену товара. Большинство товаров в выбранной категории стоят дороже 468","")))))),"")</f>
      </c>
    </row>
    <row r="866">
      <c r="A866" s="2" t="inlineStr">
        <is>
          <t/>
        </is>
      </c>
      <c r="B866" s="2" t="inlineStr">
        <is>
          <t>Чайники для плиты</t>
        </is>
      </c>
      <c r="C866" s="2">
        <v>729520890</v>
      </c>
      <c r="D866" s="2" t="inlineStr">
        <is>
          <t>820697</t>
        </is>
      </c>
      <c r="E866" s="2" t="inlineStr">
        <is>
          <t>2048082929510</t>
        </is>
      </c>
      <c r="F866" s="2">
        <v>0</v>
      </c>
      <c r="G866" s="2">
        <v>3</v>
      </c>
      <c r="H866" s="2" t="inlineStr">
        <is>
          <t/>
        </is>
      </c>
      <c r="I866" s="2" t="inlineStr">
        <is>
          <t>21904</t>
        </is>
      </c>
      <c r="J866" s="4"/>
      <c r="K866" s="2">
        <v>80</v>
      </c>
      <c r="L866" s="6"/>
      <c r="M866" s="2" t="str">
        <f>IF(J866="",ROUND(I866*(1-IF(ISBLANK(L866),K866,L866)/100),2),ROUND(J866*(1-IF(ISBLANK(L866),K866,L866)/100),2))</f>
      </c>
      <c r="N866" s="7" t="str">
        <f>IF(NOT(AND(J866="",L866="")),IF(OR(AND(L866&lt;&gt;"",NOT(ISNUMBER(L866))),IFERROR(MOD(L866,1),1)&gt;0,AND(ISNUMBER(L866),OR(L866&lt;0,L866&gt;95))),"Введите целое число от 0 до 95",IF(OR(AND(J866&lt;&gt;"",NOT(ISNUMBER(J866))),IFERROR(MOD(J866,1),1)&gt;0,AND(ISNUMBER(J866),OR(J866&lt;50,J866&gt;20000000))),"Введите целое число от 50 до 20000000",IF(NOT(ABS(IFERROR(VALUE(LEFT(M866,FIND("-",M866)-1)),M866)*100-(2500+2000000000)/2)&lt;=ABS(2500-2000000000)/2),"Цена со скидкой должна быть от 25 до 20000000",IF(AND(IFERROR(VALUE(LEFT(M866,FIND("-",M866)-1)),M866)*150&lt;=438079,IFERROR(VALUE(LEFT(M866,FIND("-",M866)-1)),M866)*200&gt;438079),"Вы уменьшили цену в несколько раз, товар попадет в карантин цен",IF(IFERROR(VALUE(LEFT(M866,FIND("-",M866)-1)),M866)*200&lt;=438079,"Не сохранили изменения, чтобы защитить от ошибки — новые цены меньше текущих более чем в 2 раза. Снижайте их постепенно",IF(AND(IFERROR(VALUE(I866),0)=0,ISNUMBER(J866),OR(J866&lt;468,ABS(IFERROR(VALUE(LEFT(M866,FIND("-",M866)-1)),M866))*100&lt;46800)),"Проверьте цену товара. Большинство товаров в выбранной категории стоят дороже 468","")))))),"")</f>
      </c>
    </row>
    <row r="867">
      <c r="A867" s="2" t="inlineStr">
        <is>
          <t/>
        </is>
      </c>
      <c r="B867" s="2" t="inlineStr">
        <is>
          <t>Чайники для плиты</t>
        </is>
      </c>
      <c r="C867" s="2">
        <v>729520754</v>
      </c>
      <c r="D867" s="2" t="inlineStr">
        <is>
          <t>22031</t>
        </is>
      </c>
      <c r="E867" s="2" t="inlineStr">
        <is>
          <t>2048082928308</t>
        </is>
      </c>
      <c r="F867" s="2">
        <v>0</v>
      </c>
      <c r="G867" s="2">
        <v>9</v>
      </c>
      <c r="H867" s="2" t="inlineStr">
        <is>
          <t/>
        </is>
      </c>
      <c r="I867" s="2" t="inlineStr">
        <is>
          <t>15249</t>
        </is>
      </c>
      <c r="J867" s="4"/>
      <c r="K867" s="2">
        <v>78</v>
      </c>
      <c r="L867" s="6"/>
      <c r="M867" s="2" t="str">
        <f>IF(J867="",ROUND(I867*(1-IF(ISBLANK(L867),K867,L867)/100),2),ROUND(J867*(1-IF(ISBLANK(L867),K867,L867)/100),2))</f>
      </c>
      <c r="N867" s="7" t="str">
        <f>IF(NOT(AND(J867="",L867="")),IF(OR(AND(L867&lt;&gt;"",NOT(ISNUMBER(L867))),IFERROR(MOD(L867,1),1)&gt;0,AND(ISNUMBER(L867),OR(L867&lt;0,L867&gt;95))),"Введите целое число от 0 до 95",IF(OR(AND(J867&lt;&gt;"",NOT(ISNUMBER(J867))),IFERROR(MOD(J867,1),1)&gt;0,AND(ISNUMBER(J867),OR(J867&lt;50,J867&gt;20000000))),"Введите целое число от 50 до 20000000",IF(NOT(ABS(IFERROR(VALUE(LEFT(M867,FIND("-",M867)-1)),M867)*100-(2500+2000000000)/2)&lt;=ABS(2500-2000000000)/2),"Цена со скидкой должна быть от 25 до 20000000",IF(AND(IFERROR(VALUE(LEFT(M867,FIND("-",M867)-1)),M867)*150&lt;=335478,IFERROR(VALUE(LEFT(M867,FIND("-",M867)-1)),M867)*200&gt;335478),"Вы уменьшили цену в несколько раз, товар попадет в карантин цен",IF(IFERROR(VALUE(LEFT(M867,FIND("-",M867)-1)),M867)*200&lt;=335478,"Не сохранили изменения, чтобы защитить от ошибки — новые цены меньше текущих более чем в 2 раза. Снижайте их постепенно",IF(AND(IFERROR(VALUE(I867),0)=0,ISNUMBER(J867),OR(J867&lt;468,ABS(IFERROR(VALUE(LEFT(M867,FIND("-",M867)-1)),M867))*100&lt;46800)),"Проверьте цену товара. Большинство товаров в выбранной категории стоят дороже 468","")))))),"")</f>
      </c>
    </row>
    <row r="868">
      <c r="A868" s="2" t="inlineStr">
        <is>
          <t/>
        </is>
      </c>
      <c r="B868" s="2" t="inlineStr">
        <is>
          <t>Чайники для плиты</t>
        </is>
      </c>
      <c r="C868" s="2">
        <v>729520825</v>
      </c>
      <c r="D868" s="2" t="inlineStr">
        <is>
          <t>821561</t>
        </is>
      </c>
      <c r="E868" s="2" t="inlineStr">
        <is>
          <t>2048082928971</t>
        </is>
      </c>
      <c r="F868" s="2">
        <v>0</v>
      </c>
      <c r="G868" s="2">
        <v>6</v>
      </c>
      <c r="H868" s="2" t="inlineStr">
        <is>
          <t/>
        </is>
      </c>
      <c r="I868" s="2" t="inlineStr">
        <is>
          <t>17613</t>
        </is>
      </c>
      <c r="J868" s="4"/>
      <c r="K868" s="2">
        <v>80</v>
      </c>
      <c r="L868" s="6"/>
      <c r="M868" s="2" t="str">
        <f>IF(J868="",ROUND(I868*(1-IF(ISBLANK(L868),K868,L868)/100),2),ROUND(J868*(1-IF(ISBLANK(L868),K868,L868)/100),2))</f>
      </c>
      <c r="N868" s="7" t="str">
        <f>IF(NOT(AND(J868="",L868="")),IF(OR(AND(L868&lt;&gt;"",NOT(ISNUMBER(L868))),IFERROR(MOD(L868,1),1)&gt;0,AND(ISNUMBER(L868),OR(L868&lt;0,L868&gt;95))),"Введите целое число от 0 до 95",IF(OR(AND(J868&lt;&gt;"",NOT(ISNUMBER(J868))),IFERROR(MOD(J868,1),1)&gt;0,AND(ISNUMBER(J868),OR(J868&lt;50,J868&gt;20000000))),"Введите целое число от 50 до 20000000",IF(NOT(ABS(IFERROR(VALUE(LEFT(M868,FIND("-",M868)-1)),M868)*100-(2500+2000000000)/2)&lt;=ABS(2500-2000000000)/2),"Цена со скидкой должна быть от 25 до 20000000",IF(AND(IFERROR(VALUE(LEFT(M868,FIND("-",M868)-1)),M868)*150&lt;=352259,IFERROR(VALUE(LEFT(M868,FIND("-",M868)-1)),M868)*200&gt;352259),"Вы уменьшили цену в несколько раз, товар попадет в карантин цен",IF(IFERROR(VALUE(LEFT(M868,FIND("-",M868)-1)),M868)*200&lt;=352259,"Не сохранили изменения, чтобы защитить от ошибки — новые цены меньше текущих более чем в 2 раза. Снижайте их постепенно",IF(AND(IFERROR(VALUE(I868),0)=0,ISNUMBER(J868),OR(J868&lt;468,ABS(IFERROR(VALUE(LEFT(M868,FIND("-",M868)-1)),M868))*100&lt;46800)),"Проверьте цену товара. Большинство товаров в выбранной категории стоят дороже 468","")))))),"")</f>
      </c>
    </row>
    <row r="869">
      <c r="A869" s="2" t="inlineStr">
        <is>
          <t/>
        </is>
      </c>
      <c r="B869" s="2" t="inlineStr">
        <is>
          <t>Чайники для плиты</t>
        </is>
      </c>
      <c r="C869" s="2">
        <v>729520781</v>
      </c>
      <c r="D869" s="2" t="inlineStr">
        <is>
          <t>821397</t>
        </is>
      </c>
      <c r="E869" s="2" t="inlineStr">
        <is>
          <t>2048082928568</t>
        </is>
      </c>
      <c r="F869" s="2">
        <v>0</v>
      </c>
      <c r="G869" s="2">
        <v>0</v>
      </c>
      <c r="H869" s="2" t="inlineStr">
        <is>
          <t/>
        </is>
      </c>
      <c r="I869" s="2" t="inlineStr">
        <is>
          <t>21157</t>
        </is>
      </c>
      <c r="J869" s="4"/>
      <c r="K869" s="2">
        <v>69</v>
      </c>
      <c r="L869" s="6"/>
      <c r="M869" s="2" t="str">
        <f>IF(J869="",ROUND(I869*(1-IF(ISBLANK(L869),K869,L869)/100),2),ROUND(J869*(1-IF(ISBLANK(L869),K869,L869)/100),2))</f>
      </c>
      <c r="N869" s="7" t="str">
        <f>IF(NOT(AND(J869="",L869="")),IF(OR(AND(L869&lt;&gt;"",NOT(ISNUMBER(L869))),IFERROR(MOD(L869,1),1)&gt;0,AND(ISNUMBER(L869),OR(L869&lt;0,L869&gt;95))),"Введите целое число от 0 до 95",IF(OR(AND(J869&lt;&gt;"",NOT(ISNUMBER(J869))),IFERROR(MOD(J869,1),1)&gt;0,AND(ISNUMBER(J869),OR(J869&lt;50,J869&gt;20000000))),"Введите целое число от 50 до 20000000",IF(NOT(ABS(IFERROR(VALUE(LEFT(M869,FIND("-",M869)-1)),M869)*100-(2500+2000000000)/2)&lt;=ABS(2500-2000000000)/2),"Цена со скидкой должна быть от 25 до 20000000",IF(AND(IFERROR(VALUE(LEFT(M869,FIND("-",M869)-1)),M869)*150&lt;=655867,IFERROR(VALUE(LEFT(M869,FIND("-",M869)-1)),M869)*200&gt;655867),"Вы уменьшили цену в несколько раз, товар попадет в карантин цен",IF(IFERROR(VALUE(LEFT(M869,FIND("-",M869)-1)),M869)*200&lt;=655867,"Не сохранили изменения, чтобы защитить от ошибки — новые цены меньше текущих более чем в 2 раза. Снижайте их постепенно",IF(AND(IFERROR(VALUE(I869),0)=0,ISNUMBER(J869),OR(J869&lt;468,ABS(IFERROR(VALUE(LEFT(M869,FIND("-",M869)-1)),M869))*100&lt;46800)),"Проверьте цену товара. Большинство товаров в выбранной категории стоят дороже 468","")))))),"")</f>
      </c>
    </row>
    <row r="870">
      <c r="A870" s="2" t="inlineStr">
        <is>
          <t/>
        </is>
      </c>
      <c r="B870" s="2" t="inlineStr">
        <is>
          <t>Чайники для плиты</t>
        </is>
      </c>
      <c r="C870" s="2">
        <v>729520766</v>
      </c>
      <c r="D870" s="2" t="inlineStr">
        <is>
          <t>821351</t>
        </is>
      </c>
      <c r="E870" s="2" t="inlineStr">
        <is>
          <t>2048082928414</t>
        </is>
      </c>
      <c r="F870" s="2">
        <v>0</v>
      </c>
      <c r="G870" s="2">
        <v>0</v>
      </c>
      <c r="H870" s="2" t="inlineStr">
        <is>
          <t/>
        </is>
      </c>
      <c r="I870" s="2" t="inlineStr">
        <is>
          <t>12867</t>
        </is>
      </c>
      <c r="J870" s="4"/>
      <c r="K870" s="2">
        <v>65</v>
      </c>
      <c r="L870" s="6"/>
      <c r="M870" s="2" t="str">
        <f>IF(J870="",ROUND(I870*(1-IF(ISBLANK(L870),K870,L870)/100),2),ROUND(J870*(1-IF(ISBLANK(L870),K870,L870)/100),2))</f>
      </c>
      <c r="N870" s="7" t="str">
        <f>IF(NOT(AND(J870="",L870="")),IF(OR(AND(L870&lt;&gt;"",NOT(ISNUMBER(L870))),IFERROR(MOD(L870,1),1)&gt;0,AND(ISNUMBER(L870),OR(L870&lt;0,L870&gt;95))),"Введите целое число от 0 до 95",IF(OR(AND(J870&lt;&gt;"",NOT(ISNUMBER(J870))),IFERROR(MOD(J870,1),1)&gt;0,AND(ISNUMBER(J870),OR(J870&lt;50,J870&gt;20000000))),"Введите целое число от 50 до 20000000",IF(NOT(ABS(IFERROR(VALUE(LEFT(M870,FIND("-",M870)-1)),M870)*100-(2500+2000000000)/2)&lt;=ABS(2500-2000000000)/2),"Цена со скидкой должна быть от 25 до 20000000",IF(AND(IFERROR(VALUE(LEFT(M870,FIND("-",M870)-1)),M870)*150&lt;=450345,IFERROR(VALUE(LEFT(M870,FIND("-",M870)-1)),M870)*200&gt;450345),"Вы уменьшили цену в несколько раз, товар попадет в карантин цен",IF(IFERROR(VALUE(LEFT(M870,FIND("-",M870)-1)),M870)*200&lt;=450345,"Не сохранили изменения, чтобы защитить от ошибки — новые цены меньше текущих более чем в 2 раза. Снижайте их постепенно",IF(AND(IFERROR(VALUE(I870),0)=0,ISNUMBER(J870),OR(J870&lt;468,ABS(IFERROR(VALUE(LEFT(M870,FIND("-",M870)-1)),M870))*100&lt;46800)),"Проверьте цену товара. Большинство товаров в выбранной категории стоят дороже 468","")))))),"")</f>
      </c>
    </row>
    <row r="871">
      <c r="A871" s="2" t="inlineStr">
        <is>
          <t/>
        </is>
      </c>
      <c r="B871" s="2" t="inlineStr">
        <is>
          <t>Чайники для плиты</t>
        </is>
      </c>
      <c r="C871" s="2">
        <v>729520762</v>
      </c>
      <c r="D871" s="2" t="inlineStr">
        <is>
          <t>821450</t>
        </is>
      </c>
      <c r="E871" s="2" t="inlineStr">
        <is>
          <t>2048082928391</t>
        </is>
      </c>
      <c r="F871" s="2">
        <v>0</v>
      </c>
      <c r="G871" s="2">
        <v>0</v>
      </c>
      <c r="H871" s="2" t="inlineStr">
        <is>
          <t/>
        </is>
      </c>
      <c r="I871" s="2" t="inlineStr">
        <is>
          <t>56024</t>
        </is>
      </c>
      <c r="J871" s="4"/>
      <c r="K871" s="2">
        <v>65</v>
      </c>
      <c r="L871" s="6"/>
      <c r="M871" s="2" t="str">
        <f>IF(J871="",ROUND(I871*(1-IF(ISBLANK(L871),K871,L871)/100),2),ROUND(J871*(1-IF(ISBLANK(L871),K871,L871)/100),2))</f>
      </c>
      <c r="N871" s="7" t="str">
        <f>IF(NOT(AND(J871="",L871="")),IF(OR(AND(L871&lt;&gt;"",NOT(ISNUMBER(L871))),IFERROR(MOD(L871,1),1)&gt;0,AND(ISNUMBER(L871),OR(L871&lt;0,L871&gt;95))),"Введите целое число от 0 до 95",IF(OR(AND(J871&lt;&gt;"",NOT(ISNUMBER(J871))),IFERROR(MOD(J871,1),1)&gt;0,AND(ISNUMBER(J871),OR(J871&lt;50,J871&gt;20000000))),"Введите целое число от 50 до 20000000",IF(NOT(ABS(IFERROR(VALUE(LEFT(M871,FIND("-",M871)-1)),M871)*100-(2500+2000000000)/2)&lt;=ABS(2500-2000000000)/2),"Цена со скидкой должна быть от 25 до 20000000",IF(AND(IFERROR(VALUE(LEFT(M871,FIND("-",M871)-1)),M871)*150&lt;=1960839,IFERROR(VALUE(LEFT(M871,FIND("-",M871)-1)),M871)*200&gt;1960839),"Вы уменьшили цену в несколько раз, товар попадет в карантин цен",IF(IFERROR(VALUE(LEFT(M871,FIND("-",M871)-1)),M871)*200&lt;=1960839,"Не сохранили изменения, чтобы защитить от ошибки — новые цены меньше текущих более чем в 2 раза. Снижайте их постепенно",IF(AND(IFERROR(VALUE(I871),0)=0,ISNUMBER(J871),OR(J871&lt;468,ABS(IFERROR(VALUE(LEFT(M871,FIND("-",M871)-1)),M871))*100&lt;46800)),"Проверьте цену товара. Большинство товаров в выбранной категории стоят дороже 468","")))))),"")</f>
      </c>
    </row>
    <row r="872">
      <c r="A872" s="2" t="inlineStr">
        <is>
          <t/>
        </is>
      </c>
      <c r="B872" s="2" t="inlineStr">
        <is>
          <t>Чайники для плиты</t>
        </is>
      </c>
      <c r="C872" s="2">
        <v>729520758</v>
      </c>
      <c r="D872" s="2" t="inlineStr">
        <is>
          <t>821461</t>
        </is>
      </c>
      <c r="E872" s="2" t="inlineStr">
        <is>
          <t>2048082928339</t>
        </is>
      </c>
      <c r="F872" s="2">
        <v>0</v>
      </c>
      <c r="G872" s="2">
        <v>0</v>
      </c>
      <c r="H872" s="2" t="inlineStr">
        <is>
          <t/>
        </is>
      </c>
      <c r="I872" s="2" t="inlineStr">
        <is>
          <t>20283</t>
        </is>
      </c>
      <c r="J872" s="4"/>
      <c r="K872" s="2">
        <v>67</v>
      </c>
      <c r="L872" s="6"/>
      <c r="M872" s="2" t="str">
        <f>IF(J872="",ROUND(I872*(1-IF(ISBLANK(L872),K872,L872)/100),2),ROUND(J872*(1-IF(ISBLANK(L872),K872,L872)/100),2))</f>
      </c>
      <c r="N872" s="7" t="str">
        <f>IF(NOT(AND(J872="",L872="")),IF(OR(AND(L872&lt;&gt;"",NOT(ISNUMBER(L872))),IFERROR(MOD(L872,1),1)&gt;0,AND(ISNUMBER(L872),OR(L872&lt;0,L872&gt;95))),"Введите целое число от 0 до 95",IF(OR(AND(J872&lt;&gt;"",NOT(ISNUMBER(J872))),IFERROR(MOD(J872,1),1)&gt;0,AND(ISNUMBER(J872),OR(J872&lt;50,J872&gt;20000000))),"Введите целое число от 50 до 20000000",IF(NOT(ABS(IFERROR(VALUE(LEFT(M872,FIND("-",M872)-1)),M872)*100-(2500+2000000000)/2)&lt;=ABS(2500-2000000000)/2),"Цена со скидкой должна быть от 25 до 20000000",IF(AND(IFERROR(VALUE(LEFT(M872,FIND("-",M872)-1)),M872)*150&lt;=669339,IFERROR(VALUE(LEFT(M872,FIND("-",M872)-1)),M872)*200&gt;669339),"Вы уменьшили цену в несколько раз, товар попадет в карантин цен",IF(IFERROR(VALUE(LEFT(M872,FIND("-",M872)-1)),M872)*200&lt;=669339,"Не сохранили изменения, чтобы защитить от ошибки — новые цены меньше текущих более чем в 2 раза. Снижайте их постепенно",IF(AND(IFERROR(VALUE(I872),0)=0,ISNUMBER(J872),OR(J872&lt;468,ABS(IFERROR(VALUE(LEFT(M872,FIND("-",M872)-1)),M872))*100&lt;46800)),"Проверьте цену товара. Большинство товаров в выбранной категории стоят дороже 468","")))))),"")</f>
      </c>
    </row>
    <row r="873">
      <c r="A873" s="2" t="inlineStr">
        <is>
          <t/>
        </is>
      </c>
      <c r="B873" s="2" t="inlineStr">
        <is>
          <t>Чайники для плиты</t>
        </is>
      </c>
      <c r="C873" s="2">
        <v>729520838</v>
      </c>
      <c r="D873" s="2" t="inlineStr">
        <is>
          <t>821460</t>
        </is>
      </c>
      <c r="E873" s="2" t="inlineStr">
        <is>
          <t>2048082929091</t>
        </is>
      </c>
      <c r="F873" s="2">
        <v>0</v>
      </c>
      <c r="G873" s="2">
        <v>0</v>
      </c>
      <c r="H873" s="2" t="inlineStr">
        <is>
          <t/>
        </is>
      </c>
      <c r="I873" s="2" t="inlineStr">
        <is>
          <t>19191</t>
        </is>
      </c>
      <c r="J873" s="4"/>
      <c r="K873" s="2">
        <v>65</v>
      </c>
      <c r="L873" s="6"/>
      <c r="M873" s="2" t="str">
        <f>IF(J873="",ROUND(I873*(1-IF(ISBLANK(L873),K873,L873)/100),2),ROUND(J873*(1-IF(ISBLANK(L873),K873,L873)/100),2))</f>
      </c>
      <c r="N873" s="7" t="str">
        <f>IF(NOT(AND(J873="",L873="")),IF(OR(AND(L873&lt;&gt;"",NOT(ISNUMBER(L873))),IFERROR(MOD(L873,1),1)&gt;0,AND(ISNUMBER(L873),OR(L873&lt;0,L873&gt;95))),"Введите целое число от 0 до 95",IF(OR(AND(J873&lt;&gt;"",NOT(ISNUMBER(J873))),IFERROR(MOD(J873,1),1)&gt;0,AND(ISNUMBER(J873),OR(J873&lt;50,J873&gt;20000000))),"Введите целое число от 50 до 20000000",IF(NOT(ABS(IFERROR(VALUE(LEFT(M873,FIND("-",M873)-1)),M873)*100-(2500+2000000000)/2)&lt;=ABS(2500-2000000000)/2),"Цена со скидкой должна быть от 25 до 20000000",IF(AND(IFERROR(VALUE(LEFT(M873,FIND("-",M873)-1)),M873)*150&lt;=671685,IFERROR(VALUE(LEFT(M873,FIND("-",M873)-1)),M873)*200&gt;671685),"Вы уменьшили цену в несколько раз, товар попадет в карантин цен",IF(IFERROR(VALUE(LEFT(M873,FIND("-",M873)-1)),M873)*200&lt;=671685,"Не сохранили изменения, чтобы защитить от ошибки — новые цены меньше текущих более чем в 2 раза. Снижайте их постепенно",IF(AND(IFERROR(VALUE(I873),0)=0,ISNUMBER(J873),OR(J873&lt;468,ABS(IFERROR(VALUE(LEFT(M873,FIND("-",M873)-1)),M873))*100&lt;46800)),"Проверьте цену товара. Большинство товаров в выбранной категории стоят дороже 468","")))))),"")</f>
      </c>
    </row>
    <row r="874">
      <c r="A874" s="2" t="inlineStr">
        <is>
          <t/>
        </is>
      </c>
      <c r="B874" s="2" t="inlineStr">
        <is>
          <t>Чайники для плиты</t>
        </is>
      </c>
      <c r="C874" s="2">
        <v>729520740</v>
      </c>
      <c r="D874" s="2" t="inlineStr">
        <is>
          <t>821352</t>
        </is>
      </c>
      <c r="E874" s="2" t="inlineStr">
        <is>
          <t>2048082928100</t>
        </is>
      </c>
      <c r="F874" s="2">
        <v>0</v>
      </c>
      <c r="G874" s="2">
        <v>5</v>
      </c>
      <c r="H874" s="2" t="inlineStr">
        <is>
          <t/>
        </is>
      </c>
      <c r="I874" s="2" t="inlineStr">
        <is>
          <t>19393</t>
        </is>
      </c>
      <c r="J874" s="4"/>
      <c r="K874" s="2">
        <v>80</v>
      </c>
      <c r="L874" s="6"/>
      <c r="M874" s="2" t="str">
        <f>IF(J874="",ROUND(I874*(1-IF(ISBLANK(L874),K874,L874)/100),2),ROUND(J874*(1-IF(ISBLANK(L874),K874,L874)/100),2))</f>
      </c>
      <c r="N874" s="7" t="str">
        <f>IF(NOT(AND(J874="",L874="")),IF(OR(AND(L874&lt;&gt;"",NOT(ISNUMBER(L874))),IFERROR(MOD(L874,1),1)&gt;0,AND(ISNUMBER(L874),OR(L874&lt;0,L874&gt;95))),"Введите целое число от 0 до 95",IF(OR(AND(J874&lt;&gt;"",NOT(ISNUMBER(J874))),IFERROR(MOD(J874,1),1)&gt;0,AND(ISNUMBER(J874),OR(J874&lt;50,J874&gt;20000000))),"Введите целое число от 50 до 20000000",IF(NOT(ABS(IFERROR(VALUE(LEFT(M874,FIND("-",M874)-1)),M874)*100-(2500+2000000000)/2)&lt;=ABS(2500-2000000000)/2),"Цена со скидкой должна быть от 25 до 20000000",IF(AND(IFERROR(VALUE(LEFT(M874,FIND("-",M874)-1)),M874)*150&lt;=387859,IFERROR(VALUE(LEFT(M874,FIND("-",M874)-1)),M874)*200&gt;387859),"Вы уменьшили цену в несколько раз, товар попадет в карантин цен",IF(IFERROR(VALUE(LEFT(M874,FIND("-",M874)-1)),M874)*200&lt;=387859,"Не сохранили изменения, чтобы защитить от ошибки — новые цены меньше текущих более чем в 2 раза. Снижайте их постепенно",IF(AND(IFERROR(VALUE(I874),0)=0,ISNUMBER(J874),OR(J874&lt;468,ABS(IFERROR(VALUE(LEFT(M874,FIND("-",M874)-1)),M874))*100&lt;46800)),"Проверьте цену товара. Большинство товаров в выбранной категории стоят дороже 468","")))))),"")</f>
      </c>
    </row>
    <row r="875">
      <c r="A875" s="2" t="inlineStr">
        <is>
          <t/>
        </is>
      </c>
      <c r="B875" s="2" t="inlineStr">
        <is>
          <t>Чайники для плиты</t>
        </is>
      </c>
      <c r="C875" s="2">
        <v>729520919</v>
      </c>
      <c r="D875" s="2" t="inlineStr">
        <is>
          <t>22032</t>
        </is>
      </c>
      <c r="E875" s="2" t="inlineStr">
        <is>
          <t>2048082929701</t>
        </is>
      </c>
      <c r="F875" s="2">
        <v>0</v>
      </c>
      <c r="G875" s="2">
        <v>2</v>
      </c>
      <c r="H875" s="2" t="inlineStr">
        <is>
          <t/>
        </is>
      </c>
      <c r="I875" s="2" t="inlineStr">
        <is>
          <t>15249</t>
        </is>
      </c>
      <c r="J875" s="4"/>
      <c r="K875" s="2">
        <v>78</v>
      </c>
      <c r="L875" s="6"/>
      <c r="M875" s="2" t="str">
        <f>IF(J875="",ROUND(I875*(1-IF(ISBLANK(L875),K875,L875)/100),2),ROUND(J875*(1-IF(ISBLANK(L875),K875,L875)/100),2))</f>
      </c>
      <c r="N875" s="7" t="str">
        <f>IF(NOT(AND(J875="",L875="")),IF(OR(AND(L875&lt;&gt;"",NOT(ISNUMBER(L875))),IFERROR(MOD(L875,1),1)&gt;0,AND(ISNUMBER(L875),OR(L875&lt;0,L875&gt;95))),"Введите целое число от 0 до 95",IF(OR(AND(J875&lt;&gt;"",NOT(ISNUMBER(J875))),IFERROR(MOD(J875,1),1)&gt;0,AND(ISNUMBER(J875),OR(J875&lt;50,J875&gt;20000000))),"Введите целое число от 50 до 20000000",IF(NOT(ABS(IFERROR(VALUE(LEFT(M875,FIND("-",M875)-1)),M875)*100-(2500+2000000000)/2)&lt;=ABS(2500-2000000000)/2),"Цена со скидкой должна быть от 25 до 20000000",IF(AND(IFERROR(VALUE(LEFT(M875,FIND("-",M875)-1)),M875)*150&lt;=335478,IFERROR(VALUE(LEFT(M875,FIND("-",M875)-1)),M875)*200&gt;335478),"Вы уменьшили цену в несколько раз, товар попадет в карантин цен",IF(IFERROR(VALUE(LEFT(M875,FIND("-",M875)-1)),M875)*200&lt;=335478,"Не сохранили изменения, чтобы защитить от ошибки — новые цены меньше текущих более чем в 2 раза. Снижайте их постепенно",IF(AND(IFERROR(VALUE(I875),0)=0,ISNUMBER(J875),OR(J875&lt;468,ABS(IFERROR(VALUE(LEFT(M875,FIND("-",M875)-1)),M875))*100&lt;46800)),"Проверьте цену товара. Большинство товаров в выбранной категории стоят дороже 468","")))))),"")</f>
      </c>
    </row>
    <row r="876">
      <c r="A876" s="2" t="inlineStr">
        <is>
          <t/>
        </is>
      </c>
      <c r="B876" s="2" t="inlineStr">
        <is>
          <t>Чайники для плиты</t>
        </is>
      </c>
      <c r="C876" s="2">
        <v>729520742</v>
      </c>
      <c r="D876" s="2" t="inlineStr">
        <is>
          <t>821195</t>
        </is>
      </c>
      <c r="E876" s="2" t="inlineStr">
        <is>
          <t>2048082928124</t>
        </is>
      </c>
      <c r="F876" s="2">
        <v>0</v>
      </c>
      <c r="G876" s="2">
        <v>1</v>
      </c>
      <c r="H876" s="2" t="inlineStr">
        <is>
          <t/>
        </is>
      </c>
      <c r="I876" s="2" t="inlineStr">
        <is>
          <t>18018</t>
        </is>
      </c>
      <c r="J876" s="4"/>
      <c r="K876" s="2">
        <v>80</v>
      </c>
      <c r="L876" s="6"/>
      <c r="M876" s="2" t="str">
        <f>IF(J876="",ROUND(I876*(1-IF(ISBLANK(L876),K876,L876)/100),2),ROUND(J876*(1-IF(ISBLANK(L876),K876,L876)/100),2))</f>
      </c>
      <c r="N876" s="7" t="str">
        <f>IF(NOT(AND(J876="",L876="")),IF(OR(AND(L876&lt;&gt;"",NOT(ISNUMBER(L876))),IFERROR(MOD(L876,1),1)&gt;0,AND(ISNUMBER(L876),OR(L876&lt;0,L876&gt;95))),"Введите целое число от 0 до 95",IF(OR(AND(J876&lt;&gt;"",NOT(ISNUMBER(J876))),IFERROR(MOD(J876,1),1)&gt;0,AND(ISNUMBER(J876),OR(J876&lt;50,J876&gt;20000000))),"Введите целое число от 50 до 20000000",IF(NOT(ABS(IFERROR(VALUE(LEFT(M876,FIND("-",M876)-1)),M876)*100-(2500+2000000000)/2)&lt;=ABS(2500-2000000000)/2),"Цена со скидкой должна быть от 25 до 20000000",IF(AND(IFERROR(VALUE(LEFT(M876,FIND("-",M876)-1)),M876)*150&lt;=360359,IFERROR(VALUE(LEFT(M876,FIND("-",M876)-1)),M876)*200&gt;360359),"Вы уменьшили цену в несколько раз, товар попадет в карантин цен",IF(IFERROR(VALUE(LEFT(M876,FIND("-",M876)-1)),M876)*200&lt;=360359,"Не сохранили изменения, чтобы защитить от ошибки — новые цены меньше текущих более чем в 2 раза. Снижайте их постепенно",IF(AND(IFERROR(VALUE(I876),0)=0,ISNUMBER(J876),OR(J876&lt;468,ABS(IFERROR(VALUE(LEFT(M876,FIND("-",M876)-1)),M876))*100&lt;46800)),"Проверьте цену товара. Большинство товаров в выбранной категории стоят дороже 468","")))))),"")</f>
      </c>
    </row>
    <row r="877">
      <c r="A877" s="2" t="inlineStr">
        <is>
          <t/>
        </is>
      </c>
      <c r="B877" s="2" t="inlineStr">
        <is>
          <t>Чайники для плиты</t>
        </is>
      </c>
      <c r="C877" s="2">
        <v>729520727</v>
      </c>
      <c r="D877" s="2" t="inlineStr">
        <is>
          <t>281984</t>
        </is>
      </c>
      <c r="E877" s="2" t="inlineStr">
        <is>
          <t>2048082927967</t>
        </is>
      </c>
      <c r="F877" s="2">
        <v>0</v>
      </c>
      <c r="G877" s="2">
        <v>0</v>
      </c>
      <c r="H877" s="2" t="inlineStr">
        <is>
          <t/>
        </is>
      </c>
      <c r="I877" s="2" t="inlineStr">
        <is>
          <t>43776</t>
        </is>
      </c>
      <c r="J877" s="4"/>
      <c r="K877" s="2">
        <v>65</v>
      </c>
      <c r="L877" s="6"/>
      <c r="M877" s="2" t="str">
        <f>IF(J877="",ROUND(I877*(1-IF(ISBLANK(L877),K877,L877)/100),2),ROUND(J877*(1-IF(ISBLANK(L877),K877,L877)/100),2))</f>
      </c>
      <c r="N877" s="7" t="str">
        <f>IF(NOT(AND(J877="",L877="")),IF(OR(AND(L877&lt;&gt;"",NOT(ISNUMBER(L877))),IFERROR(MOD(L877,1),1)&gt;0,AND(ISNUMBER(L877),OR(L877&lt;0,L877&gt;95))),"Введите целое число от 0 до 95",IF(OR(AND(J877&lt;&gt;"",NOT(ISNUMBER(J877))),IFERROR(MOD(J877,1),1)&gt;0,AND(ISNUMBER(J877),OR(J877&lt;50,J877&gt;20000000))),"Введите целое число от 50 до 20000000",IF(NOT(ABS(IFERROR(VALUE(LEFT(M877,FIND("-",M877)-1)),M877)*100-(2500+2000000000)/2)&lt;=ABS(2500-2000000000)/2),"Цена со скидкой должна быть от 25 до 20000000",IF(AND(IFERROR(VALUE(LEFT(M877,FIND("-",M877)-1)),M877)*150&lt;=1532159,IFERROR(VALUE(LEFT(M877,FIND("-",M877)-1)),M877)*200&gt;1532159),"Вы уменьшили цену в несколько раз, товар попадет в карантин цен",IF(IFERROR(VALUE(LEFT(M877,FIND("-",M877)-1)),M877)*200&lt;=1532159,"Не сохранили изменения, чтобы защитить от ошибки — новые цены меньше текущих более чем в 2 раза. Снижайте их постепенно",IF(AND(IFERROR(VALUE(I877),0)=0,ISNUMBER(J877),OR(J877&lt;468,ABS(IFERROR(VALUE(LEFT(M877,FIND("-",M877)-1)),M877))*100&lt;46800)),"Проверьте цену товара. Большинство товаров в выбранной категории стоят дороже 468","")))))),"")</f>
      </c>
    </row>
    <row r="878">
      <c r="A878" s="2" t="inlineStr">
        <is>
          <t/>
        </is>
      </c>
      <c r="B878" s="2" t="inlineStr">
        <is>
          <t>Чайники для плиты</t>
        </is>
      </c>
      <c r="C878" s="2">
        <v>729520724</v>
      </c>
      <c r="D878" s="2" t="inlineStr">
        <is>
          <t>821398</t>
        </is>
      </c>
      <c r="E878" s="2" t="inlineStr">
        <is>
          <t>2048082927943</t>
        </is>
      </c>
      <c r="F878" s="2">
        <v>0</v>
      </c>
      <c r="G878" s="2">
        <v>0</v>
      </c>
      <c r="H878" s="2" t="inlineStr">
        <is>
          <t/>
        </is>
      </c>
      <c r="I878" s="2" t="inlineStr">
        <is>
          <t>20283</t>
        </is>
      </c>
      <c r="J878" s="4"/>
      <c r="K878" s="2">
        <v>65</v>
      </c>
      <c r="L878" s="6"/>
      <c r="M878" s="2" t="str">
        <f>IF(J878="",ROUND(I878*(1-IF(ISBLANK(L878),K878,L878)/100),2),ROUND(J878*(1-IF(ISBLANK(L878),K878,L878)/100),2))</f>
      </c>
      <c r="N878" s="7" t="str">
        <f>IF(NOT(AND(J878="",L878="")),IF(OR(AND(L878&lt;&gt;"",NOT(ISNUMBER(L878))),IFERROR(MOD(L878,1),1)&gt;0,AND(ISNUMBER(L878),OR(L878&lt;0,L878&gt;95))),"Введите целое число от 0 до 95",IF(OR(AND(J878&lt;&gt;"",NOT(ISNUMBER(J878))),IFERROR(MOD(J878,1),1)&gt;0,AND(ISNUMBER(J878),OR(J878&lt;50,J878&gt;20000000))),"Введите целое число от 50 до 20000000",IF(NOT(ABS(IFERROR(VALUE(LEFT(M878,FIND("-",M878)-1)),M878)*100-(2500+2000000000)/2)&lt;=ABS(2500-2000000000)/2),"Цена со скидкой должна быть от 25 до 20000000",IF(AND(IFERROR(VALUE(LEFT(M878,FIND("-",M878)-1)),M878)*150&lt;=709904,IFERROR(VALUE(LEFT(M878,FIND("-",M878)-1)),M878)*200&gt;709904),"Вы уменьшили цену в несколько раз, товар попадет в карантин цен",IF(IFERROR(VALUE(LEFT(M878,FIND("-",M878)-1)),M878)*200&lt;=709904,"Не сохранили изменения, чтобы защитить от ошибки — новые цены меньше текущих более чем в 2 раза. Снижайте их постепенно",IF(AND(IFERROR(VALUE(I878),0)=0,ISNUMBER(J878),OR(J878&lt;468,ABS(IFERROR(VALUE(LEFT(M878,FIND("-",M878)-1)),M878))*100&lt;46800)),"Проверьте цену товара. Большинство товаров в выбранной категории стоят дороже 468","")))))),"")</f>
      </c>
    </row>
    <row r="879">
      <c r="A879" s="2" t="inlineStr">
        <is>
          <t/>
        </is>
      </c>
      <c r="B879" s="2" t="inlineStr">
        <is>
          <t>Чайники для плиты</t>
        </is>
      </c>
      <c r="C879" s="2">
        <v>729520786</v>
      </c>
      <c r="D879" s="2" t="inlineStr">
        <is>
          <t>820842</t>
        </is>
      </c>
      <c r="E879" s="2" t="inlineStr">
        <is>
          <t>2048082928636</t>
        </is>
      </c>
      <c r="F879" s="2">
        <v>0</v>
      </c>
      <c r="G879" s="2">
        <v>0</v>
      </c>
      <c r="H879" s="2" t="inlineStr">
        <is>
          <t/>
        </is>
      </c>
      <c r="I879" s="2" t="inlineStr">
        <is>
          <t>20709</t>
        </is>
      </c>
      <c r="J879" s="4"/>
      <c r="K879" s="2">
        <v>65</v>
      </c>
      <c r="L879" s="6"/>
      <c r="M879" s="2" t="str">
        <f>IF(J879="",ROUND(I879*(1-IF(ISBLANK(L879),K879,L879)/100),2),ROUND(J879*(1-IF(ISBLANK(L879),K879,L879)/100),2))</f>
      </c>
      <c r="N879" s="7" t="str">
        <f>IF(NOT(AND(J879="",L879="")),IF(OR(AND(L879&lt;&gt;"",NOT(ISNUMBER(L879))),IFERROR(MOD(L879,1),1)&gt;0,AND(ISNUMBER(L879),OR(L879&lt;0,L879&gt;95))),"Введите целое число от 0 до 95",IF(OR(AND(J879&lt;&gt;"",NOT(ISNUMBER(J879))),IFERROR(MOD(J879,1),1)&gt;0,AND(ISNUMBER(J879),OR(J879&lt;50,J879&gt;20000000))),"Введите целое число от 50 до 20000000",IF(NOT(ABS(IFERROR(VALUE(LEFT(M879,FIND("-",M879)-1)),M879)*100-(2500+2000000000)/2)&lt;=ABS(2500-2000000000)/2),"Цена со скидкой должна быть от 25 до 20000000",IF(AND(IFERROR(VALUE(LEFT(M879,FIND("-",M879)-1)),M879)*150&lt;=724815,IFERROR(VALUE(LEFT(M879,FIND("-",M879)-1)),M879)*200&gt;724815),"Вы уменьшили цену в несколько раз, товар попадет в карантин цен",IF(IFERROR(VALUE(LEFT(M879,FIND("-",M879)-1)),M879)*200&lt;=724815,"Не сохранили изменения, чтобы защитить от ошибки — новые цены меньше текущих более чем в 2 раза. Снижайте их постепенно",IF(AND(IFERROR(VALUE(I879),0)=0,ISNUMBER(J879),OR(J879&lt;468,ABS(IFERROR(VALUE(LEFT(M879,FIND("-",M879)-1)),M879))*100&lt;46800)),"Проверьте цену товара. Большинство товаров в выбранной категории стоят дороже 468","")))))),"")</f>
      </c>
    </row>
    <row r="880">
      <c r="A880" s="2" t="inlineStr">
        <is>
          <t/>
        </is>
      </c>
      <c r="B880" s="2" t="inlineStr">
        <is>
          <t>Чайники для плиты</t>
        </is>
      </c>
      <c r="C880" s="2">
        <v>729520885</v>
      </c>
      <c r="D880" s="2" t="inlineStr">
        <is>
          <t>820342</t>
        </is>
      </c>
      <c r="E880" s="2" t="inlineStr">
        <is>
          <t>2048082929473</t>
        </is>
      </c>
      <c r="F880" s="2">
        <v>0</v>
      </c>
      <c r="G880" s="2">
        <v>0</v>
      </c>
      <c r="H880" s="2" t="inlineStr">
        <is>
          <t/>
        </is>
      </c>
      <c r="I880" s="2" t="inlineStr">
        <is>
          <t>35872</t>
        </is>
      </c>
      <c r="J880" s="4"/>
      <c r="K880" s="2">
        <v>65</v>
      </c>
      <c r="L880" s="6"/>
      <c r="M880" s="2" t="str">
        <f>IF(J880="",ROUND(I880*(1-IF(ISBLANK(L880),K880,L880)/100),2),ROUND(J880*(1-IF(ISBLANK(L880),K880,L880)/100),2))</f>
      </c>
      <c r="N880" s="7" t="str">
        <f>IF(NOT(AND(J880="",L880="")),IF(OR(AND(L880&lt;&gt;"",NOT(ISNUMBER(L880))),IFERROR(MOD(L880,1),1)&gt;0,AND(ISNUMBER(L880),OR(L880&lt;0,L880&gt;95))),"Введите целое число от 0 до 95",IF(OR(AND(J880&lt;&gt;"",NOT(ISNUMBER(J880))),IFERROR(MOD(J880,1),1)&gt;0,AND(ISNUMBER(J880),OR(J880&lt;50,J880&gt;20000000))),"Введите целое число от 50 до 20000000",IF(NOT(ABS(IFERROR(VALUE(LEFT(M880,FIND("-",M880)-1)),M880)*100-(2500+2000000000)/2)&lt;=ABS(2500-2000000000)/2),"Цена со скидкой должна быть от 25 до 20000000",IF(AND(IFERROR(VALUE(LEFT(M880,FIND("-",M880)-1)),M880)*150&lt;=1255520,IFERROR(VALUE(LEFT(M880,FIND("-",M880)-1)),M880)*200&gt;1255520),"Вы уменьшили цену в несколько раз, товар попадет в карантин цен",IF(IFERROR(VALUE(LEFT(M880,FIND("-",M880)-1)),M880)*200&lt;=1255520,"Не сохранили изменения, чтобы защитить от ошибки — новые цены меньше текущих более чем в 2 раза. Снижайте их постепенно",IF(AND(IFERROR(VALUE(I880),0)=0,ISNUMBER(J880),OR(J880&lt;468,ABS(IFERROR(VALUE(LEFT(M880,FIND("-",M880)-1)),M880))*100&lt;46800)),"Проверьте цену товара. Большинство товаров в выбранной категории стоят дороже 468","")))))),"")</f>
      </c>
    </row>
    <row r="881">
      <c r="A881" s="2" t="inlineStr">
        <is>
          <t/>
        </is>
      </c>
      <c r="B881" s="2" t="inlineStr">
        <is>
          <t>Чайники для плиты</t>
        </is>
      </c>
      <c r="C881" s="2">
        <v>729520734</v>
      </c>
      <c r="D881" s="2" t="inlineStr">
        <is>
          <t>820542</t>
        </is>
      </c>
      <c r="E881" s="2" t="inlineStr">
        <is>
          <t>2048082928032</t>
        </is>
      </c>
      <c r="F881" s="2">
        <v>0</v>
      </c>
      <c r="G881" s="2">
        <v>0</v>
      </c>
      <c r="H881" s="2" t="inlineStr">
        <is>
          <t/>
        </is>
      </c>
      <c r="I881" s="2" t="inlineStr">
        <is>
          <t>16464</t>
        </is>
      </c>
      <c r="J881" s="4"/>
      <c r="K881" s="2">
        <v>78</v>
      </c>
      <c r="L881" s="6"/>
      <c r="M881" s="2" t="str">
        <f>IF(J881="",ROUND(I881*(1-IF(ISBLANK(L881),K881,L881)/100),2),ROUND(J881*(1-IF(ISBLANK(L881),K881,L881)/100),2))</f>
      </c>
      <c r="N881" s="7" t="str">
        <f>IF(NOT(AND(J881="",L881="")),IF(OR(AND(L881&lt;&gt;"",NOT(ISNUMBER(L881))),IFERROR(MOD(L881,1),1)&gt;0,AND(ISNUMBER(L881),OR(L881&lt;0,L881&gt;95))),"Введите целое число от 0 до 95",IF(OR(AND(J881&lt;&gt;"",NOT(ISNUMBER(J881))),IFERROR(MOD(J881,1),1)&gt;0,AND(ISNUMBER(J881),OR(J881&lt;50,J881&gt;20000000))),"Введите целое число от 50 до 20000000",IF(NOT(ABS(IFERROR(VALUE(LEFT(M881,FIND("-",M881)-1)),M881)*100-(2500+2000000000)/2)&lt;=ABS(2500-2000000000)/2),"Цена со скидкой должна быть от 25 до 20000000",IF(AND(IFERROR(VALUE(LEFT(M881,FIND("-",M881)-1)),M881)*150&lt;=362207,IFERROR(VALUE(LEFT(M881,FIND("-",M881)-1)),M881)*200&gt;362207),"Вы уменьшили цену в несколько раз, товар попадет в карантин цен",IF(IFERROR(VALUE(LEFT(M881,FIND("-",M881)-1)),M881)*200&lt;=362207,"Не сохранили изменения, чтобы защитить от ошибки — новые цены меньше текущих более чем в 2 раза. Снижайте их постепенно",IF(AND(IFERROR(VALUE(I881),0)=0,ISNUMBER(J881),OR(J881&lt;468,ABS(IFERROR(VALUE(LEFT(M881,FIND("-",M881)-1)),M881))*100&lt;46800)),"Проверьте цену товара. Большинство товаров в выбранной категории стоят дороже 468","")))))),"")</f>
      </c>
    </row>
    <row r="882">
      <c r="A882" s="2" t="inlineStr">
        <is>
          <t/>
        </is>
      </c>
      <c r="B882" s="2" t="inlineStr">
        <is>
          <t>Чайники для плиты</t>
        </is>
      </c>
      <c r="C882" s="2">
        <v>729523281</v>
      </c>
      <c r="D882" s="2" t="inlineStr">
        <is>
          <t>821454</t>
        </is>
      </c>
      <c r="E882" s="2" t="inlineStr">
        <is>
          <t>2048082956684</t>
        </is>
      </c>
      <c r="F882" s="2">
        <v>0</v>
      </c>
      <c r="G882" s="2">
        <v>0</v>
      </c>
      <c r="H882" s="2" t="inlineStr">
        <is>
          <t/>
        </is>
      </c>
      <c r="I882" s="2" t="inlineStr">
        <is>
          <t>20566</t>
        </is>
      </c>
      <c r="J882" s="4"/>
      <c r="K882" s="2">
        <v>65</v>
      </c>
      <c r="L882" s="6"/>
      <c r="M882" s="2" t="str">
        <f>IF(J882="",ROUND(I882*(1-IF(ISBLANK(L882),K882,L882)/100),2),ROUND(J882*(1-IF(ISBLANK(L882),K882,L882)/100),2))</f>
      </c>
      <c r="N882" s="7" t="str">
        <f>IF(NOT(AND(J882="",L882="")),IF(OR(AND(L882&lt;&gt;"",NOT(ISNUMBER(L882))),IFERROR(MOD(L882,1),1)&gt;0,AND(ISNUMBER(L882),OR(L882&lt;0,L882&gt;95))),"Введите целое число от 0 до 95",IF(OR(AND(J882&lt;&gt;"",NOT(ISNUMBER(J882))),IFERROR(MOD(J882,1),1)&gt;0,AND(ISNUMBER(J882),OR(J882&lt;50,J882&gt;20000000))),"Введите целое число от 50 до 20000000",IF(NOT(ABS(IFERROR(VALUE(LEFT(M882,FIND("-",M882)-1)),M882)*100-(2500+2000000000)/2)&lt;=ABS(2500-2000000000)/2),"Цена со скидкой должна быть от 25 до 20000000",IF(AND(IFERROR(VALUE(LEFT(M882,FIND("-",M882)-1)),M882)*150&lt;=719810,IFERROR(VALUE(LEFT(M882,FIND("-",M882)-1)),M882)*200&gt;719810),"Вы уменьшили цену в несколько раз, товар попадет в карантин цен",IF(IFERROR(VALUE(LEFT(M882,FIND("-",M882)-1)),M882)*200&lt;=719810,"Не сохранили изменения, чтобы защитить от ошибки — новые цены меньше текущих более чем в 2 раза. Снижайте их постепенно",IF(AND(IFERROR(VALUE(I882),0)=0,ISNUMBER(J882),OR(J882&lt;468,ABS(IFERROR(VALUE(LEFT(M882,FIND("-",M882)-1)),M882))*100&lt;46800)),"Проверьте цену товара. Большинство товаров в выбранной категории стоят дороже 468","")))))),"")</f>
      </c>
    </row>
    <row r="883">
      <c r="A883" s="2" t="inlineStr">
        <is>
          <t/>
        </is>
      </c>
      <c r="B883" s="2" t="inlineStr">
        <is>
          <t>Чайники для плиты</t>
        </is>
      </c>
      <c r="C883" s="2">
        <v>729520940</v>
      </c>
      <c r="D883" s="2" t="inlineStr">
        <is>
          <t>22033</t>
        </is>
      </c>
      <c r="E883" s="2" t="inlineStr">
        <is>
          <t>2048082929770</t>
        </is>
      </c>
      <c r="F883" s="2">
        <v>1</v>
      </c>
      <c r="G883" s="2">
        <v>1</v>
      </c>
      <c r="H883" s="2">
        <v>1</v>
      </c>
      <c r="I883" s="2" t="inlineStr">
        <is>
          <t>14332</t>
        </is>
      </c>
      <c r="J883" s="4"/>
      <c r="K883" s="2">
        <v>75</v>
      </c>
      <c r="L883" s="6"/>
      <c r="M883" s="2" t="str">
        <f>IF(J883="",ROUND(I883*(1-IF(ISBLANK(L883),K883,L883)/100),2),ROUND(J883*(1-IF(ISBLANK(L883),K883,L883)/100),2))</f>
      </c>
      <c r="N883" s="7" t="str">
        <f>IF(NOT(AND(J883="",L883="")),IF(OR(AND(L883&lt;&gt;"",NOT(ISNUMBER(L883))),IFERROR(MOD(L883,1),1)&gt;0,AND(ISNUMBER(L883),OR(L883&lt;0,L883&gt;95))),"Введите целое число от 0 до 95",IF(OR(AND(J883&lt;&gt;"",NOT(ISNUMBER(J883))),IFERROR(MOD(J883,1),1)&gt;0,AND(ISNUMBER(J883),OR(J883&lt;50,J883&gt;20000000))),"Введите целое число от 50 до 20000000",IF(NOT(ABS(IFERROR(VALUE(LEFT(M883,FIND("-",M883)-1)),M883)*100-(2500+2000000000)/2)&lt;=ABS(2500-2000000000)/2),"Цена со скидкой должна быть от 25 до 20000000",IF(AND(IFERROR(VALUE(LEFT(M883,FIND("-",M883)-1)),M883)*150&lt;=358300,IFERROR(VALUE(LEFT(M883,FIND("-",M883)-1)),M883)*200&gt;358300),"Вы уменьшили цену в несколько раз, товар попадет в карантин цен",IF(IFERROR(VALUE(LEFT(M883,FIND("-",M883)-1)),M883)*200&lt;=358300,"Не сохранили изменения, чтобы защитить от ошибки — новые цены меньше текущих более чем в 2 раза. Снижайте их постепенно",IF(AND(IFERROR(VALUE(I883),0)=0,ISNUMBER(J883),OR(J883&lt;468,ABS(IFERROR(VALUE(LEFT(M883,FIND("-",M883)-1)),M883))*100&lt;46800)),"Проверьте цену товара. Большинство товаров в выбранной категории стоят дороже 468","")))))),"")</f>
      </c>
    </row>
    <row r="884">
      <c r="A884" s="2" t="inlineStr">
        <is>
          <t/>
        </is>
      </c>
      <c r="B884" s="2" t="inlineStr">
        <is>
          <t>Чайники для плиты</t>
        </is>
      </c>
      <c r="C884" s="2">
        <v>729520755</v>
      </c>
      <c r="D884" s="2" t="inlineStr">
        <is>
          <t>282590</t>
        </is>
      </c>
      <c r="E884" s="2" t="inlineStr">
        <is>
          <t>2048082928315</t>
        </is>
      </c>
      <c r="F884" s="2">
        <v>9</v>
      </c>
      <c r="G884" s="2">
        <v>0</v>
      </c>
      <c r="H884" s="2">
        <v>999</v>
      </c>
      <c r="I884" s="2" t="inlineStr">
        <is>
          <t>15257</t>
        </is>
      </c>
      <c r="J884" s="4"/>
      <c r="K884" s="2">
        <v>79</v>
      </c>
      <c r="L884" s="6"/>
      <c r="M884" s="2" t="str">
        <f>IF(J884="",ROUND(I884*(1-IF(ISBLANK(L884),K884,L884)/100),2),ROUND(J884*(1-IF(ISBLANK(L884),K884,L884)/100),2))</f>
      </c>
      <c r="N884" s="7" t="str">
        <f>IF(NOT(AND(J884="",L884="")),IF(OR(AND(L884&lt;&gt;"",NOT(ISNUMBER(L884))),IFERROR(MOD(L884,1),1)&gt;0,AND(ISNUMBER(L884),OR(L884&lt;0,L884&gt;95))),"Введите целое число от 0 до 95",IF(OR(AND(J884&lt;&gt;"",NOT(ISNUMBER(J884))),IFERROR(MOD(J884,1),1)&gt;0,AND(ISNUMBER(J884),OR(J884&lt;50,J884&gt;20000000))),"Введите целое число от 50 до 20000000",IF(NOT(ABS(IFERROR(VALUE(LEFT(M884,FIND("-",M884)-1)),M884)*100-(2500+2000000000)/2)&lt;=ABS(2500-2000000000)/2),"Цена со скидкой должна быть от 25 до 20000000",IF(AND(IFERROR(VALUE(LEFT(M884,FIND("-",M884)-1)),M884)*150&lt;=320396,IFERROR(VALUE(LEFT(M884,FIND("-",M884)-1)),M884)*200&gt;320396),"Вы уменьшили цену в несколько раз, товар попадет в карантин цен",IF(IFERROR(VALUE(LEFT(M884,FIND("-",M884)-1)),M884)*200&lt;=320396,"Не сохранили изменения, чтобы защитить от ошибки — новые цены меньше текущих более чем в 2 раза. Снижайте их постепенно",IF(AND(IFERROR(VALUE(I884),0)=0,ISNUMBER(J884),OR(J884&lt;468,ABS(IFERROR(VALUE(LEFT(M884,FIND("-",M884)-1)),M884))*100&lt;46800)),"Проверьте цену товара. Большинство товаров в выбранной категории стоят дороже 468","")))))),"")</f>
      </c>
    </row>
    <row r="885">
      <c r="A885" s="2" t="inlineStr">
        <is>
          <t/>
        </is>
      </c>
      <c r="B885" s="2" t="inlineStr">
        <is>
          <t>Чайники для плиты</t>
        </is>
      </c>
      <c r="C885" s="2">
        <v>729520846</v>
      </c>
      <c r="D885" s="2" t="inlineStr">
        <is>
          <t>283051</t>
        </is>
      </c>
      <c r="E885" s="2" t="inlineStr">
        <is>
          <t>2048082929176</t>
        </is>
      </c>
      <c r="F885" s="2">
        <v>0</v>
      </c>
      <c r="G885" s="2">
        <v>0</v>
      </c>
      <c r="H885" s="2" t="inlineStr">
        <is>
          <t/>
        </is>
      </c>
      <c r="I885" s="2" t="inlineStr">
        <is>
          <t>19439</t>
        </is>
      </c>
      <c r="J885" s="4"/>
      <c r="K885" s="2">
        <v>69</v>
      </c>
      <c r="L885" s="6"/>
      <c r="M885" s="2" t="str">
        <f>IF(J885="",ROUND(I885*(1-IF(ISBLANK(L885),K885,L885)/100),2),ROUND(J885*(1-IF(ISBLANK(L885),K885,L885)/100),2))</f>
      </c>
      <c r="N885" s="7" t="str">
        <f>IF(NOT(AND(J885="",L885="")),IF(OR(AND(L885&lt;&gt;"",NOT(ISNUMBER(L885))),IFERROR(MOD(L885,1),1)&gt;0,AND(ISNUMBER(L885),OR(L885&lt;0,L885&gt;95))),"Введите целое число от 0 до 95",IF(OR(AND(J885&lt;&gt;"",NOT(ISNUMBER(J885))),IFERROR(MOD(J885,1),1)&gt;0,AND(ISNUMBER(J885),OR(J885&lt;50,J885&gt;20000000))),"Введите целое число от 50 до 20000000",IF(NOT(ABS(IFERROR(VALUE(LEFT(M885,FIND("-",M885)-1)),M885)*100-(2500+2000000000)/2)&lt;=ABS(2500-2000000000)/2),"Цена со скидкой должна быть от 25 до 20000000",IF(AND(IFERROR(VALUE(LEFT(M885,FIND("-",M885)-1)),M885)*150&lt;=602609,IFERROR(VALUE(LEFT(M885,FIND("-",M885)-1)),M885)*200&gt;602609),"Вы уменьшили цену в несколько раз, товар попадет в карантин цен",IF(IFERROR(VALUE(LEFT(M885,FIND("-",M885)-1)),M885)*200&lt;=602609,"Не сохранили изменения, чтобы защитить от ошибки — новые цены меньше текущих более чем в 2 раза. Снижайте их постепенно",IF(AND(IFERROR(VALUE(I885),0)=0,ISNUMBER(J885),OR(J885&lt;468,ABS(IFERROR(VALUE(LEFT(M885,FIND("-",M885)-1)),M885))*100&lt;46800)),"Проверьте цену товара. Большинство товаров в выбранной категории стоят дороже 468","")))))),"")</f>
      </c>
    </row>
    <row r="886">
      <c r="A886" s="2" t="inlineStr">
        <is>
          <t/>
        </is>
      </c>
      <c r="B886" s="2" t="inlineStr">
        <is>
          <t>Чайники для плиты</t>
        </is>
      </c>
      <c r="C886" s="2">
        <v>729520857</v>
      </c>
      <c r="D886" s="2" t="inlineStr">
        <is>
          <t>22030</t>
        </is>
      </c>
      <c r="E886" s="2" t="inlineStr">
        <is>
          <t>2048082929268</t>
        </is>
      </c>
      <c r="F886" s="2">
        <v>0</v>
      </c>
      <c r="G886" s="2">
        <v>0</v>
      </c>
      <c r="H886" s="2" t="inlineStr">
        <is>
          <t/>
        </is>
      </c>
      <c r="I886" s="2" t="inlineStr">
        <is>
          <t>14892</t>
        </is>
      </c>
      <c r="J886" s="4"/>
      <c r="K886" s="2">
        <v>65</v>
      </c>
      <c r="L886" s="6"/>
      <c r="M886" s="2" t="str">
        <f>IF(J886="",ROUND(I886*(1-IF(ISBLANK(L886),K886,L886)/100),2),ROUND(J886*(1-IF(ISBLANK(L886),K886,L886)/100),2))</f>
      </c>
      <c r="N886" s="7" t="str">
        <f>IF(NOT(AND(J886="",L886="")),IF(OR(AND(L886&lt;&gt;"",NOT(ISNUMBER(L886))),IFERROR(MOD(L886,1),1)&gt;0,AND(ISNUMBER(L886),OR(L886&lt;0,L886&gt;95))),"Введите целое число от 0 до 95",IF(OR(AND(J886&lt;&gt;"",NOT(ISNUMBER(J886))),IFERROR(MOD(J886,1),1)&gt;0,AND(ISNUMBER(J886),OR(J886&lt;50,J886&gt;20000000))),"Введите целое число от 50 до 20000000",IF(NOT(ABS(IFERROR(VALUE(LEFT(M886,FIND("-",M886)-1)),M886)*100-(2500+2000000000)/2)&lt;=ABS(2500-2000000000)/2),"Цена со скидкой должна быть от 25 до 20000000",IF(AND(IFERROR(VALUE(LEFT(M886,FIND("-",M886)-1)),M886)*150&lt;=521220,IFERROR(VALUE(LEFT(M886,FIND("-",M886)-1)),M886)*200&gt;521220),"Вы уменьшили цену в несколько раз, товар попадет в карантин цен",IF(IFERROR(VALUE(LEFT(M886,FIND("-",M886)-1)),M886)*200&lt;=521220,"Не сохранили изменения, чтобы защитить от ошибки — новые цены меньше текущих более чем в 2 раза. Снижайте их постепенно",IF(AND(IFERROR(VALUE(I886),0)=0,ISNUMBER(J886),OR(J886&lt;468,ABS(IFERROR(VALUE(LEFT(M886,FIND("-",M886)-1)),M886))*100&lt;46800)),"Проверьте цену товара. Большинство товаров в выбранной категории стоят дороже 468","")))))),"")</f>
      </c>
    </row>
    <row r="887">
      <c r="A887" s="2" t="inlineStr">
        <is>
          <t/>
        </is>
      </c>
      <c r="B887" s="2" t="inlineStr">
        <is>
          <t>Чайники для плиты</t>
        </is>
      </c>
      <c r="C887" s="2">
        <v>729520767</v>
      </c>
      <c r="D887" s="2" t="inlineStr">
        <is>
          <t>22166</t>
        </is>
      </c>
      <c r="E887" s="2" t="inlineStr">
        <is>
          <t>2048082928438</t>
        </is>
      </c>
      <c r="F887" s="2">
        <v>0</v>
      </c>
      <c r="G887" s="2">
        <v>13</v>
      </c>
      <c r="H887" s="2" t="inlineStr">
        <is>
          <t/>
        </is>
      </c>
      <c r="I887" s="2" t="inlineStr">
        <is>
          <t>15019</t>
        </is>
      </c>
      <c r="J887" s="4"/>
      <c r="K887" s="2">
        <v>78</v>
      </c>
      <c r="L887" s="6"/>
      <c r="M887" s="2" t="str">
        <f>IF(J887="",ROUND(I887*(1-IF(ISBLANK(L887),K887,L887)/100),2),ROUND(J887*(1-IF(ISBLANK(L887),K887,L887)/100),2))</f>
      </c>
      <c r="N887" s="7" t="str">
        <f>IF(NOT(AND(J887="",L887="")),IF(OR(AND(L887&lt;&gt;"",NOT(ISNUMBER(L887))),IFERROR(MOD(L887,1),1)&gt;0,AND(ISNUMBER(L887),OR(L887&lt;0,L887&gt;95))),"Введите целое число от 0 до 95",IF(OR(AND(J887&lt;&gt;"",NOT(ISNUMBER(J887))),IFERROR(MOD(J887,1),1)&gt;0,AND(ISNUMBER(J887),OR(J887&lt;50,J887&gt;20000000))),"Введите целое число от 50 до 20000000",IF(NOT(ABS(IFERROR(VALUE(LEFT(M887,FIND("-",M887)-1)),M887)*100-(2500+2000000000)/2)&lt;=ABS(2500-2000000000)/2),"Цена со скидкой должна быть от 25 до 20000000",IF(AND(IFERROR(VALUE(LEFT(M887,FIND("-",M887)-1)),M887)*150&lt;=330417,IFERROR(VALUE(LEFT(M887,FIND("-",M887)-1)),M887)*200&gt;330417),"Вы уменьшили цену в несколько раз, товар попадет в карантин цен",IF(IFERROR(VALUE(LEFT(M887,FIND("-",M887)-1)),M887)*200&lt;=330417,"Не сохранили изменения, чтобы защитить от ошибки — новые цены меньше текущих более чем в 2 раза. Снижайте их постепенно",IF(AND(IFERROR(VALUE(I887),0)=0,ISNUMBER(J887),OR(J887&lt;468,ABS(IFERROR(VALUE(LEFT(M887,FIND("-",M887)-1)),M887))*100&lt;46800)),"Проверьте цену товара. Большинство товаров в выбранной категории стоят дороже 468","")))))),"")</f>
      </c>
    </row>
    <row r="888">
      <c r="A888" s="2" t="inlineStr">
        <is>
          <t/>
        </is>
      </c>
      <c r="B888" s="2" t="inlineStr">
        <is>
          <t>Чайники для плиты</t>
        </is>
      </c>
      <c r="C888" s="2">
        <v>729520930</v>
      </c>
      <c r="D888" s="2" t="inlineStr">
        <is>
          <t>22034</t>
        </is>
      </c>
      <c r="E888" s="2" t="inlineStr">
        <is>
          <t>2048082929732</t>
        </is>
      </c>
      <c r="F888" s="2">
        <v>0</v>
      </c>
      <c r="G888" s="2">
        <v>9</v>
      </c>
      <c r="H888" s="2" t="inlineStr">
        <is>
          <t/>
        </is>
      </c>
      <c r="I888" s="2" t="inlineStr">
        <is>
          <t>15249</t>
        </is>
      </c>
      <c r="J888" s="4"/>
      <c r="K888" s="2">
        <v>69</v>
      </c>
      <c r="L888" s="6"/>
      <c r="M888" s="2" t="str">
        <f>IF(J888="",ROUND(I888*(1-IF(ISBLANK(L888),K888,L888)/100),2),ROUND(J888*(1-IF(ISBLANK(L888),K888,L888)/100),2))</f>
      </c>
      <c r="N888" s="7" t="str">
        <f>IF(NOT(AND(J888="",L888="")),IF(OR(AND(L888&lt;&gt;"",NOT(ISNUMBER(L888))),IFERROR(MOD(L888,1),1)&gt;0,AND(ISNUMBER(L888),OR(L888&lt;0,L888&gt;95))),"Введите целое число от 0 до 95",IF(OR(AND(J888&lt;&gt;"",NOT(ISNUMBER(J888))),IFERROR(MOD(J888,1),1)&gt;0,AND(ISNUMBER(J888),OR(J888&lt;50,J888&gt;20000000))),"Введите целое число от 50 до 20000000",IF(NOT(ABS(IFERROR(VALUE(LEFT(M888,FIND("-",M888)-1)),M888)*100-(2500+2000000000)/2)&lt;=ABS(2500-2000000000)/2),"Цена со скидкой должна быть от 25 до 20000000",IF(AND(IFERROR(VALUE(LEFT(M888,FIND("-",M888)-1)),M888)*150&lt;=472719,IFERROR(VALUE(LEFT(M888,FIND("-",M888)-1)),M888)*200&gt;472719),"Вы уменьшили цену в несколько раз, товар попадет в карантин цен",IF(IFERROR(VALUE(LEFT(M888,FIND("-",M888)-1)),M888)*200&lt;=472719,"Не сохранили изменения, чтобы защитить от ошибки — новые цены меньше текущих более чем в 2 раза. Снижайте их постепенно",IF(AND(IFERROR(VALUE(I888),0)=0,ISNUMBER(J888),OR(J888&lt;468,ABS(IFERROR(VALUE(LEFT(M888,FIND("-",M888)-1)),M888))*100&lt;46800)),"Проверьте цену товара. Большинство товаров в выбранной категории стоят дороже 468","")))))),"")</f>
      </c>
    </row>
    <row r="889">
      <c r="A889" s="2" t="inlineStr">
        <is>
          <t/>
        </is>
      </c>
      <c r="B889" s="2" t="inlineStr">
        <is>
          <t>Чайники для плиты</t>
        </is>
      </c>
      <c r="C889" s="2">
        <v>729520831</v>
      </c>
      <c r="D889" s="2" t="inlineStr">
        <is>
          <t>22037</t>
        </is>
      </c>
      <c r="E889" s="2" t="inlineStr">
        <is>
          <t>2048082929046</t>
        </is>
      </c>
      <c r="F889" s="2">
        <v>0</v>
      </c>
      <c r="G889" s="2">
        <v>0</v>
      </c>
      <c r="H889" s="2" t="inlineStr">
        <is>
          <t/>
        </is>
      </c>
      <c r="I889" s="2" t="inlineStr">
        <is>
          <t>17081</t>
        </is>
      </c>
      <c r="J889" s="4"/>
      <c r="K889" s="2">
        <v>65</v>
      </c>
      <c r="L889" s="6"/>
      <c r="M889" s="2" t="str">
        <f>IF(J889="",ROUND(I889*(1-IF(ISBLANK(L889),K889,L889)/100),2),ROUND(J889*(1-IF(ISBLANK(L889),K889,L889)/100),2))</f>
      </c>
      <c r="N889" s="7" t="str">
        <f>IF(NOT(AND(J889="",L889="")),IF(OR(AND(L889&lt;&gt;"",NOT(ISNUMBER(L889))),IFERROR(MOD(L889,1),1)&gt;0,AND(ISNUMBER(L889),OR(L889&lt;0,L889&gt;95))),"Введите целое число от 0 до 95",IF(OR(AND(J889&lt;&gt;"",NOT(ISNUMBER(J889))),IFERROR(MOD(J889,1),1)&gt;0,AND(ISNUMBER(J889),OR(J889&lt;50,J889&gt;20000000))),"Введите целое число от 50 до 20000000",IF(NOT(ABS(IFERROR(VALUE(LEFT(M889,FIND("-",M889)-1)),M889)*100-(2500+2000000000)/2)&lt;=ABS(2500-2000000000)/2),"Цена со скидкой должна быть от 25 до 20000000",IF(AND(IFERROR(VALUE(LEFT(M889,FIND("-",M889)-1)),M889)*150&lt;=597835,IFERROR(VALUE(LEFT(M889,FIND("-",M889)-1)),M889)*200&gt;597835),"Вы уменьшили цену в несколько раз, товар попадет в карантин цен",IF(IFERROR(VALUE(LEFT(M889,FIND("-",M889)-1)),M889)*200&lt;=597835,"Не сохранили изменения, чтобы защитить от ошибки — новые цены меньше текущих более чем в 2 раза. Снижайте их постепенно",IF(AND(IFERROR(VALUE(I889),0)=0,ISNUMBER(J889),OR(J889&lt;468,ABS(IFERROR(VALUE(LEFT(M889,FIND("-",M889)-1)),M889))*100&lt;46800)),"Проверьте цену товара. Большинство товаров в выбранной категории стоят дороже 468","")))))),"")</f>
      </c>
    </row>
    <row r="890">
      <c r="A890" s="2" t="inlineStr">
        <is>
          <t/>
        </is>
      </c>
      <c r="B890" s="2" t="inlineStr">
        <is>
          <t>Чайники для плиты</t>
        </is>
      </c>
      <c r="C890" s="2">
        <v>729520818</v>
      </c>
      <c r="D890" s="2" t="inlineStr">
        <is>
          <t>282865</t>
        </is>
      </c>
      <c r="E890" s="2" t="inlineStr">
        <is>
          <t>2048082928919</t>
        </is>
      </c>
      <c r="F890" s="2">
        <v>0</v>
      </c>
      <c r="G890" s="2">
        <v>0</v>
      </c>
      <c r="H890" s="2" t="inlineStr">
        <is>
          <t/>
        </is>
      </c>
      <c r="I890" s="2" t="inlineStr">
        <is>
          <t>28654</t>
        </is>
      </c>
      <c r="J890" s="4"/>
      <c r="K890" s="2">
        <v>65</v>
      </c>
      <c r="L890" s="6"/>
      <c r="M890" s="2" t="str">
        <f>IF(J890="",ROUND(I890*(1-IF(ISBLANK(L890),K890,L890)/100),2),ROUND(J890*(1-IF(ISBLANK(L890),K890,L890)/100),2))</f>
      </c>
      <c r="N890" s="7" t="str">
        <f>IF(NOT(AND(J890="",L890="")),IF(OR(AND(L890&lt;&gt;"",NOT(ISNUMBER(L890))),IFERROR(MOD(L890,1),1)&gt;0,AND(ISNUMBER(L890),OR(L890&lt;0,L890&gt;95))),"Введите целое число от 0 до 95",IF(OR(AND(J890&lt;&gt;"",NOT(ISNUMBER(J890))),IFERROR(MOD(J890,1),1)&gt;0,AND(ISNUMBER(J890),OR(J890&lt;50,J890&gt;20000000))),"Введите целое число от 50 до 20000000",IF(NOT(ABS(IFERROR(VALUE(LEFT(M890,FIND("-",M890)-1)),M890)*100-(2500+2000000000)/2)&lt;=ABS(2500-2000000000)/2),"Цена со скидкой должна быть от 25 до 20000000",IF(AND(IFERROR(VALUE(LEFT(M890,FIND("-",M890)-1)),M890)*150&lt;=1002890,IFERROR(VALUE(LEFT(M890,FIND("-",M890)-1)),M890)*200&gt;1002890),"Вы уменьшили цену в несколько раз, товар попадет в карантин цен",IF(IFERROR(VALUE(LEFT(M890,FIND("-",M890)-1)),M890)*200&lt;=1002890,"Не сохранили изменения, чтобы защитить от ошибки — новые цены меньше текущих более чем в 2 раза. Снижайте их постепенно",IF(AND(IFERROR(VALUE(I890),0)=0,ISNUMBER(J890),OR(J890&lt;468,ABS(IFERROR(VALUE(LEFT(M890,FIND("-",M890)-1)),M890))*100&lt;46800)),"Проверьте цену товара. Большинство товаров в выбранной категории стоят дороже 468","")))))),"")</f>
      </c>
    </row>
    <row r="891">
      <c r="A891" s="2" t="inlineStr">
        <is>
          <t/>
        </is>
      </c>
      <c r="B891" s="2" t="inlineStr">
        <is>
          <t>Чайники для плиты</t>
        </is>
      </c>
      <c r="C891" s="2">
        <v>729520747</v>
      </c>
      <c r="D891" s="2" t="inlineStr">
        <is>
          <t>74627</t>
        </is>
      </c>
      <c r="E891" s="2" t="inlineStr">
        <is>
          <t>2048082928179</t>
        </is>
      </c>
      <c r="F891" s="2">
        <v>0</v>
      </c>
      <c r="G891" s="2">
        <v>5</v>
      </c>
      <c r="H891" s="2" t="inlineStr">
        <is>
          <t/>
        </is>
      </c>
      <c r="I891" s="2" t="inlineStr">
        <is>
          <t>20291</t>
        </is>
      </c>
      <c r="J891" s="4"/>
      <c r="K891" s="2">
        <v>79</v>
      </c>
      <c r="L891" s="6"/>
      <c r="M891" s="2" t="str">
        <f>IF(J891="",ROUND(I891*(1-IF(ISBLANK(L891),K891,L891)/100),2),ROUND(J891*(1-IF(ISBLANK(L891),K891,L891)/100),2))</f>
      </c>
      <c r="N891" s="7" t="str">
        <f>IF(NOT(AND(J891="",L891="")),IF(OR(AND(L891&lt;&gt;"",NOT(ISNUMBER(L891))),IFERROR(MOD(L891,1),1)&gt;0,AND(ISNUMBER(L891),OR(L891&lt;0,L891&gt;95))),"Введите целое число от 0 до 95",IF(OR(AND(J891&lt;&gt;"",NOT(ISNUMBER(J891))),IFERROR(MOD(J891,1),1)&gt;0,AND(ISNUMBER(J891),OR(J891&lt;50,J891&gt;20000000))),"Введите целое число от 50 до 20000000",IF(NOT(ABS(IFERROR(VALUE(LEFT(M891,FIND("-",M891)-1)),M891)*100-(2500+2000000000)/2)&lt;=ABS(2500-2000000000)/2),"Цена со скидкой должна быть от 25 до 20000000",IF(AND(IFERROR(VALUE(LEFT(M891,FIND("-",M891)-1)),M891)*150&lt;=426110,IFERROR(VALUE(LEFT(M891,FIND("-",M891)-1)),M891)*200&gt;426110),"Вы уменьшили цену в несколько раз, товар попадет в карантин цен",IF(IFERROR(VALUE(LEFT(M891,FIND("-",M891)-1)),M891)*200&lt;=426110,"Не сохранили изменения, чтобы защитить от ошибки — новые цены меньше текущих более чем в 2 раза. Снижайте их постепенно",IF(AND(IFERROR(VALUE(I891),0)=0,ISNUMBER(J891),OR(J891&lt;468,ABS(IFERROR(VALUE(LEFT(M891,FIND("-",M891)-1)),M891))*100&lt;46800)),"Проверьте цену товара. Большинство товаров в выбранной категории стоят дороже 468","")))))),"")</f>
      </c>
    </row>
    <row r="892">
      <c r="A892" s="2" t="inlineStr">
        <is>
          <t/>
        </is>
      </c>
      <c r="B892" s="2" t="inlineStr">
        <is>
          <t>Чайники для плиты</t>
        </is>
      </c>
      <c r="C892" s="2">
        <v>729520726</v>
      </c>
      <c r="D892" s="2" t="inlineStr">
        <is>
          <t>283465</t>
        </is>
      </c>
      <c r="E892" s="2" t="inlineStr">
        <is>
          <t>2048082927950</t>
        </is>
      </c>
      <c r="F892" s="2">
        <v>0</v>
      </c>
      <c r="G892" s="2">
        <v>0</v>
      </c>
      <c r="H892" s="2" t="inlineStr">
        <is>
          <t/>
        </is>
      </c>
      <c r="I892" s="2" t="inlineStr">
        <is>
          <t>36436</t>
        </is>
      </c>
      <c r="J892" s="4"/>
      <c r="K892" s="2">
        <v>65</v>
      </c>
      <c r="L892" s="6"/>
      <c r="M892" s="2" t="str">
        <f>IF(J892="",ROUND(I892*(1-IF(ISBLANK(L892),K892,L892)/100),2),ROUND(J892*(1-IF(ISBLANK(L892),K892,L892)/100),2))</f>
      </c>
      <c r="N892" s="7" t="str">
        <f>IF(NOT(AND(J892="",L892="")),IF(OR(AND(L892&lt;&gt;"",NOT(ISNUMBER(L892))),IFERROR(MOD(L892,1),1)&gt;0,AND(ISNUMBER(L892),OR(L892&lt;0,L892&gt;95))),"Введите целое число от 0 до 95",IF(OR(AND(J892&lt;&gt;"",NOT(ISNUMBER(J892))),IFERROR(MOD(J892,1),1)&gt;0,AND(ISNUMBER(J892),OR(J892&lt;50,J892&gt;20000000))),"Введите целое число от 50 до 20000000",IF(NOT(ABS(IFERROR(VALUE(LEFT(M892,FIND("-",M892)-1)),M892)*100-(2500+2000000000)/2)&lt;=ABS(2500-2000000000)/2),"Цена со скидкой должна быть от 25 до 20000000",IF(AND(IFERROR(VALUE(LEFT(M892,FIND("-",M892)-1)),M892)*150&lt;=1275259,IFERROR(VALUE(LEFT(M892,FIND("-",M892)-1)),M892)*200&gt;1275259),"Вы уменьшили цену в несколько раз, товар попадет в карантин цен",IF(IFERROR(VALUE(LEFT(M892,FIND("-",M892)-1)),M892)*200&lt;=1275259,"Не сохранили изменения, чтобы защитить от ошибки — новые цены меньше текущих более чем в 2 раза. Снижайте их постепенно",IF(AND(IFERROR(VALUE(I892),0)=0,ISNUMBER(J892),OR(J892&lt;468,ABS(IFERROR(VALUE(LEFT(M892,FIND("-",M892)-1)),M892))*100&lt;46800)),"Проверьте цену товара. Большинство товаров в выбранной категории стоят дороже 468","")))))),"")</f>
      </c>
    </row>
    <row r="893">
      <c r="A893" s="2" t="inlineStr">
        <is>
          <t/>
        </is>
      </c>
      <c r="B893" s="2" t="inlineStr">
        <is>
          <t>Чайники для плиты</t>
        </is>
      </c>
      <c r="C893" s="2">
        <v>729520801</v>
      </c>
      <c r="D893" s="2" t="inlineStr">
        <is>
          <t>22036</t>
        </is>
      </c>
      <c r="E893" s="2" t="inlineStr">
        <is>
          <t>2048082928766</t>
        </is>
      </c>
      <c r="F893" s="2">
        <v>1</v>
      </c>
      <c r="G893" s="2">
        <v>10</v>
      </c>
      <c r="H893" s="2">
        <v>49</v>
      </c>
      <c r="I893" s="2" t="inlineStr">
        <is>
          <t>14022</t>
        </is>
      </c>
      <c r="J893" s="4"/>
      <c r="K893" s="2">
        <v>80</v>
      </c>
      <c r="L893" s="6"/>
      <c r="M893" s="2" t="str">
        <f>IF(J893="",ROUND(I893*(1-IF(ISBLANK(L893),K893,L893)/100),2),ROUND(J893*(1-IF(ISBLANK(L893),K893,L893)/100),2))</f>
      </c>
      <c r="N893" s="7" t="str">
        <f>IF(NOT(AND(J893="",L893="")),IF(OR(AND(L893&lt;&gt;"",NOT(ISNUMBER(L893))),IFERROR(MOD(L893,1),1)&gt;0,AND(ISNUMBER(L893),OR(L893&lt;0,L893&gt;95))),"Введите целое число от 0 до 95",IF(OR(AND(J893&lt;&gt;"",NOT(ISNUMBER(J893))),IFERROR(MOD(J893,1),1)&gt;0,AND(ISNUMBER(J893),OR(J893&lt;50,J893&gt;20000000))),"Введите целое число от 50 до 20000000",IF(NOT(ABS(IFERROR(VALUE(LEFT(M893,FIND("-",M893)-1)),M893)*100-(2500+2000000000)/2)&lt;=ABS(2500-2000000000)/2),"Цена со скидкой должна быть от 25 до 20000000",IF(AND(IFERROR(VALUE(LEFT(M893,FIND("-",M893)-1)),M893)*150&lt;=280439,IFERROR(VALUE(LEFT(M893,FIND("-",M893)-1)),M893)*200&gt;280439),"Вы уменьшили цену в несколько раз, товар попадет в карантин цен",IF(IFERROR(VALUE(LEFT(M893,FIND("-",M893)-1)),M893)*200&lt;=280439,"Не сохранили изменения, чтобы защитить от ошибки — новые цены меньше текущих более чем в 2 раза. Снижайте их постепенно",IF(AND(IFERROR(VALUE(I893),0)=0,ISNUMBER(J893),OR(J893&lt;468,ABS(IFERROR(VALUE(LEFT(M893,FIND("-",M893)-1)),M893))*100&lt;46800)),"Проверьте цену товара. Большинство товаров в выбранной категории стоят дороже 468","")))))),"")</f>
      </c>
    </row>
    <row r="894">
      <c r="A894" s="2" t="inlineStr">
        <is>
          <t/>
        </is>
      </c>
      <c r="B894" s="2" t="inlineStr">
        <is>
          <t>Чайники для плиты</t>
        </is>
      </c>
      <c r="C894" s="2">
        <v>729520821</v>
      </c>
      <c r="D894" s="2" t="inlineStr">
        <is>
          <t>282399</t>
        </is>
      </c>
      <c r="E894" s="2" t="inlineStr">
        <is>
          <t>2048082928940</t>
        </is>
      </c>
      <c r="F894" s="2">
        <v>0</v>
      </c>
      <c r="G894" s="2">
        <v>18</v>
      </c>
      <c r="H894" s="2" t="inlineStr">
        <is>
          <t/>
        </is>
      </c>
      <c r="I894" s="2" t="inlineStr">
        <is>
          <t>10355</t>
        </is>
      </c>
      <c r="J894" s="4"/>
      <c r="K894" s="2">
        <v>78</v>
      </c>
      <c r="L894" s="6"/>
      <c r="M894" s="2" t="str">
        <f>IF(J894="",ROUND(I894*(1-IF(ISBLANK(L894),K894,L894)/100),2),ROUND(J894*(1-IF(ISBLANK(L894),K894,L894)/100),2))</f>
      </c>
      <c r="N894" s="7" t="str">
        <f>IF(NOT(AND(J894="",L894="")),IF(OR(AND(L894&lt;&gt;"",NOT(ISNUMBER(L894))),IFERROR(MOD(L894,1),1)&gt;0,AND(ISNUMBER(L894),OR(L894&lt;0,L894&gt;95))),"Введите целое число от 0 до 95",IF(OR(AND(J894&lt;&gt;"",NOT(ISNUMBER(J894))),IFERROR(MOD(J894,1),1)&gt;0,AND(ISNUMBER(J894),OR(J894&lt;50,J894&gt;20000000))),"Введите целое число от 50 до 20000000",IF(NOT(ABS(IFERROR(VALUE(LEFT(M894,FIND("-",M894)-1)),M894)*100-(2500+2000000000)/2)&lt;=ABS(2500-2000000000)/2),"Цена со скидкой должна быть от 25 до 20000000",IF(AND(IFERROR(VALUE(LEFT(M894,FIND("-",M894)-1)),M894)*150&lt;=227810,IFERROR(VALUE(LEFT(M894,FIND("-",M894)-1)),M894)*200&gt;227810),"Вы уменьшили цену в несколько раз, товар попадет в карантин цен",IF(IFERROR(VALUE(LEFT(M894,FIND("-",M894)-1)),M894)*200&lt;=227810,"Не сохранили изменения, чтобы защитить от ошибки — новые цены меньше текущих более чем в 2 раза. Снижайте их постепенно",IF(AND(IFERROR(VALUE(I894),0)=0,ISNUMBER(J894),OR(J894&lt;468,ABS(IFERROR(VALUE(LEFT(M894,FIND("-",M894)-1)),M894))*100&lt;46800)),"Проверьте цену товара. Большинство товаров в выбранной категории стоят дороже 468","")))))),"")</f>
      </c>
    </row>
    <row r="895">
      <c r="A895" s="2" t="inlineStr">
        <is>
          <t/>
        </is>
      </c>
      <c r="B895" s="2" t="inlineStr">
        <is>
          <t>Чайники для плиты</t>
        </is>
      </c>
      <c r="C895" s="2">
        <v>729520832</v>
      </c>
      <c r="D895" s="2" t="inlineStr">
        <is>
          <t>28476</t>
        </is>
      </c>
      <c r="E895" s="2" t="inlineStr">
        <is>
          <t>2048082929053</t>
        </is>
      </c>
      <c r="F895" s="2">
        <v>0</v>
      </c>
      <c r="G895" s="2">
        <v>0</v>
      </c>
      <c r="H895" s="2" t="inlineStr">
        <is>
          <t/>
        </is>
      </c>
      <c r="I895" s="2" t="inlineStr">
        <is>
          <t>11888</t>
        </is>
      </c>
      <c r="J895" s="4"/>
      <c r="K895" s="2">
        <v>78</v>
      </c>
      <c r="L895" s="6"/>
      <c r="M895" s="2" t="str">
        <f>IF(J895="",ROUND(I895*(1-IF(ISBLANK(L895),K895,L895)/100),2),ROUND(J895*(1-IF(ISBLANK(L895),K895,L895)/100),2))</f>
      </c>
      <c r="N895" s="7" t="str">
        <f>IF(NOT(AND(J895="",L895="")),IF(OR(AND(L895&lt;&gt;"",NOT(ISNUMBER(L895))),IFERROR(MOD(L895,1),1)&gt;0,AND(ISNUMBER(L895),OR(L895&lt;0,L895&gt;95))),"Введите целое число от 0 до 95",IF(OR(AND(J895&lt;&gt;"",NOT(ISNUMBER(J895))),IFERROR(MOD(J895,1),1)&gt;0,AND(ISNUMBER(J895),OR(J895&lt;50,J895&gt;20000000))),"Введите целое число от 50 до 20000000",IF(NOT(ABS(IFERROR(VALUE(LEFT(M895,FIND("-",M895)-1)),M895)*100-(2500+2000000000)/2)&lt;=ABS(2500-2000000000)/2),"Цена со скидкой должна быть от 25 до 20000000",IF(AND(IFERROR(VALUE(LEFT(M895,FIND("-",M895)-1)),M895)*150&lt;=261535,IFERROR(VALUE(LEFT(M895,FIND("-",M895)-1)),M895)*200&gt;261535),"Вы уменьшили цену в несколько раз, товар попадет в карантин цен",IF(IFERROR(VALUE(LEFT(M895,FIND("-",M895)-1)),M895)*200&lt;=261535,"Не сохранили изменения, чтобы защитить от ошибки — новые цены меньше текущих более чем в 2 раза. Снижайте их постепенно",IF(AND(IFERROR(VALUE(I895),0)=0,ISNUMBER(J895),OR(J895&lt;468,ABS(IFERROR(VALUE(LEFT(M895,FIND("-",M895)-1)),M895))*100&lt;46800)),"Проверьте цену товара. Большинство товаров в выбранной категории стоят дороже 468","")))))),"")</f>
      </c>
    </row>
    <row r="896">
      <c r="A896" s="2" t="inlineStr">
        <is>
          <t/>
        </is>
      </c>
      <c r="B896" s="2" t="inlineStr">
        <is>
          <t>Чайники для плиты</t>
        </is>
      </c>
      <c r="C896" s="2">
        <v>729520748</v>
      </c>
      <c r="D896" s="2" t="inlineStr">
        <is>
          <t>24901</t>
        </is>
      </c>
      <c r="E896" s="2" t="inlineStr">
        <is>
          <t>2048082928186</t>
        </is>
      </c>
      <c r="F896" s="2">
        <v>0</v>
      </c>
      <c r="G896" s="2">
        <v>3</v>
      </c>
      <c r="H896" s="2" t="inlineStr">
        <is>
          <t/>
        </is>
      </c>
      <c r="I896" s="2" t="inlineStr">
        <is>
          <t>23040</t>
        </is>
      </c>
      <c r="J896" s="4"/>
      <c r="K896" s="2">
        <v>75</v>
      </c>
      <c r="L896" s="6"/>
      <c r="M896" s="2" t="str">
        <f>IF(J896="",ROUND(I896*(1-IF(ISBLANK(L896),K896,L896)/100),2),ROUND(J896*(1-IF(ISBLANK(L896),K896,L896)/100),2))</f>
      </c>
      <c r="N896" s="7" t="str">
        <f>IF(NOT(AND(J896="",L896="")),IF(OR(AND(L896&lt;&gt;"",NOT(ISNUMBER(L896))),IFERROR(MOD(L896,1),1)&gt;0,AND(ISNUMBER(L896),OR(L896&lt;0,L896&gt;95))),"Введите целое число от 0 до 95",IF(OR(AND(J896&lt;&gt;"",NOT(ISNUMBER(J896))),IFERROR(MOD(J896,1),1)&gt;0,AND(ISNUMBER(J896),OR(J896&lt;50,J896&gt;20000000))),"Введите целое число от 50 до 20000000",IF(NOT(ABS(IFERROR(VALUE(LEFT(M896,FIND("-",M896)-1)),M896)*100-(2500+2000000000)/2)&lt;=ABS(2500-2000000000)/2),"Цена со скидкой должна быть от 25 до 20000000",IF(AND(IFERROR(VALUE(LEFT(M896,FIND("-",M896)-1)),M896)*150&lt;=576000,IFERROR(VALUE(LEFT(M896,FIND("-",M896)-1)),M896)*200&gt;576000),"Вы уменьшили цену в несколько раз, товар попадет в карантин цен",IF(IFERROR(VALUE(LEFT(M896,FIND("-",M896)-1)),M896)*200&lt;=576000,"Не сохранили изменения, чтобы защитить от ошибки — новые цены меньше текущих более чем в 2 раза. Снижайте их постепенно",IF(AND(IFERROR(VALUE(I896),0)=0,ISNUMBER(J896),OR(J896&lt;468,ABS(IFERROR(VALUE(LEFT(M896,FIND("-",M896)-1)),M896))*100&lt;46800)),"Проверьте цену товара. Большинство товаров в выбранной категории стоят дороже 468","")))))),"")</f>
      </c>
    </row>
    <row r="897">
      <c r="A897" s="2" t="inlineStr">
        <is>
          <t/>
        </is>
      </c>
      <c r="B897" s="2" t="inlineStr">
        <is>
          <t>Чайники для плиты</t>
        </is>
      </c>
      <c r="C897" s="2">
        <v>729520926</v>
      </c>
      <c r="D897" s="2" t="inlineStr">
        <is>
          <t>22029</t>
        </is>
      </c>
      <c r="E897" s="2" t="inlineStr">
        <is>
          <t>2048082929725</t>
        </is>
      </c>
      <c r="F897" s="2">
        <v>0</v>
      </c>
      <c r="G897" s="2">
        <v>9</v>
      </c>
      <c r="H897" s="2" t="inlineStr">
        <is>
          <t/>
        </is>
      </c>
      <c r="I897" s="2" t="inlineStr">
        <is>
          <t>11789</t>
        </is>
      </c>
      <c r="J897" s="4"/>
      <c r="K897" s="2">
        <v>78</v>
      </c>
      <c r="L897" s="6"/>
      <c r="M897" s="2" t="str">
        <f>IF(J897="",ROUND(I897*(1-IF(ISBLANK(L897),K897,L897)/100),2),ROUND(J897*(1-IF(ISBLANK(L897),K897,L897)/100),2))</f>
      </c>
      <c r="N897" s="7" t="str">
        <f>IF(NOT(AND(J897="",L897="")),IF(OR(AND(L897&lt;&gt;"",NOT(ISNUMBER(L897))),IFERROR(MOD(L897,1),1)&gt;0,AND(ISNUMBER(L897),OR(L897&lt;0,L897&gt;95))),"Введите целое число от 0 до 95",IF(OR(AND(J897&lt;&gt;"",NOT(ISNUMBER(J897))),IFERROR(MOD(J897,1),1)&gt;0,AND(ISNUMBER(J897),OR(J897&lt;50,J897&gt;20000000))),"Введите целое число от 50 до 20000000",IF(NOT(ABS(IFERROR(VALUE(LEFT(M897,FIND("-",M897)-1)),M897)*100-(2500+2000000000)/2)&lt;=ABS(2500-2000000000)/2),"Цена со скидкой должна быть от 25 до 20000000",IF(AND(IFERROR(VALUE(LEFT(M897,FIND("-",M897)-1)),M897)*150&lt;=259357,IFERROR(VALUE(LEFT(M897,FIND("-",M897)-1)),M897)*200&gt;259357),"Вы уменьшили цену в несколько раз, товар попадет в карантин цен",IF(IFERROR(VALUE(LEFT(M897,FIND("-",M897)-1)),M897)*200&lt;=259357,"Не сохранили изменения, чтобы защитить от ошибки — новые цены меньше текущих более чем в 2 раза. Снижайте их постепенно",IF(AND(IFERROR(VALUE(I897),0)=0,ISNUMBER(J897),OR(J897&lt;468,ABS(IFERROR(VALUE(LEFT(M897,FIND("-",M897)-1)),M897))*100&lt;46800)),"Проверьте цену товара. Большинство товаров в выбранной категории стоят дороже 468","")))))),"")</f>
      </c>
    </row>
    <row r="898">
      <c r="A898" s="2" t="inlineStr">
        <is>
          <t/>
        </is>
      </c>
      <c r="B898" s="2" t="inlineStr">
        <is>
          <t>Чайники для плиты</t>
        </is>
      </c>
      <c r="C898" s="2">
        <v>729520828</v>
      </c>
      <c r="D898" s="2" t="inlineStr">
        <is>
          <t>281923</t>
        </is>
      </c>
      <c r="E898" s="2" t="inlineStr">
        <is>
          <t>2048082929022</t>
        </is>
      </c>
      <c r="F898" s="2">
        <v>0</v>
      </c>
      <c r="G898" s="2">
        <v>4</v>
      </c>
      <c r="H898" s="2" t="inlineStr">
        <is>
          <t/>
        </is>
      </c>
      <c r="I898" s="2" t="inlineStr">
        <is>
          <t>8382</t>
        </is>
      </c>
      <c r="J898" s="4"/>
      <c r="K898" s="2">
        <v>76</v>
      </c>
      <c r="L898" s="6"/>
      <c r="M898" s="2" t="str">
        <f>IF(J898="",ROUND(I898*(1-IF(ISBLANK(L898),K898,L898)/100),2),ROUND(J898*(1-IF(ISBLANK(L898),K898,L898)/100),2))</f>
      </c>
      <c r="N898" s="7" t="str">
        <f>IF(NOT(AND(J898="",L898="")),IF(OR(AND(L898&lt;&gt;"",NOT(ISNUMBER(L898))),IFERROR(MOD(L898,1),1)&gt;0,AND(ISNUMBER(L898),OR(L898&lt;0,L898&gt;95))),"Введите целое число от 0 до 95",IF(OR(AND(J898&lt;&gt;"",NOT(ISNUMBER(J898))),IFERROR(MOD(J898,1),1)&gt;0,AND(ISNUMBER(J898),OR(J898&lt;50,J898&gt;20000000))),"Введите целое число от 50 до 20000000",IF(NOT(ABS(IFERROR(VALUE(LEFT(M898,FIND("-",M898)-1)),M898)*100-(2500+2000000000)/2)&lt;=ABS(2500-2000000000)/2),"Цена со скидкой должна быть от 25 до 20000000",IF(AND(IFERROR(VALUE(LEFT(M898,FIND("-",M898)-1)),M898)*150&lt;=201167,IFERROR(VALUE(LEFT(M898,FIND("-",M898)-1)),M898)*200&gt;201167),"Вы уменьшили цену в несколько раз, товар попадет в карантин цен",IF(IFERROR(VALUE(LEFT(M898,FIND("-",M898)-1)),M898)*200&lt;=201167,"Не сохранили изменения, чтобы защитить от ошибки — новые цены меньше текущих более чем в 2 раза. Снижайте их постепенно",IF(AND(IFERROR(VALUE(I898),0)=0,ISNUMBER(J898),OR(J898&lt;468,ABS(IFERROR(VALUE(LEFT(M898,FIND("-",M898)-1)),M898))*100&lt;46800)),"Проверьте цену товара. Большинство товаров в выбранной категории стоят дороже 468","")))))),"")</f>
      </c>
    </row>
    <row r="899">
      <c r="A899" s="2" t="inlineStr">
        <is>
          <t/>
        </is>
      </c>
      <c r="B899" s="2" t="inlineStr">
        <is>
          <t>Чайники для плиты</t>
        </is>
      </c>
      <c r="C899" s="2">
        <v>729520744</v>
      </c>
      <c r="D899" s="2" t="inlineStr">
        <is>
          <t>282863</t>
        </is>
      </c>
      <c r="E899" s="2" t="inlineStr">
        <is>
          <t>2048082928162</t>
        </is>
      </c>
      <c r="F899" s="2">
        <v>0</v>
      </c>
      <c r="G899" s="2">
        <v>1</v>
      </c>
      <c r="H899" s="2" t="inlineStr">
        <is>
          <t/>
        </is>
      </c>
      <c r="I899" s="2" t="inlineStr">
        <is>
          <t>17362</t>
        </is>
      </c>
      <c r="J899" s="4"/>
      <c r="K899" s="2">
        <v>80</v>
      </c>
      <c r="L899" s="6"/>
      <c r="M899" s="2" t="str">
        <f>IF(J899="",ROUND(I899*(1-IF(ISBLANK(L899),K899,L899)/100),2),ROUND(J899*(1-IF(ISBLANK(L899),K899,L899)/100),2))</f>
      </c>
      <c r="N899" s="7" t="str">
        <f>IF(NOT(AND(J899="",L899="")),IF(OR(AND(L899&lt;&gt;"",NOT(ISNUMBER(L899))),IFERROR(MOD(L899,1),1)&gt;0,AND(ISNUMBER(L899),OR(L899&lt;0,L899&gt;95))),"Введите целое число от 0 до 95",IF(OR(AND(J899&lt;&gt;"",NOT(ISNUMBER(J899))),IFERROR(MOD(J899,1),1)&gt;0,AND(ISNUMBER(J899),OR(J899&lt;50,J899&gt;20000000))),"Введите целое число от 50 до 20000000",IF(NOT(ABS(IFERROR(VALUE(LEFT(M899,FIND("-",M899)-1)),M899)*100-(2500+2000000000)/2)&lt;=ABS(2500-2000000000)/2),"Цена со скидкой должна быть от 25 до 20000000",IF(AND(IFERROR(VALUE(LEFT(M899,FIND("-",M899)-1)),M899)*150&lt;=347239,IFERROR(VALUE(LEFT(M899,FIND("-",M899)-1)),M899)*200&gt;347239),"Вы уменьшили цену в несколько раз, товар попадет в карантин цен",IF(IFERROR(VALUE(LEFT(M899,FIND("-",M899)-1)),M899)*200&lt;=347239,"Не сохранили изменения, чтобы защитить от ошибки — новые цены меньше текущих более чем в 2 раза. Снижайте их постепенно",IF(AND(IFERROR(VALUE(I899),0)=0,ISNUMBER(J899),OR(J899&lt;468,ABS(IFERROR(VALUE(LEFT(M899,FIND("-",M899)-1)),M899))*100&lt;46800)),"Проверьте цену товара. Большинство товаров в выбранной категории стоят дороже 468","")))))),"")</f>
      </c>
    </row>
    <row r="900">
      <c r="A900" s="2" t="inlineStr">
        <is>
          <t/>
        </is>
      </c>
      <c r="B900" s="2" t="inlineStr">
        <is>
          <t>Чайники для плиты</t>
        </is>
      </c>
      <c r="C900" s="2">
        <v>729520879</v>
      </c>
      <c r="D900" s="2" t="inlineStr">
        <is>
          <t>82678</t>
        </is>
      </c>
      <c r="E900" s="2" t="inlineStr">
        <is>
          <t>2048082929435</t>
        </is>
      </c>
      <c r="F900" s="2">
        <v>0</v>
      </c>
      <c r="G900" s="2">
        <v>0</v>
      </c>
      <c r="H900" s="2" t="inlineStr">
        <is>
          <t/>
        </is>
      </c>
      <c r="I900" s="2" t="inlineStr">
        <is>
          <t>26164</t>
        </is>
      </c>
      <c r="J900" s="4"/>
      <c r="K900" s="2">
        <v>76</v>
      </c>
      <c r="L900" s="6"/>
      <c r="M900" s="2" t="str">
        <f>IF(J900="",ROUND(I900*(1-IF(ISBLANK(L900),K900,L900)/100),2),ROUND(J900*(1-IF(ISBLANK(L900),K900,L900)/100),2))</f>
      </c>
      <c r="N900" s="7" t="str">
        <f>IF(NOT(AND(J900="",L900="")),IF(OR(AND(L900&lt;&gt;"",NOT(ISNUMBER(L900))),IFERROR(MOD(L900,1),1)&gt;0,AND(ISNUMBER(L900),OR(L900&lt;0,L900&gt;95))),"Введите целое число от 0 до 95",IF(OR(AND(J900&lt;&gt;"",NOT(ISNUMBER(J900))),IFERROR(MOD(J900,1),1)&gt;0,AND(ISNUMBER(J900),OR(J900&lt;50,J900&gt;20000000))),"Введите целое число от 50 до 20000000",IF(NOT(ABS(IFERROR(VALUE(LEFT(M900,FIND("-",M900)-1)),M900)*100-(2500+2000000000)/2)&lt;=ABS(2500-2000000000)/2),"Цена со скидкой должна быть от 25 до 20000000",IF(AND(IFERROR(VALUE(LEFT(M900,FIND("-",M900)-1)),M900)*150&lt;=627936,IFERROR(VALUE(LEFT(M900,FIND("-",M900)-1)),M900)*200&gt;627936),"Вы уменьшили цену в несколько раз, товар попадет в карантин цен",IF(IFERROR(VALUE(LEFT(M900,FIND("-",M900)-1)),M900)*200&lt;=627936,"Не сохранили изменения, чтобы защитить от ошибки — новые цены меньше текущих более чем в 2 раза. Снижайте их постепенно",IF(AND(IFERROR(VALUE(I900),0)=0,ISNUMBER(J900),OR(J900&lt;468,ABS(IFERROR(VALUE(LEFT(M900,FIND("-",M900)-1)),M900))*100&lt;46800)),"Проверьте цену товара. Большинство товаров в выбранной категории стоят дороже 468","")))))),"")</f>
      </c>
    </row>
    <row r="901">
      <c r="A901" s="2" t="inlineStr">
        <is>
          <t/>
        </is>
      </c>
      <c r="B901" s="2" t="inlineStr">
        <is>
          <t>Чайники для плиты</t>
        </is>
      </c>
      <c r="C901" s="2">
        <v>729520901</v>
      </c>
      <c r="D901" s="2" t="inlineStr">
        <is>
          <t>283049</t>
        </is>
      </c>
      <c r="E901" s="2" t="inlineStr">
        <is>
          <t>2048082929596</t>
        </is>
      </c>
      <c r="F901" s="2">
        <v>0</v>
      </c>
      <c r="G901" s="2">
        <v>5</v>
      </c>
      <c r="H901" s="2" t="inlineStr">
        <is>
          <t/>
        </is>
      </c>
      <c r="I901" s="2" t="inlineStr">
        <is>
          <t>18438</t>
        </is>
      </c>
      <c r="J901" s="4"/>
      <c r="K901" s="2">
        <v>80</v>
      </c>
      <c r="L901" s="6"/>
      <c r="M901" s="2" t="str">
        <f>IF(J901="",ROUND(I901*(1-IF(ISBLANK(L901),K901,L901)/100),2),ROUND(J901*(1-IF(ISBLANK(L901),K901,L901)/100),2))</f>
      </c>
      <c r="N901" s="7" t="str">
        <f>IF(NOT(AND(J901="",L901="")),IF(OR(AND(L901&lt;&gt;"",NOT(ISNUMBER(L901))),IFERROR(MOD(L901,1),1)&gt;0,AND(ISNUMBER(L901),OR(L901&lt;0,L901&gt;95))),"Введите целое число от 0 до 95",IF(OR(AND(J901&lt;&gt;"",NOT(ISNUMBER(J901))),IFERROR(MOD(J901,1),1)&gt;0,AND(ISNUMBER(J901),OR(J901&lt;50,J901&gt;20000000))),"Введите целое число от 50 до 20000000",IF(NOT(ABS(IFERROR(VALUE(LEFT(M901,FIND("-",M901)-1)),M901)*100-(2500+2000000000)/2)&lt;=ABS(2500-2000000000)/2),"Цена со скидкой должна быть от 25 до 20000000",IF(AND(IFERROR(VALUE(LEFT(M901,FIND("-",M901)-1)),M901)*150&lt;=368759,IFERROR(VALUE(LEFT(M901,FIND("-",M901)-1)),M901)*200&gt;368759),"Вы уменьшили цену в несколько раз, товар попадет в карантин цен",IF(IFERROR(VALUE(LEFT(M901,FIND("-",M901)-1)),M901)*200&lt;=368759,"Не сохранили изменения, чтобы защитить от ошибки — новые цены меньше текущих более чем в 2 раза. Снижайте их постепенно",IF(AND(IFERROR(VALUE(I901),0)=0,ISNUMBER(J901),OR(J901&lt;468,ABS(IFERROR(VALUE(LEFT(M901,FIND("-",M901)-1)),M901))*100&lt;46800)),"Проверьте цену товара. Большинство товаров в выбранной категории стоят дороже 468","")))))),"")</f>
      </c>
    </row>
    <row r="902">
      <c r="A902" s="2" t="inlineStr">
        <is>
          <t/>
        </is>
      </c>
      <c r="B902" s="2" t="inlineStr">
        <is>
          <t>Чайники для плиты</t>
        </is>
      </c>
      <c r="C902" s="2">
        <v>729520877</v>
      </c>
      <c r="D902" s="2" t="inlineStr">
        <is>
          <t>283484</t>
        </is>
      </c>
      <c r="E902" s="2" t="inlineStr">
        <is>
          <t>2048082929398</t>
        </is>
      </c>
      <c r="F902" s="2">
        <v>0</v>
      </c>
      <c r="G902" s="2">
        <v>0</v>
      </c>
      <c r="H902" s="2" t="inlineStr">
        <is>
          <t/>
        </is>
      </c>
      <c r="I902" s="2" t="inlineStr">
        <is>
          <t>17158</t>
        </is>
      </c>
      <c r="J902" s="4"/>
      <c r="K902" s="2">
        <v>65</v>
      </c>
      <c r="L902" s="6"/>
      <c r="M902" s="2" t="str">
        <f>IF(J902="",ROUND(I902*(1-IF(ISBLANK(L902),K902,L902)/100),2),ROUND(J902*(1-IF(ISBLANK(L902),K902,L902)/100),2))</f>
      </c>
      <c r="N902" s="7" t="str">
        <f>IF(NOT(AND(J902="",L902="")),IF(OR(AND(L902&lt;&gt;"",NOT(ISNUMBER(L902))),IFERROR(MOD(L902,1),1)&gt;0,AND(ISNUMBER(L902),OR(L902&lt;0,L902&gt;95))),"Введите целое число от 0 до 95",IF(OR(AND(J902&lt;&gt;"",NOT(ISNUMBER(J902))),IFERROR(MOD(J902,1),1)&gt;0,AND(ISNUMBER(J902),OR(J902&lt;50,J902&gt;20000000))),"Введите целое число от 50 до 20000000",IF(NOT(ABS(IFERROR(VALUE(LEFT(M902,FIND("-",M902)-1)),M902)*100-(2500+2000000000)/2)&lt;=ABS(2500-2000000000)/2),"Цена со скидкой должна быть от 25 до 20000000",IF(AND(IFERROR(VALUE(LEFT(M902,FIND("-",M902)-1)),M902)*150&lt;=600529,IFERROR(VALUE(LEFT(M902,FIND("-",M902)-1)),M902)*200&gt;600529),"Вы уменьшили цену в несколько раз, товар попадет в карантин цен",IF(IFERROR(VALUE(LEFT(M902,FIND("-",M902)-1)),M902)*200&lt;=600529,"Не сохранили изменения, чтобы защитить от ошибки — новые цены меньше текущих более чем в 2 раза. Снижайте их постепенно",IF(AND(IFERROR(VALUE(I902),0)=0,ISNUMBER(J902),OR(J902&lt;468,ABS(IFERROR(VALUE(LEFT(M902,FIND("-",M902)-1)),M902))*100&lt;46800)),"Проверьте цену товара. Большинство товаров в выбранной категории стоят дороже 468","")))))),"")</f>
      </c>
    </row>
    <row r="903">
      <c r="A903" s="2" t="inlineStr">
        <is>
          <t/>
        </is>
      </c>
      <c r="B903" s="2" t="inlineStr">
        <is>
          <t>Чайники для плиты</t>
        </is>
      </c>
      <c r="C903" s="2">
        <v>729520729</v>
      </c>
      <c r="D903" s="2" t="inlineStr">
        <is>
          <t>281922</t>
        </is>
      </c>
      <c r="E903" s="2" t="inlineStr">
        <is>
          <t>2048082927998</t>
        </is>
      </c>
      <c r="F903" s="2">
        <v>0</v>
      </c>
      <c r="G903" s="2">
        <v>10</v>
      </c>
      <c r="H903" s="2" t="inlineStr">
        <is>
          <t/>
        </is>
      </c>
      <c r="I903" s="2" t="inlineStr">
        <is>
          <t>7975</t>
        </is>
      </c>
      <c r="J903" s="4"/>
      <c r="K903" s="2">
        <v>78</v>
      </c>
      <c r="L903" s="6"/>
      <c r="M903" s="2" t="str">
        <f>IF(J903="",ROUND(I903*(1-IF(ISBLANK(L903),K903,L903)/100),2),ROUND(J903*(1-IF(ISBLANK(L903),K903,L903)/100),2))</f>
      </c>
      <c r="N903" s="7" t="str">
        <f>IF(NOT(AND(J903="",L903="")),IF(OR(AND(L903&lt;&gt;"",NOT(ISNUMBER(L903))),IFERROR(MOD(L903,1),1)&gt;0,AND(ISNUMBER(L903),OR(L903&lt;0,L903&gt;95))),"Введите целое число от 0 до 95",IF(OR(AND(J903&lt;&gt;"",NOT(ISNUMBER(J903))),IFERROR(MOD(J903,1),1)&gt;0,AND(ISNUMBER(J903),OR(J903&lt;50,J903&gt;20000000))),"Введите целое число от 50 до 20000000",IF(NOT(ABS(IFERROR(VALUE(LEFT(M903,FIND("-",M903)-1)),M903)*100-(2500+2000000000)/2)&lt;=ABS(2500-2000000000)/2),"Цена со скидкой должна быть от 25 до 20000000",IF(AND(IFERROR(VALUE(LEFT(M903,FIND("-",M903)-1)),M903)*150&lt;=175449,IFERROR(VALUE(LEFT(M903,FIND("-",M903)-1)),M903)*200&gt;175449),"Вы уменьшили цену в несколько раз, товар попадет в карантин цен",IF(IFERROR(VALUE(LEFT(M903,FIND("-",M903)-1)),M903)*200&lt;=175449,"Не сохранили изменения, чтобы защитить от ошибки — новые цены меньше текущих более чем в 2 раза. Снижайте их постепенно",IF(AND(IFERROR(VALUE(I903),0)=0,ISNUMBER(J903),OR(J903&lt;468,ABS(IFERROR(VALUE(LEFT(M903,FIND("-",M903)-1)),M903))*100&lt;46800)),"Проверьте цену товара. Большинство товаров в выбранной категории стоят дороже 468","")))))),"")</f>
      </c>
    </row>
    <row r="904">
      <c r="A904" s="2" t="inlineStr">
        <is>
          <t/>
        </is>
      </c>
      <c r="B904" s="2" t="inlineStr">
        <is>
          <t>Чайники для плиты</t>
        </is>
      </c>
      <c r="C904" s="2">
        <v>729520848</v>
      </c>
      <c r="D904" s="2" t="inlineStr">
        <is>
          <t>281572</t>
        </is>
      </c>
      <c r="E904" s="2" t="inlineStr">
        <is>
          <t>2048082929169</t>
        </is>
      </c>
      <c r="F904" s="2">
        <v>0</v>
      </c>
      <c r="G904" s="2">
        <v>0</v>
      </c>
      <c r="H904" s="2" t="inlineStr">
        <is>
          <t/>
        </is>
      </c>
      <c r="I904" s="2" t="inlineStr">
        <is>
          <t>18357</t>
        </is>
      </c>
      <c r="J904" s="4"/>
      <c r="K904" s="2">
        <v>65</v>
      </c>
      <c r="L904" s="6"/>
      <c r="M904" s="2" t="str">
        <f>IF(J904="",ROUND(I904*(1-IF(ISBLANK(L904),K904,L904)/100),2),ROUND(J904*(1-IF(ISBLANK(L904),K904,L904)/100),2))</f>
      </c>
      <c r="N904" s="7" t="str">
        <f>IF(NOT(AND(J904="",L904="")),IF(OR(AND(L904&lt;&gt;"",NOT(ISNUMBER(L904))),IFERROR(MOD(L904,1),1)&gt;0,AND(ISNUMBER(L904),OR(L904&lt;0,L904&gt;95))),"Введите целое число от 0 до 95",IF(OR(AND(J904&lt;&gt;"",NOT(ISNUMBER(J904))),IFERROR(MOD(J904,1),1)&gt;0,AND(ISNUMBER(J904),OR(J904&lt;50,J904&gt;20000000))),"Введите целое число от 50 до 20000000",IF(NOT(ABS(IFERROR(VALUE(LEFT(M904,FIND("-",M904)-1)),M904)*100-(2500+2000000000)/2)&lt;=ABS(2500-2000000000)/2),"Цена со скидкой должна быть от 25 до 20000000",IF(AND(IFERROR(VALUE(LEFT(M904,FIND("-",M904)-1)),M904)*150&lt;=642495,IFERROR(VALUE(LEFT(M904,FIND("-",M904)-1)),M904)*200&gt;642495),"Вы уменьшили цену в несколько раз, товар попадет в карантин цен",IF(IFERROR(VALUE(LEFT(M904,FIND("-",M904)-1)),M904)*200&lt;=642495,"Не сохранили изменения, чтобы защитить от ошибки — новые цены меньше текущих более чем в 2 раза. Снижайте их постепенно",IF(AND(IFERROR(VALUE(I904),0)=0,ISNUMBER(J904),OR(J904&lt;468,ABS(IFERROR(VALUE(LEFT(M904,FIND("-",M904)-1)),M904))*100&lt;46800)),"Проверьте цену товара. Большинство товаров в выбранной категории стоят дороже 468","")))))),"")</f>
      </c>
    </row>
    <row r="905">
      <c r="A905" s="2" t="inlineStr">
        <is>
          <t/>
        </is>
      </c>
      <c r="B905" s="2" t="inlineStr">
        <is>
          <t>Чайники для плиты</t>
        </is>
      </c>
      <c r="C905" s="2">
        <v>729520844</v>
      </c>
      <c r="D905" s="2" t="inlineStr">
        <is>
          <t>283527</t>
        </is>
      </c>
      <c r="E905" s="2" t="inlineStr">
        <is>
          <t>2048082929152</t>
        </is>
      </c>
      <c r="F905" s="2">
        <v>0</v>
      </c>
      <c r="G905" s="2">
        <v>11</v>
      </c>
      <c r="H905" s="2" t="inlineStr">
        <is>
          <t/>
        </is>
      </c>
      <c r="I905" s="2" t="inlineStr">
        <is>
          <t>17331</t>
        </is>
      </c>
      <c r="J905" s="4"/>
      <c r="K905" s="2">
        <v>65</v>
      </c>
      <c r="L905" s="6"/>
      <c r="M905" s="2" t="str">
        <f>IF(J905="",ROUND(I905*(1-IF(ISBLANK(L905),K905,L905)/100),2),ROUND(J905*(1-IF(ISBLANK(L905),K905,L905)/100),2))</f>
      </c>
      <c r="N905" s="7" t="str">
        <f>IF(NOT(AND(J905="",L905="")),IF(OR(AND(L905&lt;&gt;"",NOT(ISNUMBER(L905))),IFERROR(MOD(L905,1),1)&gt;0,AND(ISNUMBER(L905),OR(L905&lt;0,L905&gt;95))),"Введите целое число от 0 до 95",IF(OR(AND(J905&lt;&gt;"",NOT(ISNUMBER(J905))),IFERROR(MOD(J905,1),1)&gt;0,AND(ISNUMBER(J905),OR(J905&lt;50,J905&gt;20000000))),"Введите целое число от 50 до 20000000",IF(NOT(ABS(IFERROR(VALUE(LEFT(M905,FIND("-",M905)-1)),M905)*100-(2500+2000000000)/2)&lt;=ABS(2500-2000000000)/2),"Цена со скидкой должна быть от 25 до 20000000",IF(AND(IFERROR(VALUE(LEFT(M905,FIND("-",M905)-1)),M905)*150&lt;=606585,IFERROR(VALUE(LEFT(M905,FIND("-",M905)-1)),M905)*200&gt;606585),"Вы уменьшили цену в несколько раз, товар попадет в карантин цен",IF(IFERROR(VALUE(LEFT(M905,FIND("-",M905)-1)),M905)*200&lt;=606585,"Не сохранили изменения, чтобы защитить от ошибки — новые цены меньше текущих более чем в 2 раза. Снижайте их постепенно",IF(AND(IFERROR(VALUE(I905),0)=0,ISNUMBER(J905),OR(J905&lt;468,ABS(IFERROR(VALUE(LEFT(M905,FIND("-",M905)-1)),M905))*100&lt;46800)),"Проверьте цену товара. Большинство товаров в выбранной категории стоят дороже 468","")))))),"")</f>
      </c>
    </row>
    <row r="906">
      <c r="A906" s="2" t="inlineStr">
        <is>
          <t/>
        </is>
      </c>
      <c r="B906" s="2" t="inlineStr">
        <is>
          <t>Чайники для плиты</t>
        </is>
      </c>
      <c r="C906" s="2">
        <v>729520895</v>
      </c>
      <c r="D906" s="2" t="inlineStr">
        <is>
          <t>283135</t>
        </is>
      </c>
      <c r="E906" s="2" t="inlineStr">
        <is>
          <t>2048082929565</t>
        </is>
      </c>
      <c r="F906" s="2">
        <v>0</v>
      </c>
      <c r="G906" s="2">
        <v>3</v>
      </c>
      <c r="H906" s="2" t="inlineStr">
        <is>
          <t/>
        </is>
      </c>
      <c r="I906" s="2" t="inlineStr">
        <is>
          <t>13029</t>
        </is>
      </c>
      <c r="J906" s="4"/>
      <c r="K906" s="2">
        <v>78</v>
      </c>
      <c r="L906" s="6"/>
      <c r="M906" s="2" t="str">
        <f>IF(J906="",ROUND(I906*(1-IF(ISBLANK(L906),K906,L906)/100),2),ROUND(J906*(1-IF(ISBLANK(L906),K906,L906)/100),2))</f>
      </c>
      <c r="N906" s="7" t="str">
        <f>IF(NOT(AND(J906="",L906="")),IF(OR(AND(L906&lt;&gt;"",NOT(ISNUMBER(L906))),IFERROR(MOD(L906,1),1)&gt;0,AND(ISNUMBER(L906),OR(L906&lt;0,L906&gt;95))),"Введите целое число от 0 до 95",IF(OR(AND(J906&lt;&gt;"",NOT(ISNUMBER(J906))),IFERROR(MOD(J906,1),1)&gt;0,AND(ISNUMBER(J906),OR(J906&lt;50,J906&gt;20000000))),"Введите целое число от 50 до 20000000",IF(NOT(ABS(IFERROR(VALUE(LEFT(M906,FIND("-",M906)-1)),M906)*100-(2500+2000000000)/2)&lt;=ABS(2500-2000000000)/2),"Цена со скидкой должна быть от 25 до 20000000",IF(AND(IFERROR(VALUE(LEFT(M906,FIND("-",M906)-1)),M906)*150&lt;=286637,IFERROR(VALUE(LEFT(M906,FIND("-",M906)-1)),M906)*200&gt;286637),"Вы уменьшили цену в несколько раз, товар попадет в карантин цен",IF(IFERROR(VALUE(LEFT(M906,FIND("-",M906)-1)),M906)*200&lt;=286637,"Не сохранили изменения, чтобы защитить от ошибки — новые цены меньше текущих более чем в 2 раза. Снижайте их постепенно",IF(AND(IFERROR(VALUE(I906),0)=0,ISNUMBER(J906),OR(J906&lt;468,ABS(IFERROR(VALUE(LEFT(M906,FIND("-",M906)-1)),M906))*100&lt;46800)),"Проверьте цену товара. Большинство товаров в выбранной категории стоят дороже 468","")))))),"")</f>
      </c>
    </row>
    <row r="907">
      <c r="A907" s="2" t="inlineStr">
        <is>
          <t/>
        </is>
      </c>
      <c r="B907" s="2" t="inlineStr">
        <is>
          <t>Чайники для плиты</t>
        </is>
      </c>
      <c r="C907" s="2">
        <v>729520763</v>
      </c>
      <c r="D907" s="2" t="inlineStr">
        <is>
          <t>283482</t>
        </is>
      </c>
      <c r="E907" s="2" t="inlineStr">
        <is>
          <t>2048082928384</t>
        </is>
      </c>
      <c r="F907" s="2">
        <v>0</v>
      </c>
      <c r="G907" s="2">
        <v>1</v>
      </c>
      <c r="H907" s="2" t="inlineStr">
        <is>
          <t/>
        </is>
      </c>
      <c r="I907" s="2" t="inlineStr">
        <is>
          <t>15360</t>
        </is>
      </c>
      <c r="J907" s="4"/>
      <c r="K907" s="2">
        <v>78</v>
      </c>
      <c r="L907" s="6"/>
      <c r="M907" s="2" t="str">
        <f>IF(J907="",ROUND(I907*(1-IF(ISBLANK(L907),K907,L907)/100),2),ROUND(J907*(1-IF(ISBLANK(L907),K907,L907)/100),2))</f>
      </c>
      <c r="N907" s="7" t="str">
        <f>IF(NOT(AND(J907="",L907="")),IF(OR(AND(L907&lt;&gt;"",NOT(ISNUMBER(L907))),IFERROR(MOD(L907,1),1)&gt;0,AND(ISNUMBER(L907),OR(L907&lt;0,L907&gt;95))),"Введите целое число от 0 до 95",IF(OR(AND(J907&lt;&gt;"",NOT(ISNUMBER(J907))),IFERROR(MOD(J907,1),1)&gt;0,AND(ISNUMBER(J907),OR(J907&lt;50,J907&gt;20000000))),"Введите целое число от 50 до 20000000",IF(NOT(ABS(IFERROR(VALUE(LEFT(M907,FIND("-",M907)-1)),M907)*100-(2500+2000000000)/2)&lt;=ABS(2500-2000000000)/2),"Цена со скидкой должна быть от 25 до 20000000",IF(AND(IFERROR(VALUE(LEFT(M907,FIND("-",M907)-1)),M907)*150&lt;=337920,IFERROR(VALUE(LEFT(M907,FIND("-",M907)-1)),M907)*200&gt;337920),"Вы уменьшили цену в несколько раз, товар попадет в карантин цен",IF(IFERROR(VALUE(LEFT(M907,FIND("-",M907)-1)),M907)*200&lt;=337920,"Не сохранили изменения, чтобы защитить от ошибки — новые цены меньше текущих более чем в 2 раза. Снижайте их постепенно",IF(AND(IFERROR(VALUE(I907),0)=0,ISNUMBER(J907),OR(J907&lt;468,ABS(IFERROR(VALUE(LEFT(M907,FIND("-",M907)-1)),M907))*100&lt;46800)),"Проверьте цену товара. Большинство товаров в выбранной категории стоят дороже 468","")))))),"")</f>
      </c>
    </row>
    <row r="908">
      <c r="A908" s="2" t="inlineStr">
        <is>
          <t/>
        </is>
      </c>
      <c r="B908" s="2" t="inlineStr">
        <is>
          <t>Чайники заварочные</t>
        </is>
      </c>
      <c r="C908" s="2">
        <v>729548543</v>
      </c>
      <c r="D908" s="2" t="inlineStr">
        <is>
          <t>075297</t>
        </is>
      </c>
      <c r="E908" s="2" t="inlineStr">
        <is>
          <t>2048083257001</t>
        </is>
      </c>
      <c r="F908" s="2">
        <v>0</v>
      </c>
      <c r="G908" s="2">
        <v>0</v>
      </c>
      <c r="H908" s="2" t="inlineStr">
        <is>
          <t/>
        </is>
      </c>
      <c r="I908" s="2" t="inlineStr">
        <is>
          <t>0</t>
        </is>
      </c>
      <c r="J908" s="4"/>
      <c r="K908" s="2">
        <v>0</v>
      </c>
      <c r="L908" s="6"/>
      <c r="M908" s="2" t="str">
        <f>IF(J908="",ROUND(I908*(1-IF(ISBLANK(L908),K908,L908)/100),2),ROUND(J908*(1-IF(ISBLANK(L908),K908,L908)/100),2))</f>
      </c>
      <c r="N908" s="7" t="str">
        <f>IF(NOT(AND(J908="",L908="")),IF(OR(AND(L908&lt;&gt;"",NOT(ISNUMBER(L908))),IFERROR(MOD(L908,1),1)&gt;0,AND(ISNUMBER(L908),OR(L908&lt;0,L908&gt;95))),"Введите целое число от 0 до 95",IF(OR(AND(J908&lt;&gt;"",NOT(ISNUMBER(J908))),IFERROR(MOD(J908,1),1)&gt;0,AND(ISNUMBER(J908),OR(J908&lt;50,J908&gt;20000000))),"Введите целое число от 50 до 20000000",IF(NOT(ABS(IFERROR(VALUE(LEFT(M908,FIND("-",M908)-1)),M908)*100-(2500+2000000000)/2)&lt;=ABS(2500-2000000000)/2),"Цена со скидкой должна быть от 25 до 20000000",IF(AND(IFERROR(VALUE(LEFT(M908,FIND("-",M908)-1)),M908)*150&lt;=0,IFERROR(VALUE(LEFT(M908,FIND("-",M908)-1)),M908)*200&gt;0),"Вы уменьшили цену в несколько раз, товар попадет в карантин цен",IF(IFERROR(VALUE(LEFT(M908,FIND("-",M908)-1)),M908)*200&lt;=0,"Не сохранили изменения, чтобы защитить от ошибки — новые цены меньше текущих более чем в 2 раза. Снижайте их постепенно",IF(AND(IFERROR(VALUE(I908),0)=0,ISNUMBER(J908),OR(J908&lt;681,ABS(IFERROR(VALUE(LEFT(M908,FIND("-",M908)-1)),M908))*100&lt;68100)),"Проверьте цену товара. Большинство товаров в выбранной категории стоят дороже 681","")))))),"")</f>
      </c>
    </row>
    <row r="909">
      <c r="A909" s="2" t="inlineStr">
        <is>
          <t/>
        </is>
      </c>
      <c r="B909" s="2" t="inlineStr">
        <is>
          <t>Чайники заварочные</t>
        </is>
      </c>
      <c r="C909" s="2">
        <v>729548545</v>
      </c>
      <c r="D909" s="2" t="inlineStr">
        <is>
          <t>075505</t>
        </is>
      </c>
      <c r="E909" s="2" t="inlineStr">
        <is>
          <t>2048083257032</t>
        </is>
      </c>
      <c r="F909" s="2">
        <v>0</v>
      </c>
      <c r="G909" s="2">
        <v>1</v>
      </c>
      <c r="H909" s="2" t="inlineStr">
        <is>
          <t/>
        </is>
      </c>
      <c r="I909" s="2" t="inlineStr">
        <is>
          <t>0</t>
        </is>
      </c>
      <c r="J909" s="4"/>
      <c r="K909" s="2">
        <v>0</v>
      </c>
      <c r="L909" s="6"/>
      <c r="M909" s="2" t="str">
        <f>IF(J909="",ROUND(I909*(1-IF(ISBLANK(L909),K909,L909)/100),2),ROUND(J909*(1-IF(ISBLANK(L909),K909,L909)/100),2))</f>
      </c>
      <c r="N909" s="7" t="str">
        <f>IF(NOT(AND(J909="",L909="")),IF(OR(AND(L909&lt;&gt;"",NOT(ISNUMBER(L909))),IFERROR(MOD(L909,1),1)&gt;0,AND(ISNUMBER(L909),OR(L909&lt;0,L909&gt;95))),"Введите целое число от 0 до 95",IF(OR(AND(J909&lt;&gt;"",NOT(ISNUMBER(J909))),IFERROR(MOD(J909,1),1)&gt;0,AND(ISNUMBER(J909),OR(J909&lt;50,J909&gt;20000000))),"Введите целое число от 50 до 20000000",IF(NOT(ABS(IFERROR(VALUE(LEFT(M909,FIND("-",M909)-1)),M909)*100-(2500+2000000000)/2)&lt;=ABS(2500-2000000000)/2),"Цена со скидкой должна быть от 25 до 20000000",IF(AND(IFERROR(VALUE(LEFT(M909,FIND("-",M909)-1)),M909)*150&lt;=0,IFERROR(VALUE(LEFT(M909,FIND("-",M909)-1)),M909)*200&gt;0),"Вы уменьшили цену в несколько раз, товар попадет в карантин цен",IF(IFERROR(VALUE(LEFT(M909,FIND("-",M909)-1)),M909)*200&lt;=0,"Не сохранили изменения, чтобы защитить от ошибки — новые цены меньше текущих более чем в 2 раза. Снижайте их постепенно",IF(AND(IFERROR(VALUE(I909),0)=0,ISNUMBER(J909),OR(J909&lt;681,ABS(IFERROR(VALUE(LEFT(M909,FIND("-",M909)-1)),M909))*100&lt;68100)),"Проверьте цену товара. Большинство товаров в выбранной категории стоят дороже 681","")))))),"")</f>
      </c>
    </row>
    <row r="910">
      <c r="A910" s="2" t="inlineStr">
        <is>
          <t/>
        </is>
      </c>
      <c r="B910" s="2" t="inlineStr">
        <is>
          <t>Чайники заварочные</t>
        </is>
      </c>
      <c r="C910" s="2">
        <v>729548694</v>
      </c>
      <c r="D910" s="2" t="inlineStr">
        <is>
          <t>074895</t>
        </is>
      </c>
      <c r="E910" s="2" t="inlineStr">
        <is>
          <t>2048083257643</t>
        </is>
      </c>
      <c r="F910" s="2">
        <v>0</v>
      </c>
      <c r="G910" s="2">
        <v>0</v>
      </c>
      <c r="H910" s="2" t="inlineStr">
        <is>
          <t/>
        </is>
      </c>
      <c r="I910" s="2" t="inlineStr">
        <is>
          <t>0</t>
        </is>
      </c>
      <c r="J910" s="4"/>
      <c r="K910" s="2">
        <v>0</v>
      </c>
      <c r="L910" s="6"/>
      <c r="M910" s="2" t="str">
        <f>IF(J910="",ROUND(I910*(1-IF(ISBLANK(L910),K910,L910)/100),2),ROUND(J910*(1-IF(ISBLANK(L910),K910,L910)/100),2))</f>
      </c>
      <c r="N910" s="7" t="str">
        <f>IF(NOT(AND(J910="",L910="")),IF(OR(AND(L910&lt;&gt;"",NOT(ISNUMBER(L910))),IFERROR(MOD(L910,1),1)&gt;0,AND(ISNUMBER(L910),OR(L910&lt;0,L910&gt;95))),"Введите целое число от 0 до 95",IF(OR(AND(J910&lt;&gt;"",NOT(ISNUMBER(J910))),IFERROR(MOD(J910,1),1)&gt;0,AND(ISNUMBER(J910),OR(J910&lt;50,J910&gt;20000000))),"Введите целое число от 50 до 20000000",IF(NOT(ABS(IFERROR(VALUE(LEFT(M910,FIND("-",M910)-1)),M910)*100-(2500+2000000000)/2)&lt;=ABS(2500-2000000000)/2),"Цена со скидкой должна быть от 25 до 20000000",IF(AND(IFERROR(VALUE(LEFT(M910,FIND("-",M910)-1)),M910)*150&lt;=0,IFERROR(VALUE(LEFT(M910,FIND("-",M910)-1)),M910)*200&gt;0),"Вы уменьшили цену в несколько раз, товар попадет в карантин цен",IF(IFERROR(VALUE(LEFT(M910,FIND("-",M910)-1)),M910)*200&lt;=0,"Не сохранили изменения, чтобы защитить от ошибки — новые цены меньше текущих более чем в 2 раза. Снижайте их постепенно",IF(AND(IFERROR(VALUE(I910),0)=0,ISNUMBER(J910),OR(J910&lt;681,ABS(IFERROR(VALUE(LEFT(M910,FIND("-",M910)-1)),M910))*100&lt;68100)),"Проверьте цену товара. Большинство товаров в выбранной категории стоят дороже 681","")))))),"")</f>
      </c>
    </row>
    <row r="911">
      <c r="A911" s="2" t="inlineStr">
        <is>
          <t/>
        </is>
      </c>
      <c r="B911" s="2" t="inlineStr">
        <is>
          <t>Чайники заварочные</t>
        </is>
      </c>
      <c r="C911" s="2">
        <v>729548700</v>
      </c>
      <c r="D911" s="2" t="inlineStr">
        <is>
          <t>820415</t>
        </is>
      </c>
      <c r="E911" s="2" t="inlineStr">
        <is>
          <t>2048083257711</t>
        </is>
      </c>
      <c r="F911" s="2">
        <v>28</v>
      </c>
      <c r="G911" s="2">
        <v>23</v>
      </c>
      <c r="H911" s="2">
        <v>999</v>
      </c>
      <c r="I911" s="2" t="inlineStr">
        <is>
          <t>6265</t>
        </is>
      </c>
      <c r="J911" s="4"/>
      <c r="K911" s="2">
        <v>83</v>
      </c>
      <c r="L911" s="6"/>
      <c r="M911" s="2" t="str">
        <f>IF(J911="",ROUND(I911*(1-IF(ISBLANK(L911),K911,L911)/100),2),ROUND(J911*(1-IF(ISBLANK(L911),K911,L911)/100),2))</f>
      </c>
      <c r="N911" s="7" t="str">
        <f>IF(NOT(AND(J911="",L911="")),IF(OR(AND(L911&lt;&gt;"",NOT(ISNUMBER(L911))),IFERROR(MOD(L911,1),1)&gt;0,AND(ISNUMBER(L911),OR(L911&lt;0,L911&gt;95))),"Введите целое число от 0 до 95",IF(OR(AND(J911&lt;&gt;"",NOT(ISNUMBER(J911))),IFERROR(MOD(J911,1),1)&gt;0,AND(ISNUMBER(J911),OR(J911&lt;50,J911&gt;20000000))),"Введите целое число от 50 до 20000000",IF(NOT(ABS(IFERROR(VALUE(LEFT(M911,FIND("-",M911)-1)),M911)*100-(2500+2000000000)/2)&lt;=ABS(2500-2000000000)/2),"Цена со скидкой должна быть от 25 до 20000000",IF(AND(IFERROR(VALUE(LEFT(M911,FIND("-",M911)-1)),M911)*150&lt;=106505,IFERROR(VALUE(LEFT(M911,FIND("-",M911)-1)),M911)*200&gt;106505),"Вы уменьшили цену в несколько раз, товар попадет в карантин цен",IF(IFERROR(VALUE(LEFT(M911,FIND("-",M911)-1)),M911)*200&lt;=106505,"Не сохранили изменения, чтобы защитить от ошибки — новые цены меньше текущих более чем в 2 раза. Снижайте их постепенно",IF(AND(IFERROR(VALUE(I911),0)=0,ISNUMBER(J911),OR(J911&lt;681,ABS(IFERROR(VALUE(LEFT(M911,FIND("-",M911)-1)),M911))*100&lt;68100)),"Проверьте цену товара. Большинство товаров в выбранной категории стоят дороже 681","")))))),"")</f>
      </c>
    </row>
    <row r="912">
      <c r="A912" s="2" t="inlineStr">
        <is>
          <t/>
        </is>
      </c>
      <c r="B912" s="2" t="inlineStr">
        <is>
          <t>Чайники заварочные</t>
        </is>
      </c>
      <c r="C912" s="2">
        <v>729548456</v>
      </c>
      <c r="D912" s="2" t="inlineStr">
        <is>
          <t>820979</t>
        </is>
      </c>
      <c r="E912" s="2" t="inlineStr">
        <is>
          <t>2048083256226</t>
        </is>
      </c>
      <c r="F912" s="2">
        <v>16</v>
      </c>
      <c r="G912" s="2">
        <v>0</v>
      </c>
      <c r="H912" s="2">
        <v>999</v>
      </c>
      <c r="I912" s="2" t="inlineStr">
        <is>
          <t>4700</t>
        </is>
      </c>
      <c r="J912" s="4"/>
      <c r="K912" s="2">
        <v>81</v>
      </c>
      <c r="L912" s="6"/>
      <c r="M912" s="2" t="str">
        <f>IF(J912="",ROUND(I912*(1-IF(ISBLANK(L912),K912,L912)/100),2),ROUND(J912*(1-IF(ISBLANK(L912),K912,L912)/100),2))</f>
      </c>
      <c r="N912" s="7" t="str">
        <f>IF(NOT(AND(J912="",L912="")),IF(OR(AND(L912&lt;&gt;"",NOT(ISNUMBER(L912))),IFERROR(MOD(L912,1),1)&gt;0,AND(ISNUMBER(L912),OR(L912&lt;0,L912&gt;95))),"Введите целое число от 0 до 95",IF(OR(AND(J912&lt;&gt;"",NOT(ISNUMBER(J912))),IFERROR(MOD(J912,1),1)&gt;0,AND(ISNUMBER(J912),OR(J912&lt;50,J912&gt;20000000))),"Введите целое число от 50 до 20000000",IF(NOT(ABS(IFERROR(VALUE(LEFT(M912,FIND("-",M912)-1)),M912)*100-(2500+2000000000)/2)&lt;=ABS(2500-2000000000)/2),"Цена со скидкой должна быть от 25 до 20000000",IF(AND(IFERROR(VALUE(LEFT(M912,FIND("-",M912)-1)),M912)*150&lt;=89299,IFERROR(VALUE(LEFT(M912,FIND("-",M912)-1)),M912)*200&gt;89299),"Вы уменьшили цену в несколько раз, товар попадет в карантин цен",IF(IFERROR(VALUE(LEFT(M912,FIND("-",M912)-1)),M912)*200&lt;=89299,"Не сохранили изменения, чтобы защитить от ошибки — новые цены меньше текущих более чем в 2 раза. Снижайте их постепенно",IF(AND(IFERROR(VALUE(I912),0)=0,ISNUMBER(J912),OR(J912&lt;681,ABS(IFERROR(VALUE(LEFT(M912,FIND("-",M912)-1)),M912))*100&lt;68100)),"Проверьте цену товара. Большинство товаров в выбранной категории стоят дороже 681","")))))),"")</f>
      </c>
    </row>
    <row r="913">
      <c r="A913" s="2" t="inlineStr">
        <is>
          <t/>
        </is>
      </c>
      <c r="B913" s="2" t="inlineStr">
        <is>
          <t>Чайники заварочные</t>
        </is>
      </c>
      <c r="C913" s="2">
        <v>729548692</v>
      </c>
      <c r="D913" s="2" t="inlineStr">
        <is>
          <t>074324</t>
        </is>
      </c>
      <c r="E913" s="2" t="inlineStr">
        <is>
          <t>2048083257629</t>
        </is>
      </c>
      <c r="F913" s="2">
        <v>0</v>
      </c>
      <c r="G913" s="2">
        <v>0</v>
      </c>
      <c r="H913" s="2" t="inlineStr">
        <is>
          <t/>
        </is>
      </c>
      <c r="I913" s="2" t="inlineStr">
        <is>
          <t>0</t>
        </is>
      </c>
      <c r="J913" s="4"/>
      <c r="K913" s="2">
        <v>0</v>
      </c>
      <c r="L913" s="6"/>
      <c r="M913" s="2" t="str">
        <f>IF(J913="",ROUND(I913*(1-IF(ISBLANK(L913),K913,L913)/100),2),ROUND(J913*(1-IF(ISBLANK(L913),K913,L913)/100),2))</f>
      </c>
      <c r="N913" s="7" t="str">
        <f>IF(NOT(AND(J913="",L913="")),IF(OR(AND(L913&lt;&gt;"",NOT(ISNUMBER(L913))),IFERROR(MOD(L913,1),1)&gt;0,AND(ISNUMBER(L913),OR(L913&lt;0,L913&gt;95))),"Введите целое число от 0 до 95",IF(OR(AND(J913&lt;&gt;"",NOT(ISNUMBER(J913))),IFERROR(MOD(J913,1),1)&gt;0,AND(ISNUMBER(J913),OR(J913&lt;50,J913&gt;20000000))),"Введите целое число от 50 до 20000000",IF(NOT(ABS(IFERROR(VALUE(LEFT(M913,FIND("-",M913)-1)),M913)*100-(2500+2000000000)/2)&lt;=ABS(2500-2000000000)/2),"Цена со скидкой должна быть от 25 до 20000000",IF(AND(IFERROR(VALUE(LEFT(M913,FIND("-",M913)-1)),M913)*150&lt;=0,IFERROR(VALUE(LEFT(M913,FIND("-",M913)-1)),M913)*200&gt;0),"Вы уменьшили цену в несколько раз, товар попадет в карантин цен",IF(IFERROR(VALUE(LEFT(M913,FIND("-",M913)-1)),M913)*200&lt;=0,"Не сохранили изменения, чтобы защитить от ошибки — новые цены меньше текущих более чем в 2 раза. Снижайте их постепенно",IF(AND(IFERROR(VALUE(I913),0)=0,ISNUMBER(J913),OR(J913&lt;681,ABS(IFERROR(VALUE(LEFT(M913,FIND("-",M913)-1)),M913))*100&lt;68100)),"Проверьте цену товара. Большинство товаров в выбранной категории стоят дороже 681","")))))),"")</f>
      </c>
    </row>
    <row r="914">
      <c r="A914" s="2" t="inlineStr">
        <is>
          <t/>
        </is>
      </c>
      <c r="B914" s="2" t="inlineStr">
        <is>
          <t>Чайники заварочные</t>
        </is>
      </c>
      <c r="C914" s="2">
        <v>729548709</v>
      </c>
      <c r="D914" s="2" t="inlineStr">
        <is>
          <t>820417</t>
        </is>
      </c>
      <c r="E914" s="2" t="inlineStr">
        <is>
          <t>2048083257827</t>
        </is>
      </c>
      <c r="F914" s="2">
        <v>0</v>
      </c>
      <c r="G914" s="2">
        <v>21</v>
      </c>
      <c r="H914" s="2" t="inlineStr">
        <is>
          <t/>
        </is>
      </c>
      <c r="I914" s="2" t="inlineStr">
        <is>
          <t>7580</t>
        </is>
      </c>
      <c r="J914" s="4"/>
      <c r="K914" s="2">
        <v>78</v>
      </c>
      <c r="L914" s="6"/>
      <c r="M914" s="2" t="str">
        <f>IF(J914="",ROUND(I914*(1-IF(ISBLANK(L914),K914,L914)/100),2),ROUND(J914*(1-IF(ISBLANK(L914),K914,L914)/100),2))</f>
      </c>
      <c r="N914" s="7" t="str">
        <f>IF(NOT(AND(J914="",L914="")),IF(OR(AND(L914&lt;&gt;"",NOT(ISNUMBER(L914))),IFERROR(MOD(L914,1),1)&gt;0,AND(ISNUMBER(L914),OR(L914&lt;0,L914&gt;95))),"Введите целое число от 0 до 95",IF(OR(AND(J914&lt;&gt;"",NOT(ISNUMBER(J914))),IFERROR(MOD(J914,1),1)&gt;0,AND(ISNUMBER(J914),OR(J914&lt;50,J914&gt;20000000))),"Введите целое число от 50 до 20000000",IF(NOT(ABS(IFERROR(VALUE(LEFT(M914,FIND("-",M914)-1)),M914)*100-(2500+2000000000)/2)&lt;=ABS(2500-2000000000)/2),"Цена со скидкой должна быть от 25 до 20000000",IF(AND(IFERROR(VALUE(LEFT(M914,FIND("-",M914)-1)),M914)*150&lt;=166760,IFERROR(VALUE(LEFT(M914,FIND("-",M914)-1)),M914)*200&gt;166760),"Вы уменьшили цену в несколько раз, товар попадет в карантин цен",IF(IFERROR(VALUE(LEFT(M914,FIND("-",M914)-1)),M914)*200&lt;=166760,"Не сохранили изменения, чтобы защитить от ошибки — новые цены меньше текущих более чем в 2 раза. Снижайте их постепенно",IF(AND(IFERROR(VALUE(I914),0)=0,ISNUMBER(J914),OR(J914&lt;681,ABS(IFERROR(VALUE(LEFT(M914,FIND("-",M914)-1)),M914))*100&lt;68100)),"Проверьте цену товара. Большинство товаров в выбранной категории стоят дороже 681","")))))),"")</f>
      </c>
    </row>
    <row r="915">
      <c r="A915" s="2" t="inlineStr">
        <is>
          <t/>
        </is>
      </c>
      <c r="B915" s="2" t="inlineStr">
        <is>
          <t>Чайники заварочные</t>
        </is>
      </c>
      <c r="C915" s="2">
        <v>729548530</v>
      </c>
      <c r="D915" s="2" t="inlineStr">
        <is>
          <t>075077</t>
        </is>
      </c>
      <c r="E915" s="2" t="inlineStr">
        <is>
          <t>2048083256790</t>
        </is>
      </c>
      <c r="F915" s="2">
        <v>0</v>
      </c>
      <c r="G915" s="2">
        <v>0</v>
      </c>
      <c r="H915" s="2" t="inlineStr">
        <is>
          <t/>
        </is>
      </c>
      <c r="I915" s="2" t="inlineStr">
        <is>
          <t>0</t>
        </is>
      </c>
      <c r="J915" s="4"/>
      <c r="K915" s="2">
        <v>0</v>
      </c>
      <c r="L915" s="6"/>
      <c r="M915" s="2" t="str">
        <f>IF(J915="",ROUND(I915*(1-IF(ISBLANK(L915),K915,L915)/100),2),ROUND(J915*(1-IF(ISBLANK(L915),K915,L915)/100),2))</f>
      </c>
      <c r="N915" s="7" t="str">
        <f>IF(NOT(AND(J915="",L915="")),IF(OR(AND(L915&lt;&gt;"",NOT(ISNUMBER(L915))),IFERROR(MOD(L915,1),1)&gt;0,AND(ISNUMBER(L915),OR(L915&lt;0,L915&gt;95))),"Введите целое число от 0 до 95",IF(OR(AND(J915&lt;&gt;"",NOT(ISNUMBER(J915))),IFERROR(MOD(J915,1),1)&gt;0,AND(ISNUMBER(J915),OR(J915&lt;50,J915&gt;20000000))),"Введите целое число от 50 до 20000000",IF(NOT(ABS(IFERROR(VALUE(LEFT(M915,FIND("-",M915)-1)),M915)*100-(2500+2000000000)/2)&lt;=ABS(2500-2000000000)/2),"Цена со скидкой должна быть от 25 до 20000000",IF(AND(IFERROR(VALUE(LEFT(M915,FIND("-",M915)-1)),M915)*150&lt;=0,IFERROR(VALUE(LEFT(M915,FIND("-",M915)-1)),M915)*200&gt;0),"Вы уменьшили цену в несколько раз, товар попадет в карантин цен",IF(IFERROR(VALUE(LEFT(M915,FIND("-",M915)-1)),M915)*200&lt;=0,"Не сохранили изменения, чтобы защитить от ошибки — новые цены меньше текущих более чем в 2 раза. Снижайте их постепенно",IF(AND(IFERROR(VALUE(I915),0)=0,ISNUMBER(J915),OR(J915&lt;681,ABS(IFERROR(VALUE(LEFT(M915,FIND("-",M915)-1)),M915))*100&lt;68100)),"Проверьте цену товара. Большинство товаров в выбранной категории стоят дороже 681","")))))),"")</f>
      </c>
    </row>
    <row r="916">
      <c r="A916" s="2" t="inlineStr">
        <is>
          <t/>
        </is>
      </c>
      <c r="B916" s="2" t="inlineStr">
        <is>
          <t>Чайники заварочные</t>
        </is>
      </c>
      <c r="C916" s="2">
        <v>729548538</v>
      </c>
      <c r="D916" s="2" t="inlineStr">
        <is>
          <t>076468</t>
        </is>
      </c>
      <c r="E916" s="2" t="inlineStr">
        <is>
          <t>2048083256936</t>
        </is>
      </c>
      <c r="F916" s="2" t="inlineStr">
        <is>
          <t/>
        </is>
      </c>
      <c r="G916" s="2" t="inlineStr">
        <is>
          <t/>
        </is>
      </c>
      <c r="H916" s="2" t="inlineStr">
        <is>
          <t/>
        </is>
      </c>
      <c r="I916" s="2" t="inlineStr">
        <is>
          <t>0</t>
        </is>
      </c>
      <c r="J916" s="4"/>
      <c r="K916" s="2">
        <v>0</v>
      </c>
      <c r="L916" s="6"/>
      <c r="M916" s="2" t="str">
        <f>IF(J916="",ROUND(I916*(1-IF(ISBLANK(L916),K916,L916)/100),2),ROUND(J916*(1-IF(ISBLANK(L916),K916,L916)/100),2))</f>
      </c>
      <c r="N916" s="7" t="str">
        <f>IF(NOT(AND(J916="",L916="")),IF(OR(AND(L916&lt;&gt;"",NOT(ISNUMBER(L916))),IFERROR(MOD(L916,1),1)&gt;0,AND(ISNUMBER(L916),OR(L916&lt;0,L916&gt;95))),"Введите целое число от 0 до 95",IF(OR(AND(J916&lt;&gt;"",NOT(ISNUMBER(J916))),IFERROR(MOD(J916,1),1)&gt;0,AND(ISNUMBER(J916),OR(J916&lt;50,J916&gt;20000000))),"Введите целое число от 50 до 20000000",IF(NOT(ABS(IFERROR(VALUE(LEFT(M916,FIND("-",M916)-1)),M916)*100-(2500+2000000000)/2)&lt;=ABS(2500-2000000000)/2),"Цена со скидкой должна быть от 25 до 20000000",IF(AND(IFERROR(VALUE(LEFT(M916,FIND("-",M916)-1)),M916)*150&lt;=0,IFERROR(VALUE(LEFT(M916,FIND("-",M916)-1)),M916)*200&gt;0),"Вы уменьшили цену в несколько раз, товар попадет в карантин цен",IF(IFERROR(VALUE(LEFT(M916,FIND("-",M916)-1)),M916)*200&lt;=0,"Не сохранили изменения, чтобы защитить от ошибки — новые цены меньше текущих более чем в 2 раза. Снижайте их постепенно",IF(AND(IFERROR(VALUE(I916),0)=0,ISNUMBER(J916),OR(J916&lt;681,ABS(IFERROR(VALUE(LEFT(M916,FIND("-",M916)-1)),M916))*100&lt;68100)),"Проверьте цену товара. Большинство товаров в выбранной категории стоят дороже 681","")))))),"")</f>
      </c>
    </row>
    <row r="917">
      <c r="A917" s="2" t="inlineStr">
        <is>
          <t/>
        </is>
      </c>
      <c r="B917" s="2" t="inlineStr">
        <is>
          <t>Чайники заварочные</t>
        </is>
      </c>
      <c r="C917" s="2">
        <v>729548689</v>
      </c>
      <c r="D917" s="2" t="inlineStr">
        <is>
          <t>071085</t>
        </is>
      </c>
      <c r="E917" s="2" t="inlineStr">
        <is>
          <t>2048083257582</t>
        </is>
      </c>
      <c r="F917" s="2">
        <v>0</v>
      </c>
      <c r="G917" s="2">
        <v>0</v>
      </c>
      <c r="H917" s="2" t="inlineStr">
        <is>
          <t/>
        </is>
      </c>
      <c r="I917" s="2" t="inlineStr">
        <is>
          <t>0</t>
        </is>
      </c>
      <c r="J917" s="4"/>
      <c r="K917" s="2">
        <v>0</v>
      </c>
      <c r="L917" s="6"/>
      <c r="M917" s="2" t="str">
        <f>IF(J917="",ROUND(I917*(1-IF(ISBLANK(L917),K917,L917)/100),2),ROUND(J917*(1-IF(ISBLANK(L917),K917,L917)/100),2))</f>
      </c>
      <c r="N917" s="7" t="str">
        <f>IF(NOT(AND(J917="",L917="")),IF(OR(AND(L917&lt;&gt;"",NOT(ISNUMBER(L917))),IFERROR(MOD(L917,1),1)&gt;0,AND(ISNUMBER(L917),OR(L917&lt;0,L917&gt;95))),"Введите целое число от 0 до 95",IF(OR(AND(J917&lt;&gt;"",NOT(ISNUMBER(J917))),IFERROR(MOD(J917,1),1)&gt;0,AND(ISNUMBER(J917),OR(J917&lt;50,J917&gt;20000000))),"Введите целое число от 50 до 20000000",IF(NOT(ABS(IFERROR(VALUE(LEFT(M917,FIND("-",M917)-1)),M917)*100-(2500+2000000000)/2)&lt;=ABS(2500-2000000000)/2),"Цена со скидкой должна быть от 25 до 20000000",IF(AND(IFERROR(VALUE(LEFT(M917,FIND("-",M917)-1)),M917)*150&lt;=0,IFERROR(VALUE(LEFT(M917,FIND("-",M917)-1)),M917)*200&gt;0),"Вы уменьшили цену в несколько раз, товар попадет в карантин цен",IF(IFERROR(VALUE(LEFT(M917,FIND("-",M917)-1)),M917)*200&lt;=0,"Не сохранили изменения, чтобы защитить от ошибки — новые цены меньше текущих более чем в 2 раза. Снижайте их постепенно",IF(AND(IFERROR(VALUE(I917),0)=0,ISNUMBER(J917),OR(J917&lt;681,ABS(IFERROR(VALUE(LEFT(M917,FIND("-",M917)-1)),M917))*100&lt;68100)),"Проверьте цену товара. Большинство товаров в выбранной категории стоят дороже 681","")))))),"")</f>
      </c>
    </row>
    <row r="918">
      <c r="A918" s="2" t="inlineStr">
        <is>
          <t/>
        </is>
      </c>
      <c r="B918" s="2" t="inlineStr">
        <is>
          <t>Чайники заварочные</t>
        </is>
      </c>
      <c r="C918" s="2">
        <v>729548712</v>
      </c>
      <c r="D918" s="2" t="inlineStr">
        <is>
          <t>28780</t>
        </is>
      </c>
      <c r="E918" s="2" t="inlineStr">
        <is>
          <t>2048083257865</t>
        </is>
      </c>
      <c r="F918" s="2">
        <v>0</v>
      </c>
      <c r="G918" s="2">
        <v>13</v>
      </c>
      <c r="H918" s="2" t="inlineStr">
        <is>
          <t/>
        </is>
      </c>
      <c r="I918" s="2" t="inlineStr">
        <is>
          <t>9574</t>
        </is>
      </c>
      <c r="J918" s="4"/>
      <c r="K918" s="2">
        <v>78</v>
      </c>
      <c r="L918" s="6"/>
      <c r="M918" s="2" t="str">
        <f>IF(J918="",ROUND(I918*(1-IF(ISBLANK(L918),K918,L918)/100),2),ROUND(J918*(1-IF(ISBLANK(L918),K918,L918)/100),2))</f>
      </c>
      <c r="N918" s="7" t="str">
        <f>IF(NOT(AND(J918="",L918="")),IF(OR(AND(L918&lt;&gt;"",NOT(ISNUMBER(L918))),IFERROR(MOD(L918,1),1)&gt;0,AND(ISNUMBER(L918),OR(L918&lt;0,L918&gt;95))),"Введите целое число от 0 до 95",IF(OR(AND(J918&lt;&gt;"",NOT(ISNUMBER(J918))),IFERROR(MOD(J918,1),1)&gt;0,AND(ISNUMBER(J918),OR(J918&lt;50,J918&gt;20000000))),"Введите целое число от 50 до 20000000",IF(NOT(ABS(IFERROR(VALUE(LEFT(M918,FIND("-",M918)-1)),M918)*100-(2500+2000000000)/2)&lt;=ABS(2500-2000000000)/2),"Цена со скидкой должна быть от 25 до 20000000",IF(AND(IFERROR(VALUE(LEFT(M918,FIND("-",M918)-1)),M918)*150&lt;=210627,IFERROR(VALUE(LEFT(M918,FIND("-",M918)-1)),M918)*200&gt;210627),"Вы уменьшили цену в несколько раз, товар попадет в карантин цен",IF(IFERROR(VALUE(LEFT(M918,FIND("-",M918)-1)),M918)*200&lt;=210627,"Не сохранили изменения, чтобы защитить от ошибки — новые цены меньше текущих более чем в 2 раза. Снижайте их постепенно",IF(AND(IFERROR(VALUE(I918),0)=0,ISNUMBER(J918),OR(J918&lt;681,ABS(IFERROR(VALUE(LEFT(M918,FIND("-",M918)-1)),M918))*100&lt;68100)),"Проверьте цену товара. Большинство товаров в выбранной категории стоят дороже 681","")))))),"")</f>
      </c>
    </row>
    <row r="919">
      <c r="A919" s="2" t="inlineStr">
        <is>
          <t/>
        </is>
      </c>
      <c r="B919" s="2" t="inlineStr">
        <is>
          <t>Чайники заварочные</t>
        </is>
      </c>
      <c r="C919" s="2">
        <v>729548544</v>
      </c>
      <c r="D919" s="2" t="inlineStr">
        <is>
          <t>076526</t>
        </is>
      </c>
      <c r="E919" s="2" t="inlineStr">
        <is>
          <t>2048083257025</t>
        </is>
      </c>
      <c r="F919" s="2">
        <v>0</v>
      </c>
      <c r="G919" s="2">
        <v>1</v>
      </c>
      <c r="H919" s="2" t="inlineStr">
        <is>
          <t/>
        </is>
      </c>
      <c r="I919" s="2" t="inlineStr">
        <is>
          <t>0</t>
        </is>
      </c>
      <c r="J919" s="4"/>
      <c r="K919" s="2">
        <v>0</v>
      </c>
      <c r="L919" s="6"/>
      <c r="M919" s="2" t="str">
        <f>IF(J919="",ROUND(I919*(1-IF(ISBLANK(L919),K919,L919)/100),2),ROUND(J919*(1-IF(ISBLANK(L919),K919,L919)/100),2))</f>
      </c>
      <c r="N919" s="7" t="str">
        <f>IF(NOT(AND(J919="",L919="")),IF(OR(AND(L919&lt;&gt;"",NOT(ISNUMBER(L919))),IFERROR(MOD(L919,1),1)&gt;0,AND(ISNUMBER(L919),OR(L919&lt;0,L919&gt;95))),"Введите целое число от 0 до 95",IF(OR(AND(J919&lt;&gt;"",NOT(ISNUMBER(J919))),IFERROR(MOD(J919,1),1)&gt;0,AND(ISNUMBER(J919),OR(J919&lt;50,J919&gt;20000000))),"Введите целое число от 50 до 20000000",IF(NOT(ABS(IFERROR(VALUE(LEFT(M919,FIND("-",M919)-1)),M919)*100-(2500+2000000000)/2)&lt;=ABS(2500-2000000000)/2),"Цена со скидкой должна быть от 25 до 20000000",IF(AND(IFERROR(VALUE(LEFT(M919,FIND("-",M919)-1)),M919)*150&lt;=0,IFERROR(VALUE(LEFT(M919,FIND("-",M919)-1)),M919)*200&gt;0),"Вы уменьшили цену в несколько раз, товар попадет в карантин цен",IF(IFERROR(VALUE(LEFT(M919,FIND("-",M919)-1)),M919)*200&lt;=0,"Не сохранили изменения, чтобы защитить от ошибки — новые цены меньше текущих более чем в 2 раза. Снижайте их постепенно",IF(AND(IFERROR(VALUE(I919),0)=0,ISNUMBER(J919),OR(J919&lt;681,ABS(IFERROR(VALUE(LEFT(M919,FIND("-",M919)-1)),M919))*100&lt;68100)),"Проверьте цену товара. Большинство товаров в выбранной категории стоят дороже 681","")))))),"")</f>
      </c>
    </row>
    <row r="920">
      <c r="A920" s="2" t="inlineStr">
        <is>
          <t/>
        </is>
      </c>
      <c r="B920" s="2" t="inlineStr">
        <is>
          <t>Чайники заварочные</t>
        </is>
      </c>
      <c r="C920" s="2">
        <v>729548531</v>
      </c>
      <c r="D920" s="2" t="inlineStr">
        <is>
          <t>075120</t>
        </is>
      </c>
      <c r="E920" s="2" t="inlineStr">
        <is>
          <t>2048083256806</t>
        </is>
      </c>
      <c r="F920" s="2">
        <v>0</v>
      </c>
      <c r="G920" s="2">
        <v>47</v>
      </c>
      <c r="H920" s="2" t="inlineStr">
        <is>
          <t/>
        </is>
      </c>
      <c r="I920" s="2" t="inlineStr">
        <is>
          <t>0</t>
        </is>
      </c>
      <c r="J920" s="4"/>
      <c r="K920" s="2">
        <v>0</v>
      </c>
      <c r="L920" s="6"/>
      <c r="M920" s="2" t="str">
        <f>IF(J920="",ROUND(I920*(1-IF(ISBLANK(L920),K920,L920)/100),2),ROUND(J920*(1-IF(ISBLANK(L920),K920,L920)/100),2))</f>
      </c>
      <c r="N920" s="7" t="str">
        <f>IF(NOT(AND(J920="",L920="")),IF(OR(AND(L920&lt;&gt;"",NOT(ISNUMBER(L920))),IFERROR(MOD(L920,1),1)&gt;0,AND(ISNUMBER(L920),OR(L920&lt;0,L920&gt;95))),"Введите целое число от 0 до 95",IF(OR(AND(J920&lt;&gt;"",NOT(ISNUMBER(J920))),IFERROR(MOD(J920,1),1)&gt;0,AND(ISNUMBER(J920),OR(J920&lt;50,J920&gt;20000000))),"Введите целое число от 50 до 20000000",IF(NOT(ABS(IFERROR(VALUE(LEFT(M920,FIND("-",M920)-1)),M920)*100-(2500+2000000000)/2)&lt;=ABS(2500-2000000000)/2),"Цена со скидкой должна быть от 25 до 20000000",IF(AND(IFERROR(VALUE(LEFT(M920,FIND("-",M920)-1)),M920)*150&lt;=0,IFERROR(VALUE(LEFT(M920,FIND("-",M920)-1)),M920)*200&gt;0),"Вы уменьшили цену в несколько раз, товар попадет в карантин цен",IF(IFERROR(VALUE(LEFT(M920,FIND("-",M920)-1)),M920)*200&lt;=0,"Не сохранили изменения, чтобы защитить от ошибки — новые цены меньше текущих более чем в 2 раза. Снижайте их постепенно",IF(AND(IFERROR(VALUE(I920),0)=0,ISNUMBER(J920),OR(J920&lt;681,ABS(IFERROR(VALUE(LEFT(M920,FIND("-",M920)-1)),M920))*100&lt;68100)),"Проверьте цену товара. Большинство товаров в выбранной категории стоят дороже 681","")))))),"")</f>
      </c>
    </row>
    <row r="921">
      <c r="A921" s="2" t="inlineStr">
        <is>
          <t/>
        </is>
      </c>
      <c r="B921" s="2" t="inlineStr">
        <is>
          <t>Чайники заварочные</t>
        </is>
      </c>
      <c r="C921" s="2">
        <v>729548688</v>
      </c>
      <c r="D921" s="2" t="inlineStr">
        <is>
          <t>075760</t>
        </is>
      </c>
      <c r="E921" s="2" t="inlineStr">
        <is>
          <t>2048083257568</t>
        </is>
      </c>
      <c r="F921" s="2" t="inlineStr">
        <is>
          <t/>
        </is>
      </c>
      <c r="G921" s="2" t="inlineStr">
        <is>
          <t/>
        </is>
      </c>
      <c r="H921" s="2" t="inlineStr">
        <is>
          <t/>
        </is>
      </c>
      <c r="I921" s="2" t="inlineStr">
        <is>
          <t>0</t>
        </is>
      </c>
      <c r="J921" s="4"/>
      <c r="K921" s="2">
        <v>0</v>
      </c>
      <c r="L921" s="6"/>
      <c r="M921" s="2" t="str">
        <f>IF(J921="",ROUND(I921*(1-IF(ISBLANK(L921),K921,L921)/100),2),ROUND(J921*(1-IF(ISBLANK(L921),K921,L921)/100),2))</f>
      </c>
      <c r="N921" s="7" t="str">
        <f>IF(NOT(AND(J921="",L921="")),IF(OR(AND(L921&lt;&gt;"",NOT(ISNUMBER(L921))),IFERROR(MOD(L921,1),1)&gt;0,AND(ISNUMBER(L921),OR(L921&lt;0,L921&gt;95))),"Введите целое число от 0 до 95",IF(OR(AND(J921&lt;&gt;"",NOT(ISNUMBER(J921))),IFERROR(MOD(J921,1),1)&gt;0,AND(ISNUMBER(J921),OR(J921&lt;50,J921&gt;20000000))),"Введите целое число от 50 до 20000000",IF(NOT(ABS(IFERROR(VALUE(LEFT(M921,FIND("-",M921)-1)),M921)*100-(2500+2000000000)/2)&lt;=ABS(2500-2000000000)/2),"Цена со скидкой должна быть от 25 до 20000000",IF(AND(IFERROR(VALUE(LEFT(M921,FIND("-",M921)-1)),M921)*150&lt;=0,IFERROR(VALUE(LEFT(M921,FIND("-",M921)-1)),M921)*200&gt;0),"Вы уменьшили цену в несколько раз, товар попадет в карантин цен",IF(IFERROR(VALUE(LEFT(M921,FIND("-",M921)-1)),M921)*200&lt;=0,"Не сохранили изменения, чтобы защитить от ошибки — новые цены меньше текущих более чем в 2 раза. Снижайте их постепенно",IF(AND(IFERROR(VALUE(I921),0)=0,ISNUMBER(J921),OR(J921&lt;681,ABS(IFERROR(VALUE(LEFT(M921,FIND("-",M921)-1)),M921))*100&lt;68100)),"Проверьте цену товара. Большинство товаров в выбранной категории стоят дороже 681","")))))),"")</f>
      </c>
    </row>
    <row r="922">
      <c r="A922" s="2" t="inlineStr">
        <is>
          <t/>
        </is>
      </c>
      <c r="B922" s="2" t="inlineStr">
        <is>
          <t>Чайники заварочные</t>
        </is>
      </c>
      <c r="C922" s="2">
        <v>729548526</v>
      </c>
      <c r="D922" s="2" t="inlineStr">
        <is>
          <t>076042</t>
        </is>
      </c>
      <c r="E922" s="2" t="inlineStr">
        <is>
          <t>2048083256738</t>
        </is>
      </c>
      <c r="F922" s="2" t="inlineStr">
        <is>
          <t/>
        </is>
      </c>
      <c r="G922" s="2" t="inlineStr">
        <is>
          <t/>
        </is>
      </c>
      <c r="H922" s="2" t="inlineStr">
        <is>
          <t/>
        </is>
      </c>
      <c r="I922" s="2" t="inlineStr">
        <is>
          <t>0</t>
        </is>
      </c>
      <c r="J922" s="4"/>
      <c r="K922" s="2">
        <v>0</v>
      </c>
      <c r="L922" s="6"/>
      <c r="M922" s="2" t="str">
        <f>IF(J922="",ROUND(I922*(1-IF(ISBLANK(L922),K922,L922)/100),2),ROUND(J922*(1-IF(ISBLANK(L922),K922,L922)/100),2))</f>
      </c>
      <c r="N922" s="7" t="str">
        <f>IF(NOT(AND(J922="",L922="")),IF(OR(AND(L922&lt;&gt;"",NOT(ISNUMBER(L922))),IFERROR(MOD(L922,1),1)&gt;0,AND(ISNUMBER(L922),OR(L922&lt;0,L922&gt;95))),"Введите целое число от 0 до 95",IF(OR(AND(J922&lt;&gt;"",NOT(ISNUMBER(J922))),IFERROR(MOD(J922,1),1)&gt;0,AND(ISNUMBER(J922),OR(J922&lt;50,J922&gt;20000000))),"Введите целое число от 50 до 20000000",IF(NOT(ABS(IFERROR(VALUE(LEFT(M922,FIND("-",M922)-1)),M922)*100-(2500+2000000000)/2)&lt;=ABS(2500-2000000000)/2),"Цена со скидкой должна быть от 25 до 20000000",IF(AND(IFERROR(VALUE(LEFT(M922,FIND("-",M922)-1)),M922)*150&lt;=0,IFERROR(VALUE(LEFT(M922,FIND("-",M922)-1)),M922)*200&gt;0),"Вы уменьшили цену в несколько раз, товар попадет в карантин цен",IF(IFERROR(VALUE(LEFT(M922,FIND("-",M922)-1)),M922)*200&lt;=0,"Не сохранили изменения, чтобы защитить от ошибки — новые цены меньше текущих более чем в 2 раза. Снижайте их постепенно",IF(AND(IFERROR(VALUE(I922),0)=0,ISNUMBER(J922),OR(J922&lt;681,ABS(IFERROR(VALUE(LEFT(M922,FIND("-",M922)-1)),M922))*100&lt;68100)),"Проверьте цену товара. Большинство товаров в выбранной категории стоят дороже 681","")))))),"")</f>
      </c>
    </row>
    <row r="923">
      <c r="A923" s="2" t="inlineStr">
        <is>
          <t/>
        </is>
      </c>
      <c r="B923" s="2" t="inlineStr">
        <is>
          <t>Чайники заварочные</t>
        </is>
      </c>
      <c r="C923" s="2">
        <v>729548695</v>
      </c>
      <c r="D923" s="2" t="inlineStr">
        <is>
          <t>076424</t>
        </is>
      </c>
      <c r="E923" s="2" t="inlineStr">
        <is>
          <t>2048083257667</t>
        </is>
      </c>
      <c r="F923" s="2">
        <v>0</v>
      </c>
      <c r="G923" s="2">
        <v>10</v>
      </c>
      <c r="H923" s="2" t="inlineStr">
        <is>
          <t/>
        </is>
      </c>
      <c r="I923" s="2" t="inlineStr">
        <is>
          <t>0</t>
        </is>
      </c>
      <c r="J923" s="4"/>
      <c r="K923" s="2">
        <v>0</v>
      </c>
      <c r="L923" s="6"/>
      <c r="M923" s="2" t="str">
        <f>IF(J923="",ROUND(I923*(1-IF(ISBLANK(L923),K923,L923)/100),2),ROUND(J923*(1-IF(ISBLANK(L923),K923,L923)/100),2))</f>
      </c>
      <c r="N923" s="7" t="str">
        <f>IF(NOT(AND(J923="",L923="")),IF(OR(AND(L923&lt;&gt;"",NOT(ISNUMBER(L923))),IFERROR(MOD(L923,1),1)&gt;0,AND(ISNUMBER(L923),OR(L923&lt;0,L923&gt;95))),"Введите целое число от 0 до 95",IF(OR(AND(J923&lt;&gt;"",NOT(ISNUMBER(J923))),IFERROR(MOD(J923,1),1)&gt;0,AND(ISNUMBER(J923),OR(J923&lt;50,J923&gt;20000000))),"Введите целое число от 50 до 20000000",IF(NOT(ABS(IFERROR(VALUE(LEFT(M923,FIND("-",M923)-1)),M923)*100-(2500+2000000000)/2)&lt;=ABS(2500-2000000000)/2),"Цена со скидкой должна быть от 25 до 20000000",IF(AND(IFERROR(VALUE(LEFT(M923,FIND("-",M923)-1)),M923)*150&lt;=0,IFERROR(VALUE(LEFT(M923,FIND("-",M923)-1)),M923)*200&gt;0),"Вы уменьшили цену в несколько раз, товар попадет в карантин цен",IF(IFERROR(VALUE(LEFT(M923,FIND("-",M923)-1)),M923)*200&lt;=0,"Не сохранили изменения, чтобы защитить от ошибки — новые цены меньше текущих более чем в 2 раза. Снижайте их постепенно",IF(AND(IFERROR(VALUE(I923),0)=0,ISNUMBER(J923),OR(J923&lt;681,ABS(IFERROR(VALUE(LEFT(M923,FIND("-",M923)-1)),M923))*100&lt;68100)),"Проверьте цену товара. Большинство товаров в выбранной категории стоят дороже 681","")))))),"")</f>
      </c>
    </row>
    <row r="924">
      <c r="A924" s="2" t="inlineStr">
        <is>
          <t/>
        </is>
      </c>
      <c r="B924" s="2" t="inlineStr">
        <is>
          <t>Чайники заварочные</t>
        </is>
      </c>
      <c r="C924" s="2">
        <v>729548690</v>
      </c>
      <c r="D924" s="2" t="inlineStr">
        <is>
          <t>076136</t>
        </is>
      </c>
      <c r="E924" s="2" t="inlineStr">
        <is>
          <t>2048083257599</t>
        </is>
      </c>
      <c r="F924" s="2" t="inlineStr">
        <is>
          <t/>
        </is>
      </c>
      <c r="G924" s="2" t="inlineStr">
        <is>
          <t/>
        </is>
      </c>
      <c r="H924" s="2" t="inlineStr">
        <is>
          <t/>
        </is>
      </c>
      <c r="I924" s="2" t="inlineStr">
        <is>
          <t>0</t>
        </is>
      </c>
      <c r="J924" s="4"/>
      <c r="K924" s="2">
        <v>0</v>
      </c>
      <c r="L924" s="6"/>
      <c r="M924" s="2" t="str">
        <f>IF(J924="",ROUND(I924*(1-IF(ISBLANK(L924),K924,L924)/100),2),ROUND(J924*(1-IF(ISBLANK(L924),K924,L924)/100),2))</f>
      </c>
      <c r="N924" s="7" t="str">
        <f>IF(NOT(AND(J924="",L924="")),IF(OR(AND(L924&lt;&gt;"",NOT(ISNUMBER(L924))),IFERROR(MOD(L924,1),1)&gt;0,AND(ISNUMBER(L924),OR(L924&lt;0,L924&gt;95))),"Введите целое число от 0 до 95",IF(OR(AND(J924&lt;&gt;"",NOT(ISNUMBER(J924))),IFERROR(MOD(J924,1),1)&gt;0,AND(ISNUMBER(J924),OR(J924&lt;50,J924&gt;20000000))),"Введите целое число от 50 до 20000000",IF(NOT(ABS(IFERROR(VALUE(LEFT(M924,FIND("-",M924)-1)),M924)*100-(2500+2000000000)/2)&lt;=ABS(2500-2000000000)/2),"Цена со скидкой должна быть от 25 до 20000000",IF(AND(IFERROR(VALUE(LEFT(M924,FIND("-",M924)-1)),M924)*150&lt;=0,IFERROR(VALUE(LEFT(M924,FIND("-",M924)-1)),M924)*200&gt;0),"Вы уменьшили цену в несколько раз, товар попадет в карантин цен",IF(IFERROR(VALUE(LEFT(M924,FIND("-",M924)-1)),M924)*200&lt;=0,"Не сохранили изменения, чтобы защитить от ошибки — новые цены меньше текущих более чем в 2 раза. Снижайте их постепенно",IF(AND(IFERROR(VALUE(I924),0)=0,ISNUMBER(J924),OR(J924&lt;681,ABS(IFERROR(VALUE(LEFT(M924,FIND("-",M924)-1)),M924))*100&lt;68100)),"Проверьте цену товара. Большинство товаров в выбранной категории стоят дороже 681","")))))),"")</f>
      </c>
    </row>
    <row r="925">
      <c r="A925" s="2" t="inlineStr">
        <is>
          <t/>
        </is>
      </c>
      <c r="B925" s="2" t="inlineStr">
        <is>
          <t>Плиты настольные</t>
        </is>
      </c>
      <c r="C925" s="2">
        <v>603737948</v>
      </c>
      <c r="D925" s="2" t="inlineStr">
        <is>
          <t>190811</t>
        </is>
      </c>
      <c r="E925" s="2" t="inlineStr">
        <is>
          <t>2047148006158</t>
        </is>
      </c>
      <c r="F925" s="2">
        <v>0</v>
      </c>
      <c r="G925" s="2">
        <v>10</v>
      </c>
      <c r="H925" s="2" t="inlineStr">
        <is>
          <t/>
        </is>
      </c>
      <c r="I925" s="2" t="inlineStr">
        <is>
          <t>7992</t>
        </is>
      </c>
      <c r="J925" s="4"/>
      <c r="K925" s="2">
        <v>78</v>
      </c>
      <c r="L925" s="6"/>
      <c r="M925" s="2" t="str">
        <f>IF(J925="",ROUND(I925*(1-IF(ISBLANK(L925),K925,L925)/100),2),ROUND(J925*(1-IF(ISBLANK(L925),K925,L925)/100),2))</f>
      </c>
      <c r="N925" s="7" t="str">
        <f>IF(NOT(AND(J925="",L925="")),IF(OR(AND(L925&lt;&gt;"",NOT(ISNUMBER(L925))),IFERROR(MOD(L925,1),1)&gt;0,AND(ISNUMBER(L925),OR(L925&lt;0,L925&gt;95))),"Введите целое число от 0 до 95",IF(OR(AND(J925&lt;&gt;"",NOT(ISNUMBER(J925))),IFERROR(MOD(J925,1),1)&gt;0,AND(ISNUMBER(J925),OR(J925&lt;50,J925&gt;20000000))),"Введите целое число от 50 до 20000000",IF(NOT(ABS(IFERROR(VALUE(LEFT(M925,FIND("-",M925)-1)),M925)*100-(2500+2000000000)/2)&lt;=ABS(2500-2000000000)/2),"Цена со скидкой должна быть от 25 до 20000000",IF(AND(IFERROR(VALUE(LEFT(M925,FIND("-",M925)-1)),M925)*150&lt;=175823,IFERROR(VALUE(LEFT(M925,FIND("-",M925)-1)),M925)*200&gt;175823),"Вы уменьшили цену в несколько раз, товар попадет в карантин цен",IF(IFERROR(VALUE(LEFT(M925,FIND("-",M925)-1)),M925)*200&lt;=175823,"Не сохранили изменения, чтобы защитить от ошибки — новые цены меньше текущих более чем в 2 раза. Снижайте их постепенно",IF(AND(IFERROR(VALUE(I925),0)=0,ISNUMBER(J925),OR(J925&lt;316,ABS(IFERROR(VALUE(LEFT(M925,FIND("-",M925)-1)),M925))*100&lt;31600)),"Проверьте цену товара. Большинство товаров в выбранной категории стоят дороже 316","")))))),"")</f>
      </c>
    </row>
    <row r="926">
      <c r="A926" s="2" t="inlineStr">
        <is>
          <t/>
        </is>
      </c>
      <c r="B926" s="2" t="inlineStr">
        <is>
          <t>Чайники заварочные</t>
        </is>
      </c>
      <c r="C926" s="2">
        <v>729548693</v>
      </c>
      <c r="D926" s="2" t="inlineStr">
        <is>
          <t>075919</t>
        </is>
      </c>
      <c r="E926" s="2" t="inlineStr">
        <is>
          <t>2048083257636</t>
        </is>
      </c>
      <c r="F926" s="2">
        <v>0</v>
      </c>
      <c r="G926" s="2">
        <v>4</v>
      </c>
      <c r="H926" s="2" t="inlineStr">
        <is>
          <t/>
        </is>
      </c>
      <c r="I926" s="2" t="inlineStr">
        <is>
          <t>0</t>
        </is>
      </c>
      <c r="J926" s="4"/>
      <c r="K926" s="2">
        <v>0</v>
      </c>
      <c r="L926" s="6"/>
      <c r="M926" s="2" t="str">
        <f>IF(J926="",ROUND(I926*(1-IF(ISBLANK(L926),K926,L926)/100),2),ROUND(J926*(1-IF(ISBLANK(L926),K926,L926)/100),2))</f>
      </c>
      <c r="N926" s="7" t="str">
        <f>IF(NOT(AND(J926="",L926="")),IF(OR(AND(L926&lt;&gt;"",NOT(ISNUMBER(L926))),IFERROR(MOD(L926,1),1)&gt;0,AND(ISNUMBER(L926),OR(L926&lt;0,L926&gt;95))),"Введите целое число от 0 до 95",IF(OR(AND(J926&lt;&gt;"",NOT(ISNUMBER(J926))),IFERROR(MOD(J926,1),1)&gt;0,AND(ISNUMBER(J926),OR(J926&lt;50,J926&gt;20000000))),"Введите целое число от 50 до 20000000",IF(NOT(ABS(IFERROR(VALUE(LEFT(M926,FIND("-",M926)-1)),M926)*100-(2500+2000000000)/2)&lt;=ABS(2500-2000000000)/2),"Цена со скидкой должна быть от 25 до 20000000",IF(AND(IFERROR(VALUE(LEFT(M926,FIND("-",M926)-1)),M926)*150&lt;=0,IFERROR(VALUE(LEFT(M926,FIND("-",M926)-1)),M926)*200&gt;0),"Вы уменьшили цену в несколько раз, товар попадет в карантин цен",IF(IFERROR(VALUE(LEFT(M926,FIND("-",M926)-1)),M926)*200&lt;=0,"Не сохранили изменения, чтобы защитить от ошибки — новые цены меньше текущих более чем в 2 раза. Снижайте их постепенно",IF(AND(IFERROR(VALUE(I926),0)=0,ISNUMBER(J926),OR(J926&lt;681,ABS(IFERROR(VALUE(LEFT(M926,FIND("-",M926)-1)),M926))*100&lt;68100)),"Проверьте цену товара. Большинство товаров в выбранной категории стоят дороже 681","")))))),"")</f>
      </c>
    </row>
    <row r="927">
      <c r="A927" s="2" t="inlineStr">
        <is>
          <t>Luxaro</t>
        </is>
      </c>
      <c r="B927" s="2" t="inlineStr">
        <is>
          <t>Противни</t>
        </is>
      </c>
      <c r="C927" s="2">
        <v>247826223</v>
      </c>
      <c r="D927" s="2" t="inlineStr">
        <is>
          <t>821373</t>
        </is>
      </c>
      <c r="E927" s="2" t="inlineStr">
        <is>
          <t>4680638702123</t>
        </is>
      </c>
      <c r="F927" s="2">
        <v>0</v>
      </c>
      <c r="G927" s="2">
        <v>0</v>
      </c>
      <c r="H927" s="2">
        <v>1</v>
      </c>
      <c r="I927" s="2" t="inlineStr">
        <is>
          <t>4181</t>
        </is>
      </c>
      <c r="J927" s="4"/>
      <c r="K927" s="2">
        <v>65</v>
      </c>
      <c r="L927" s="6"/>
      <c r="M927" s="2" t="str">
        <f>IF(J927="",ROUND(I927*(1-IF(ISBLANK(L927),K927,L927)/100),2),ROUND(J927*(1-IF(ISBLANK(L927),K927,L927)/100),2))</f>
      </c>
      <c r="N927" s="7" t="str">
        <f>IF(NOT(AND(J927="",L927="")),IF(OR(AND(L927&lt;&gt;"",NOT(ISNUMBER(L927))),IFERROR(MOD(L927,1),1)&gt;0,AND(ISNUMBER(L927),OR(L927&lt;0,L927&gt;95))),"Введите целое число от 0 до 95",IF(OR(AND(J927&lt;&gt;"",NOT(ISNUMBER(J927))),IFERROR(MOD(J927,1),1)&gt;0,AND(ISNUMBER(J927),OR(J927&lt;50,J927&gt;20000000))),"Введите целое число от 50 до 20000000",IF(NOT(ABS(IFERROR(VALUE(LEFT(M927,FIND("-",M927)-1)),M927)*100-(2500+2000000000)/2)&lt;=ABS(2500-2000000000)/2),"Цена со скидкой должна быть от 25 до 20000000",IF(AND(IFERROR(VALUE(LEFT(M927,FIND("-",M927)-1)),M927)*150&lt;=146335,IFERROR(VALUE(LEFT(M927,FIND("-",M927)-1)),M927)*200&gt;146335),"Вы уменьшили цену в несколько раз, товар попадет в карантин цен",IF(IFERROR(VALUE(LEFT(M927,FIND("-",M927)-1)),M927)*200&lt;=146335,"Не сохранили изменения, чтобы защитить от ошибки — новые цены меньше текущих более чем в 2 раза. Снижайте их постепенно",IF(AND(IFERROR(VALUE(I927),0)=0,ISNUMBER(J927),OR(J927&lt;427,ABS(IFERROR(VALUE(LEFT(M927,FIND("-",M927)-1)),M927))*100&lt;42700)),"Проверьте цену товара. Большинство товаров в выбранной категории стоят дороже 427","")))))),"")</f>
      </c>
    </row>
    <row r="928">
      <c r="A928" s="2" t="inlineStr">
        <is>
          <t>Luxaro</t>
        </is>
      </c>
      <c r="B928" s="2" t="inlineStr">
        <is>
          <t>Противни</t>
        </is>
      </c>
      <c r="C928" s="2">
        <v>247826221</v>
      </c>
      <c r="D928" s="2" t="inlineStr">
        <is>
          <t>821369</t>
        </is>
      </c>
      <c r="E928" s="2" t="inlineStr">
        <is>
          <t>4680638702086</t>
        </is>
      </c>
      <c r="F928" s="2">
        <v>102</v>
      </c>
      <c r="G928" s="2">
        <v>168</v>
      </c>
      <c r="H928" s="2">
        <v>999</v>
      </c>
      <c r="I928" s="2" t="inlineStr">
        <is>
          <t>5629</t>
        </is>
      </c>
      <c r="J928" s="4"/>
      <c r="K928" s="2">
        <v>78</v>
      </c>
      <c r="L928" s="6"/>
      <c r="M928" s="2" t="str">
        <f>IF(J928="",ROUND(I928*(1-IF(ISBLANK(L928),K928,L928)/100),2),ROUND(J928*(1-IF(ISBLANK(L928),K928,L928)/100),2))</f>
      </c>
      <c r="N928" s="7" t="str">
        <f>IF(NOT(AND(J928="",L928="")),IF(OR(AND(L928&lt;&gt;"",NOT(ISNUMBER(L928))),IFERROR(MOD(L928,1),1)&gt;0,AND(ISNUMBER(L928),OR(L928&lt;0,L928&gt;95))),"Введите целое число от 0 до 95",IF(OR(AND(J928&lt;&gt;"",NOT(ISNUMBER(J928))),IFERROR(MOD(J928,1),1)&gt;0,AND(ISNUMBER(J928),OR(J928&lt;50,J928&gt;20000000))),"Введите целое число от 50 до 20000000",IF(NOT(ABS(IFERROR(VALUE(LEFT(M928,FIND("-",M928)-1)),M928)*100-(2500+2000000000)/2)&lt;=ABS(2500-2000000000)/2),"Цена со скидкой должна быть от 25 до 20000000",IF(AND(IFERROR(VALUE(LEFT(M928,FIND("-",M928)-1)),M928)*150&lt;=123837,IFERROR(VALUE(LEFT(M928,FIND("-",M928)-1)),M928)*200&gt;123837),"Вы уменьшили цену в несколько раз, товар попадет в карантин цен",IF(IFERROR(VALUE(LEFT(M928,FIND("-",M928)-1)),M928)*200&lt;=123837,"Не сохранили изменения, чтобы защитить от ошибки — новые цены меньше текущих более чем в 2 раза. Снижайте их постепенно",IF(AND(IFERROR(VALUE(I928),0)=0,ISNUMBER(J928),OR(J928&lt;427,ABS(IFERROR(VALUE(LEFT(M928,FIND("-",M928)-1)),M928))*100&lt;42700)),"Проверьте цену товара. Большинство товаров в выбранной категории стоят дороже 427","")))))),"")</f>
      </c>
    </row>
    <row r="929">
      <c r="A929" s="2" t="inlineStr">
        <is>
          <t>Luxaro</t>
        </is>
      </c>
      <c r="B929" s="2" t="inlineStr">
        <is>
          <t>Формы для запекания</t>
        </is>
      </c>
      <c r="C929" s="2">
        <v>247196248</v>
      </c>
      <c r="D929" s="2" t="inlineStr">
        <is>
          <t>513467</t>
        </is>
      </c>
      <c r="E929" s="2" t="inlineStr">
        <is>
          <t>4680093964692</t>
        </is>
      </c>
      <c r="F929" s="2">
        <v>0</v>
      </c>
      <c r="G929" s="2">
        <v>0</v>
      </c>
      <c r="H929" s="2">
        <v>1</v>
      </c>
      <c r="I929" s="2" t="inlineStr">
        <is>
          <t>4067</t>
        </is>
      </c>
      <c r="J929" s="4"/>
      <c r="K929" s="2">
        <v>65</v>
      </c>
      <c r="L929" s="6"/>
      <c r="M929" s="2" t="str">
        <f>IF(J929="",ROUND(I929*(1-IF(ISBLANK(L929),K929,L929)/100),2),ROUND(J929*(1-IF(ISBLANK(L929),K929,L929)/100),2))</f>
      </c>
      <c r="N929" s="7" t="str">
        <f>IF(NOT(AND(J929="",L929="")),IF(OR(AND(L929&lt;&gt;"",NOT(ISNUMBER(L929))),IFERROR(MOD(L929,1),1)&gt;0,AND(ISNUMBER(L929),OR(L929&lt;0,L929&gt;95))),"Введите целое число от 0 до 95",IF(OR(AND(J929&lt;&gt;"",NOT(ISNUMBER(J929))),IFERROR(MOD(J929,1),1)&gt;0,AND(ISNUMBER(J929),OR(J929&lt;50,J929&gt;20000000))),"Введите целое число от 50 до 20000000",IF(NOT(ABS(IFERROR(VALUE(LEFT(M929,FIND("-",M929)-1)),M929)*100-(2500+2000000000)/2)&lt;=ABS(2500-2000000000)/2),"Цена со скидкой должна быть от 25 до 20000000",IF(AND(IFERROR(VALUE(LEFT(M929,FIND("-",M929)-1)),M929)*150&lt;=142344,IFERROR(VALUE(LEFT(M929,FIND("-",M929)-1)),M929)*200&gt;142344),"Вы уменьшили цену в несколько раз, товар попадет в карантин цен",IF(IFERROR(VALUE(LEFT(M929,FIND("-",M929)-1)),M929)*200&lt;=142344,"Не сохранили изменения, чтобы защитить от ошибки — новые цены меньше текущих более чем в 2 раза. Снижайте их постепенно",IF(AND(IFERROR(VALUE(I929),0)=0,ISNUMBER(J929),OR(J929&lt;290,ABS(IFERROR(VALUE(LEFT(M929,FIND("-",M929)-1)),M929))*100&lt;29000)),"Проверьте цену товара. Большинство товаров в выбранной категории стоят дороже 290","")))))),"")</f>
      </c>
    </row>
    <row r="930">
      <c r="A930" s="2" t="inlineStr">
        <is>
          <t>Luxaro</t>
        </is>
      </c>
      <c r="B930" s="2" t="inlineStr">
        <is>
          <t>Формы для запекания</t>
        </is>
      </c>
      <c r="C930" s="2">
        <v>247196249</v>
      </c>
      <c r="D930" s="2" t="inlineStr">
        <is>
          <t>513465</t>
        </is>
      </c>
      <c r="E930" s="2" t="inlineStr">
        <is>
          <t>4680093964739</t>
        </is>
      </c>
      <c r="F930" s="2">
        <v>0</v>
      </c>
      <c r="G930" s="2">
        <v>0</v>
      </c>
      <c r="H930" s="2">
        <v>1</v>
      </c>
      <c r="I930" s="2" t="inlineStr">
        <is>
          <t>5324</t>
        </is>
      </c>
      <c r="J930" s="4"/>
      <c r="K930" s="2">
        <v>65</v>
      </c>
      <c r="L930" s="6"/>
      <c r="M930" s="2" t="str">
        <f>IF(J930="",ROUND(I930*(1-IF(ISBLANK(L930),K930,L930)/100),2),ROUND(J930*(1-IF(ISBLANK(L930),K930,L930)/100),2))</f>
      </c>
      <c r="N930" s="7" t="str">
        <f>IF(NOT(AND(J930="",L930="")),IF(OR(AND(L930&lt;&gt;"",NOT(ISNUMBER(L930))),IFERROR(MOD(L930,1),1)&gt;0,AND(ISNUMBER(L930),OR(L930&lt;0,L930&gt;95))),"Введите целое число от 0 до 95",IF(OR(AND(J930&lt;&gt;"",NOT(ISNUMBER(J930))),IFERROR(MOD(J930,1),1)&gt;0,AND(ISNUMBER(J930),OR(J930&lt;50,J930&gt;20000000))),"Введите целое число от 50 до 20000000",IF(NOT(ABS(IFERROR(VALUE(LEFT(M930,FIND("-",M930)-1)),M930)*100-(2500+2000000000)/2)&lt;=ABS(2500-2000000000)/2),"Цена со скидкой должна быть от 25 до 20000000",IF(AND(IFERROR(VALUE(LEFT(M930,FIND("-",M930)-1)),M930)*150&lt;=186340,IFERROR(VALUE(LEFT(M930,FIND("-",M930)-1)),M930)*200&gt;186340),"Вы уменьшили цену в несколько раз, товар попадет в карантин цен",IF(IFERROR(VALUE(LEFT(M930,FIND("-",M930)-1)),M930)*200&lt;=186340,"Не сохранили изменения, чтобы защитить от ошибки — новые цены меньше текущих более чем в 2 раза. Снижайте их постепенно",IF(AND(IFERROR(VALUE(I930),0)=0,ISNUMBER(J930),OR(J930&lt;290,ABS(IFERROR(VALUE(LEFT(M930,FIND("-",M930)-1)),M930))*100&lt;29000)),"Проверьте цену товара. Большинство товаров в выбранной категории стоят дороже 290","")))))),"")</f>
      </c>
    </row>
    <row r="931">
      <c r="A931" s="2" t="inlineStr">
        <is>
          <t/>
        </is>
      </c>
      <c r="B931" s="2" t="inlineStr">
        <is>
          <t>Сковороды</t>
        </is>
      </c>
      <c r="C931" s="2">
        <v>729285912</v>
      </c>
      <c r="D931" s="2" t="inlineStr">
        <is>
          <t>20480</t>
        </is>
      </c>
      <c r="E931" s="2" t="inlineStr">
        <is>
          <t>2048080617365</t>
        </is>
      </c>
      <c r="F931" s="2">
        <v>0</v>
      </c>
      <c r="G931" s="2">
        <v>16</v>
      </c>
      <c r="H931" s="2" t="inlineStr">
        <is>
          <t/>
        </is>
      </c>
      <c r="I931" s="2" t="inlineStr">
        <is>
          <t>29584</t>
        </is>
      </c>
      <c r="J931" s="4"/>
      <c r="K931" s="2">
        <v>79</v>
      </c>
      <c r="L931" s="6"/>
      <c r="M931" s="2" t="str">
        <f>IF(J931="",ROUND(I931*(1-IF(ISBLANK(L931),K931,L931)/100),2),ROUND(J931*(1-IF(ISBLANK(L931),K931,L931)/100),2))</f>
      </c>
      <c r="N931" s="7" t="str">
        <f>IF(NOT(AND(J931="",L931="")),IF(OR(AND(L931&lt;&gt;"",NOT(ISNUMBER(L931))),IFERROR(MOD(L931,1),1)&gt;0,AND(ISNUMBER(L931),OR(L931&lt;0,L931&gt;95))),"Введите целое число от 0 до 95",IF(OR(AND(J931&lt;&gt;"",NOT(ISNUMBER(J931))),IFERROR(MOD(J931,1),1)&gt;0,AND(ISNUMBER(J931),OR(J931&lt;50,J931&gt;20000000))),"Введите целое число от 50 до 20000000",IF(NOT(ABS(IFERROR(VALUE(LEFT(M931,FIND("-",M931)-1)),M931)*100-(2500+2000000000)/2)&lt;=ABS(2500-2000000000)/2),"Цена со скидкой должна быть от 25 до 20000000",IF(AND(IFERROR(VALUE(LEFT(M931,FIND("-",M931)-1)),M931)*150&lt;=621263,IFERROR(VALUE(LEFT(M931,FIND("-",M931)-1)),M931)*200&gt;621263),"Вы уменьшили цену в несколько раз, товар попадет в карантин цен",IF(IFERROR(VALUE(LEFT(M931,FIND("-",M931)-1)),M931)*200&lt;=621263,"Не сохранили изменения, чтобы защитить от ошибки — новые цены меньше текущих более чем в 2 раза. Снижайте их постепенно",IF(AND(IFERROR(VALUE(I931),0)=0,ISNUMBER(J931),OR(J931&lt;756,ABS(IFERROR(VALUE(LEFT(M931,FIND("-",M931)-1)),M931))*100&lt;75600)),"Проверьте цену товара. Большинство товаров в выбранной категории стоят дороже 756","")))))),"")</f>
      </c>
    </row>
    <row r="932">
      <c r="A932" s="2" t="inlineStr">
        <is>
          <t>Luxaro</t>
        </is>
      </c>
      <c r="B932" s="2" t="inlineStr">
        <is>
          <t>Формы для запекания</t>
        </is>
      </c>
      <c r="C932" s="2">
        <v>246996746</v>
      </c>
      <c r="D932" s="2" t="inlineStr">
        <is>
          <t>513378</t>
        </is>
      </c>
      <c r="E932" s="2" t="inlineStr">
        <is>
          <t>4680093960298</t>
        </is>
      </c>
      <c r="F932" s="2">
        <v>62</v>
      </c>
      <c r="G932" s="2">
        <v>0</v>
      </c>
      <c r="H932" s="2">
        <v>999</v>
      </c>
      <c r="I932" s="2" t="inlineStr">
        <is>
          <t>3840</t>
        </is>
      </c>
      <c r="J932" s="4"/>
      <c r="K932" s="2">
        <v>75</v>
      </c>
      <c r="L932" s="6"/>
      <c r="M932" s="2" t="str">
        <f>IF(J932="",ROUND(I932*(1-IF(ISBLANK(L932),K932,L932)/100),2),ROUND(J932*(1-IF(ISBLANK(L932),K932,L932)/100),2))</f>
      </c>
      <c r="N932" s="7" t="str">
        <f>IF(NOT(AND(J932="",L932="")),IF(OR(AND(L932&lt;&gt;"",NOT(ISNUMBER(L932))),IFERROR(MOD(L932,1),1)&gt;0,AND(ISNUMBER(L932),OR(L932&lt;0,L932&gt;95))),"Введите целое число от 0 до 95",IF(OR(AND(J932&lt;&gt;"",NOT(ISNUMBER(J932))),IFERROR(MOD(J932,1),1)&gt;0,AND(ISNUMBER(J932),OR(J932&lt;50,J932&gt;20000000))),"Введите целое число от 50 до 20000000",IF(NOT(ABS(IFERROR(VALUE(LEFT(M932,FIND("-",M932)-1)),M932)*100-(2500+2000000000)/2)&lt;=ABS(2500-2000000000)/2),"Цена со скидкой должна быть от 25 до 20000000",IF(AND(IFERROR(VALUE(LEFT(M932,FIND("-",M932)-1)),M932)*150&lt;=96000,IFERROR(VALUE(LEFT(M932,FIND("-",M932)-1)),M932)*200&gt;96000),"Вы уменьшили цену в несколько раз, товар попадет в карантин цен",IF(IFERROR(VALUE(LEFT(M932,FIND("-",M932)-1)),M932)*200&lt;=96000,"Не сохранили изменения, чтобы защитить от ошибки — новые цены меньше текущих более чем в 2 раза. Снижайте их постепенно",IF(AND(IFERROR(VALUE(I932),0)=0,ISNUMBER(J932),OR(J932&lt;290,ABS(IFERROR(VALUE(LEFT(M932,FIND("-",M932)-1)),M932))*100&lt;29000)),"Проверьте цену товара. Большинство товаров в выбранной категории стоят дороже 290","")))))),"")</f>
      </c>
    </row>
    <row r="933">
      <c r="A933" s="2" t="inlineStr">
        <is>
          <t/>
        </is>
      </c>
      <c r="B933" s="2" t="inlineStr">
        <is>
          <t>Сковороды</t>
        </is>
      </c>
      <c r="C933" s="2">
        <v>729286687</v>
      </c>
      <c r="D933" s="2" t="inlineStr">
        <is>
          <t>32561</t>
        </is>
      </c>
      <c r="E933" s="2" t="inlineStr">
        <is>
          <t>2048080625438</t>
        </is>
      </c>
      <c r="F933" s="2">
        <v>4</v>
      </c>
      <c r="G933" s="2">
        <v>0</v>
      </c>
      <c r="H933" s="2">
        <v>999</v>
      </c>
      <c r="I933" s="2" t="inlineStr">
        <is>
          <t>11437</t>
        </is>
      </c>
      <c r="J933" s="4"/>
      <c r="K933" s="2">
        <v>80</v>
      </c>
      <c r="L933" s="6"/>
      <c r="M933" s="2" t="str">
        <f>IF(J933="",ROUND(I933*(1-IF(ISBLANK(L933),K933,L933)/100),2),ROUND(J933*(1-IF(ISBLANK(L933),K933,L933)/100),2))</f>
      </c>
      <c r="N933" s="7" t="str">
        <f>IF(NOT(AND(J933="",L933="")),IF(OR(AND(L933&lt;&gt;"",NOT(ISNUMBER(L933))),IFERROR(MOD(L933,1),1)&gt;0,AND(ISNUMBER(L933),OR(L933&lt;0,L933&gt;95))),"Введите целое число от 0 до 95",IF(OR(AND(J933&lt;&gt;"",NOT(ISNUMBER(J933))),IFERROR(MOD(J933,1),1)&gt;0,AND(ISNUMBER(J933),OR(J933&lt;50,J933&gt;20000000))),"Введите целое число от 50 до 20000000",IF(NOT(ABS(IFERROR(VALUE(LEFT(M933,FIND("-",M933)-1)),M933)*100-(2500+2000000000)/2)&lt;=ABS(2500-2000000000)/2),"Цена со скидкой должна быть от 25 до 20000000",IF(AND(IFERROR(VALUE(LEFT(M933,FIND("-",M933)-1)),M933)*150&lt;=228739,IFERROR(VALUE(LEFT(M933,FIND("-",M933)-1)),M933)*200&gt;228739),"Вы уменьшили цену в несколько раз, товар попадет в карантин цен",IF(IFERROR(VALUE(LEFT(M933,FIND("-",M933)-1)),M933)*200&lt;=228739,"Не сохранили изменения, чтобы защитить от ошибки — новые цены меньше текущих более чем в 2 раза. Снижайте их постепенно",IF(AND(IFERROR(VALUE(I933),0)=0,ISNUMBER(J933),OR(J933&lt;756,ABS(IFERROR(VALUE(LEFT(M933,FIND("-",M933)-1)),M933))*100&lt;75600)),"Проверьте цену товара. Большинство товаров в выбранной категории стоят дороже 756","")))))),"")</f>
      </c>
    </row>
    <row r="934">
      <c r="A934" s="2" t="inlineStr">
        <is>
          <t>Luxaro</t>
        </is>
      </c>
      <c r="B934" s="2" t="inlineStr">
        <is>
          <t>Противни</t>
        </is>
      </c>
      <c r="C934" s="2">
        <v>247787732</v>
      </c>
      <c r="D934" s="2" t="inlineStr">
        <is>
          <t>821374</t>
        </is>
      </c>
      <c r="E934" s="2" t="inlineStr">
        <is>
          <t>4680638702420</t>
        </is>
      </c>
      <c r="F934" s="2">
        <v>92</v>
      </c>
      <c r="G934" s="2">
        <v>464</v>
      </c>
      <c r="H934" s="2">
        <v>413</v>
      </c>
      <c r="I934" s="2" t="inlineStr">
        <is>
          <t>7512</t>
        </is>
      </c>
      <c r="J934" s="4"/>
      <c r="K934" s="2">
        <v>75</v>
      </c>
      <c r="L934" s="6"/>
      <c r="M934" s="2" t="str">
        <f>IF(J934="",ROUND(I934*(1-IF(ISBLANK(L934),K934,L934)/100),2),ROUND(J934*(1-IF(ISBLANK(L934),K934,L934)/100),2))</f>
      </c>
      <c r="N934" s="7" t="str">
        <f>IF(NOT(AND(J934="",L934="")),IF(OR(AND(L934&lt;&gt;"",NOT(ISNUMBER(L934))),IFERROR(MOD(L934,1),1)&gt;0,AND(ISNUMBER(L934),OR(L934&lt;0,L934&gt;95))),"Введите целое число от 0 до 95",IF(OR(AND(J934&lt;&gt;"",NOT(ISNUMBER(J934))),IFERROR(MOD(J934,1),1)&gt;0,AND(ISNUMBER(J934),OR(J934&lt;50,J934&gt;20000000))),"Введите целое число от 50 до 20000000",IF(NOT(ABS(IFERROR(VALUE(LEFT(M934,FIND("-",M934)-1)),M934)*100-(2500+2000000000)/2)&lt;=ABS(2500-2000000000)/2),"Цена со скидкой должна быть от 25 до 20000000",IF(AND(IFERROR(VALUE(LEFT(M934,FIND("-",M934)-1)),M934)*150&lt;=187800,IFERROR(VALUE(LEFT(M934,FIND("-",M934)-1)),M934)*200&gt;187800),"Вы уменьшили цену в несколько раз, товар попадет в карантин цен",IF(IFERROR(VALUE(LEFT(M934,FIND("-",M934)-1)),M934)*200&lt;=187800,"Не сохранили изменения, чтобы защитить от ошибки — новые цены меньше текущих более чем в 2 раза. Снижайте их постепенно",IF(AND(IFERROR(VALUE(I934),0)=0,ISNUMBER(J934),OR(J934&lt;427,ABS(IFERROR(VALUE(LEFT(M934,FIND("-",M934)-1)),M934))*100&lt;42700)),"Проверьте цену товара. Большинство товаров в выбранной категории стоят дороже 427","")))))),"")</f>
      </c>
    </row>
    <row r="935">
      <c r="A935" s="2" t="inlineStr">
        <is>
          <t/>
        </is>
      </c>
      <c r="B935" s="2" t="inlineStr">
        <is>
          <t>Сковороды</t>
        </is>
      </c>
      <c r="C935" s="2">
        <v>729287015</v>
      </c>
      <c r="D935" s="2" t="inlineStr">
        <is>
          <t>20543</t>
        </is>
      </c>
      <c r="E935" s="2" t="inlineStr">
        <is>
          <t>2048080630340</t>
        </is>
      </c>
      <c r="F935" s="2">
        <v>0</v>
      </c>
      <c r="G935" s="2">
        <v>10</v>
      </c>
      <c r="H935" s="2" t="inlineStr">
        <is>
          <t/>
        </is>
      </c>
      <c r="I935" s="2" t="inlineStr">
        <is>
          <t>24123</t>
        </is>
      </c>
      <c r="J935" s="4"/>
      <c r="K935" s="2">
        <v>80</v>
      </c>
      <c r="L935" s="6"/>
      <c r="M935" s="2" t="str">
        <f>IF(J935="",ROUND(I935*(1-IF(ISBLANK(L935),K935,L935)/100),2),ROUND(J935*(1-IF(ISBLANK(L935),K935,L935)/100),2))</f>
      </c>
      <c r="N935" s="7" t="str">
        <f>IF(NOT(AND(J935="",L935="")),IF(OR(AND(L935&lt;&gt;"",NOT(ISNUMBER(L935))),IFERROR(MOD(L935,1),1)&gt;0,AND(ISNUMBER(L935),OR(L935&lt;0,L935&gt;95))),"Введите целое число от 0 до 95",IF(OR(AND(J935&lt;&gt;"",NOT(ISNUMBER(J935))),IFERROR(MOD(J935,1),1)&gt;0,AND(ISNUMBER(J935),OR(J935&lt;50,J935&gt;20000000))),"Введите целое число от 50 до 20000000",IF(NOT(ABS(IFERROR(VALUE(LEFT(M935,FIND("-",M935)-1)),M935)*100-(2500+2000000000)/2)&lt;=ABS(2500-2000000000)/2),"Цена со скидкой должна быть от 25 до 20000000",IF(AND(IFERROR(VALUE(LEFT(M935,FIND("-",M935)-1)),M935)*150&lt;=482459,IFERROR(VALUE(LEFT(M935,FIND("-",M935)-1)),M935)*200&gt;482459),"Вы уменьшили цену в несколько раз, товар попадет в карантин цен",IF(IFERROR(VALUE(LEFT(M935,FIND("-",M935)-1)),M935)*200&lt;=482459,"Не сохранили изменения, чтобы защитить от ошибки — новые цены меньше текущих более чем в 2 раза. Снижайте их постепенно",IF(AND(IFERROR(VALUE(I935),0)=0,ISNUMBER(J935),OR(J935&lt;756,ABS(IFERROR(VALUE(LEFT(M935,FIND("-",M935)-1)),M935))*100&lt;75600)),"Проверьте цену товара. Большинство товаров в выбранной категории стоят дороже 756","")))))),"")</f>
      </c>
    </row>
    <row r="936">
      <c r="A936" s="2" t="inlineStr">
        <is>
          <t/>
        </is>
      </c>
      <c r="B936" s="2" t="inlineStr">
        <is>
          <t>Сковороды</t>
        </is>
      </c>
      <c r="C936" s="2">
        <v>729286959</v>
      </c>
      <c r="D936" s="2" t="inlineStr">
        <is>
          <t>20353</t>
        </is>
      </c>
      <c r="E936" s="2" t="inlineStr">
        <is>
          <t>2048080629771</t>
        </is>
      </c>
      <c r="F936" s="2">
        <v>0</v>
      </c>
      <c r="G936" s="2">
        <v>7</v>
      </c>
      <c r="H936" s="2" t="inlineStr">
        <is>
          <t/>
        </is>
      </c>
      <c r="I936" s="2" t="inlineStr">
        <is>
          <t>20771</t>
        </is>
      </c>
      <c r="J936" s="4"/>
      <c r="K936" s="2">
        <v>78</v>
      </c>
      <c r="L936" s="6"/>
      <c r="M936" s="2" t="str">
        <f>IF(J936="",ROUND(I936*(1-IF(ISBLANK(L936),K936,L936)/100),2),ROUND(J936*(1-IF(ISBLANK(L936),K936,L936)/100),2))</f>
      </c>
      <c r="N936" s="7" t="str">
        <f>IF(NOT(AND(J936="",L936="")),IF(OR(AND(L936&lt;&gt;"",NOT(ISNUMBER(L936))),IFERROR(MOD(L936,1),1)&gt;0,AND(ISNUMBER(L936),OR(L936&lt;0,L936&gt;95))),"Введите целое число от 0 до 95",IF(OR(AND(J936&lt;&gt;"",NOT(ISNUMBER(J936))),IFERROR(MOD(J936,1),1)&gt;0,AND(ISNUMBER(J936),OR(J936&lt;50,J936&gt;20000000))),"Введите целое число от 50 до 20000000",IF(NOT(ABS(IFERROR(VALUE(LEFT(M936,FIND("-",M936)-1)),M936)*100-(2500+2000000000)/2)&lt;=ABS(2500-2000000000)/2),"Цена со скидкой должна быть от 25 до 20000000",IF(AND(IFERROR(VALUE(LEFT(M936,FIND("-",M936)-1)),M936)*150&lt;=456962,IFERROR(VALUE(LEFT(M936,FIND("-",M936)-1)),M936)*200&gt;456962),"Вы уменьшили цену в несколько раз, товар попадет в карантин цен",IF(IFERROR(VALUE(LEFT(M936,FIND("-",M936)-1)),M936)*200&lt;=456962,"Не сохранили изменения, чтобы защитить от ошибки — новые цены меньше текущих более чем в 2 раза. Снижайте их постепенно",IF(AND(IFERROR(VALUE(I936),0)=0,ISNUMBER(J936),OR(J936&lt;756,ABS(IFERROR(VALUE(LEFT(M936,FIND("-",M936)-1)),M936))*100&lt;75600)),"Проверьте цену товара. Большинство товаров в выбранной категории стоят дороже 756","")))))),"")</f>
      </c>
    </row>
    <row r="937">
      <c r="A937" s="2" t="inlineStr">
        <is>
          <t/>
        </is>
      </c>
      <c r="B937" s="2" t="inlineStr">
        <is>
          <t>Сковороды</t>
        </is>
      </c>
      <c r="C937" s="2">
        <v>729286896</v>
      </c>
      <c r="D937" s="2" t="inlineStr">
        <is>
          <t>20489</t>
        </is>
      </c>
      <c r="E937" s="2" t="inlineStr">
        <is>
          <t>2048080629061</t>
        </is>
      </c>
      <c r="F937" s="2">
        <v>0</v>
      </c>
      <c r="G937" s="2">
        <v>4</v>
      </c>
      <c r="H937" s="2" t="inlineStr">
        <is>
          <t/>
        </is>
      </c>
      <c r="I937" s="2" t="inlineStr">
        <is>
          <t>17075</t>
        </is>
      </c>
      <c r="J937" s="4"/>
      <c r="K937" s="2">
        <v>78</v>
      </c>
      <c r="L937" s="6"/>
      <c r="M937" s="2" t="str">
        <f>IF(J937="",ROUND(I937*(1-IF(ISBLANK(L937),K937,L937)/100),2),ROUND(J937*(1-IF(ISBLANK(L937),K937,L937)/100),2))</f>
      </c>
      <c r="N937" s="7" t="str">
        <f>IF(NOT(AND(J937="",L937="")),IF(OR(AND(L937&lt;&gt;"",NOT(ISNUMBER(L937))),IFERROR(MOD(L937,1),1)&gt;0,AND(ISNUMBER(L937),OR(L937&lt;0,L937&gt;95))),"Введите целое число от 0 до 95",IF(OR(AND(J937&lt;&gt;"",NOT(ISNUMBER(J937))),IFERROR(MOD(J937,1),1)&gt;0,AND(ISNUMBER(J937),OR(J937&lt;50,J937&gt;20000000))),"Введите целое число от 50 до 20000000",IF(NOT(ABS(IFERROR(VALUE(LEFT(M937,FIND("-",M937)-1)),M937)*100-(2500+2000000000)/2)&lt;=ABS(2500-2000000000)/2),"Цена со скидкой должна быть от 25 до 20000000",IF(AND(IFERROR(VALUE(LEFT(M937,FIND("-",M937)-1)),M937)*150&lt;=375649,IFERROR(VALUE(LEFT(M937,FIND("-",M937)-1)),M937)*200&gt;375649),"Вы уменьшили цену в несколько раз, товар попадет в карантин цен",IF(IFERROR(VALUE(LEFT(M937,FIND("-",M937)-1)),M937)*200&lt;=375649,"Не сохранили изменения, чтобы защитить от ошибки — новые цены меньше текущих более чем в 2 раза. Снижайте их постепенно",IF(AND(IFERROR(VALUE(I937),0)=0,ISNUMBER(J937),OR(J937&lt;756,ABS(IFERROR(VALUE(LEFT(M937,FIND("-",M937)-1)),M937))*100&lt;75600)),"Проверьте цену товара. Большинство товаров в выбранной категории стоят дороже 756","")))))),"")</f>
      </c>
    </row>
    <row r="938">
      <c r="A938" s="2" t="inlineStr">
        <is>
          <t>Pasabahce</t>
        </is>
      </c>
      <c r="B938" s="2" t="inlineStr">
        <is>
          <t>Стаканы</t>
        </is>
      </c>
      <c r="C938" s="2">
        <v>314421799</v>
      </c>
      <c r="D938" s="2" t="inlineStr">
        <is>
          <t>12199</t>
        </is>
      </c>
      <c r="E938" s="2" t="inlineStr">
        <is>
          <t>2042537421703</t>
        </is>
      </c>
      <c r="F938" s="2">
        <v>33</v>
      </c>
      <c r="G938" s="2">
        <v>7</v>
      </c>
      <c r="H938" s="2">
        <v>999</v>
      </c>
      <c r="I938" s="2" t="inlineStr">
        <is>
          <t>6084</t>
        </is>
      </c>
      <c r="J938" s="4"/>
      <c r="K938" s="2">
        <v>79</v>
      </c>
      <c r="L938" s="6"/>
      <c r="M938" s="2" t="str">
        <f>IF(J938="",ROUND(I938*(1-IF(ISBLANK(L938),K938,L938)/100),2),ROUND(J938*(1-IF(ISBLANK(L938),K938,L938)/100),2))</f>
      </c>
      <c r="N938" s="7" t="str">
        <f>IF(NOT(AND(J938="",L938="")),IF(OR(AND(L938&lt;&gt;"",NOT(ISNUMBER(L938))),IFERROR(MOD(L938,1),1)&gt;0,AND(ISNUMBER(L938),OR(L938&lt;0,L938&gt;95))),"Введите целое число от 0 до 95",IF(OR(AND(J938&lt;&gt;"",NOT(ISNUMBER(J938))),IFERROR(MOD(J938,1),1)&gt;0,AND(ISNUMBER(J938),OR(J938&lt;50,J938&gt;20000000))),"Введите целое число от 50 до 20000000",IF(NOT(ABS(IFERROR(VALUE(LEFT(M938,FIND("-",M938)-1)),M938)*100-(2500+2000000000)/2)&lt;=ABS(2500-2000000000)/2),"Цена со скидкой должна быть от 25 до 20000000",IF(AND(IFERROR(VALUE(LEFT(M938,FIND("-",M938)-1)),M938)*150&lt;=127763,IFERROR(VALUE(LEFT(M938,FIND("-",M938)-1)),M938)*200&gt;127763),"Вы уменьшили цену в несколько раз, товар попадет в карантин цен",IF(IFERROR(VALUE(LEFT(M938,FIND("-",M938)-1)),M938)*200&lt;=127763,"Не сохранили изменения, чтобы защитить от ошибки — новые цены меньше текущих более чем в 2 раза. Снижайте их постепенно",IF(AND(IFERROR(VALUE(I938),0)=0,ISNUMBER(J938),OR(J938&lt;317,ABS(IFERROR(VALUE(LEFT(M938,FIND("-",M938)-1)),M938))*100&lt;31700)),"Проверьте цену товара. Большинство товаров в выбранной категории стоят дороже 317","")))))),"")</f>
      </c>
    </row>
    <row r="939">
      <c r="A939" s="2" t="inlineStr">
        <is>
          <t/>
        </is>
      </c>
      <c r="B939" s="2" t="inlineStr">
        <is>
          <t>Стаканы</t>
        </is>
      </c>
      <c r="C939" s="2">
        <v>727614740</v>
      </c>
      <c r="D939" s="2" t="inlineStr">
        <is>
          <t>85415</t>
        </is>
      </c>
      <c r="E939" s="2" t="inlineStr">
        <is>
          <t>2048065148877</t>
        </is>
      </c>
      <c r="F939" s="2">
        <v>0</v>
      </c>
      <c r="G939" s="2">
        <v>7</v>
      </c>
      <c r="H939" s="2" t="inlineStr">
        <is>
          <t/>
        </is>
      </c>
      <c r="I939" s="2" t="inlineStr">
        <is>
          <t>9272</t>
        </is>
      </c>
      <c r="J939" s="4"/>
      <c r="K939" s="2">
        <v>78</v>
      </c>
      <c r="L939" s="6"/>
      <c r="M939" s="2" t="str">
        <f>IF(J939="",ROUND(I939*(1-IF(ISBLANK(L939),K939,L939)/100),2),ROUND(J939*(1-IF(ISBLANK(L939),K939,L939)/100),2))</f>
      </c>
      <c r="N939" s="7" t="str">
        <f>IF(NOT(AND(J939="",L939="")),IF(OR(AND(L939&lt;&gt;"",NOT(ISNUMBER(L939))),IFERROR(MOD(L939,1),1)&gt;0,AND(ISNUMBER(L939),OR(L939&lt;0,L939&gt;95))),"Введите целое число от 0 до 95",IF(OR(AND(J939&lt;&gt;"",NOT(ISNUMBER(J939))),IFERROR(MOD(J939,1),1)&gt;0,AND(ISNUMBER(J939),OR(J939&lt;50,J939&gt;20000000))),"Введите целое число от 50 до 20000000",IF(NOT(ABS(IFERROR(VALUE(LEFT(M939,FIND("-",M939)-1)),M939)*100-(2500+2000000000)/2)&lt;=ABS(2500-2000000000)/2),"Цена со скидкой должна быть от 25 до 20000000",IF(AND(IFERROR(VALUE(LEFT(M939,FIND("-",M939)-1)),M939)*150&lt;=203983,IFERROR(VALUE(LEFT(M939,FIND("-",M939)-1)),M939)*200&gt;203983),"Вы уменьшили цену в несколько раз, товар попадет в карантин цен",IF(IFERROR(VALUE(LEFT(M939,FIND("-",M939)-1)),M939)*200&lt;=203983,"Не сохранили изменения, чтобы защитить от ошибки — новые цены меньше текущих более чем в 2 раза. Снижайте их постепенно",IF(AND(IFERROR(VALUE(I939),0)=0,ISNUMBER(J939),OR(J939&lt;317,ABS(IFERROR(VALUE(LEFT(M939,FIND("-",M939)-1)),M939))*100&lt;31700)),"Проверьте цену товара. Большинство товаров в выбранной категории стоят дороже 317","")))))),"")</f>
      </c>
    </row>
    <row r="940">
      <c r="A940" s="2" t="inlineStr">
        <is>
          <t/>
        </is>
      </c>
      <c r="B940" s="2" t="inlineStr">
        <is>
          <t>Стаканы</t>
        </is>
      </c>
      <c r="C940" s="2">
        <v>727614760</v>
      </c>
      <c r="D940" s="2" t="inlineStr">
        <is>
          <t>12005</t>
        </is>
      </c>
      <c r="E940" s="2" t="inlineStr">
        <is>
          <t>2048065149881</t>
        </is>
      </c>
      <c r="F940" s="2">
        <v>7</v>
      </c>
      <c r="G940" s="2">
        <v>15</v>
      </c>
      <c r="H940" s="2">
        <v>999</v>
      </c>
      <c r="I940" s="2" t="inlineStr">
        <is>
          <t>6300</t>
        </is>
      </c>
      <c r="J940" s="4"/>
      <c r="K940" s="2">
        <v>78</v>
      </c>
      <c r="L940" s="6"/>
      <c r="M940" s="2" t="str">
        <f>IF(J940="",ROUND(I940*(1-IF(ISBLANK(L940),K940,L940)/100),2),ROUND(J940*(1-IF(ISBLANK(L940),K940,L940)/100),2))</f>
      </c>
      <c r="N940" s="7" t="str">
        <f>IF(NOT(AND(J940="",L940="")),IF(OR(AND(L940&lt;&gt;"",NOT(ISNUMBER(L940))),IFERROR(MOD(L940,1),1)&gt;0,AND(ISNUMBER(L940),OR(L940&lt;0,L940&gt;95))),"Введите целое число от 0 до 95",IF(OR(AND(J940&lt;&gt;"",NOT(ISNUMBER(J940))),IFERROR(MOD(J940,1),1)&gt;0,AND(ISNUMBER(J940),OR(J940&lt;50,J940&gt;20000000))),"Введите целое число от 50 до 20000000",IF(NOT(ABS(IFERROR(VALUE(LEFT(M940,FIND("-",M940)-1)),M940)*100-(2500+2000000000)/2)&lt;=ABS(2500-2000000000)/2),"Цена со скидкой должна быть от 25 до 20000000",IF(AND(IFERROR(VALUE(LEFT(M940,FIND("-",M940)-1)),M940)*150&lt;=138599,IFERROR(VALUE(LEFT(M940,FIND("-",M940)-1)),M940)*200&gt;138599),"Вы уменьшили цену в несколько раз, товар попадет в карантин цен",IF(IFERROR(VALUE(LEFT(M940,FIND("-",M940)-1)),M940)*200&lt;=138599,"Не сохранили изменения, чтобы защитить от ошибки — новые цены меньше текущих более чем в 2 раза. Снижайте их постепенно",IF(AND(IFERROR(VALUE(I940),0)=0,ISNUMBER(J940),OR(J940&lt;317,ABS(IFERROR(VALUE(LEFT(M940,FIND("-",M940)-1)),M940))*100&lt;31700)),"Проверьте цену товара. Большинство товаров в выбранной категории стоят дороже 317","")))))),"")</f>
      </c>
    </row>
    <row r="941">
      <c r="A941" s="2" t="inlineStr">
        <is>
          <t/>
        </is>
      </c>
      <c r="B941" s="2" t="inlineStr">
        <is>
          <t>Стаканы</t>
        </is>
      </c>
      <c r="C941" s="2">
        <v>727614757</v>
      </c>
      <c r="D941" s="2" t="inlineStr">
        <is>
          <t>12019</t>
        </is>
      </c>
      <c r="E941" s="2" t="inlineStr">
        <is>
          <t>2048065149782</t>
        </is>
      </c>
      <c r="F941" s="2">
        <v>13</v>
      </c>
      <c r="G941" s="2">
        <v>11</v>
      </c>
      <c r="H941" s="2">
        <v>999</v>
      </c>
      <c r="I941" s="2" t="inlineStr">
        <is>
          <t>6612</t>
        </is>
      </c>
      <c r="J941" s="4"/>
      <c r="K941" s="2">
        <v>80</v>
      </c>
      <c r="L941" s="6"/>
      <c r="M941" s="2" t="str">
        <f>IF(J941="",ROUND(I941*(1-IF(ISBLANK(L941),K941,L941)/100),2),ROUND(J941*(1-IF(ISBLANK(L941),K941,L941)/100),2))</f>
      </c>
      <c r="N941" s="7" t="str">
        <f>IF(NOT(AND(J941="",L941="")),IF(OR(AND(L941&lt;&gt;"",NOT(ISNUMBER(L941))),IFERROR(MOD(L941,1),1)&gt;0,AND(ISNUMBER(L941),OR(L941&lt;0,L941&gt;95))),"Введите целое число от 0 до 95",IF(OR(AND(J941&lt;&gt;"",NOT(ISNUMBER(J941))),IFERROR(MOD(J941,1),1)&gt;0,AND(ISNUMBER(J941),OR(J941&lt;50,J941&gt;20000000))),"Введите целое число от 50 до 20000000",IF(NOT(ABS(IFERROR(VALUE(LEFT(M941,FIND("-",M941)-1)),M941)*100-(2500+2000000000)/2)&lt;=ABS(2500-2000000000)/2),"Цена со скидкой должна быть от 25 до 20000000",IF(AND(IFERROR(VALUE(LEFT(M941,FIND("-",M941)-1)),M941)*150&lt;=132239,IFERROR(VALUE(LEFT(M941,FIND("-",M941)-1)),M941)*200&gt;132239),"Вы уменьшили цену в несколько раз, товар попадет в карантин цен",IF(IFERROR(VALUE(LEFT(M941,FIND("-",M941)-1)),M941)*200&lt;=132239,"Не сохранили изменения, чтобы защитить от ошибки — новые цены меньше текущих более чем в 2 раза. Снижайте их постепенно",IF(AND(IFERROR(VALUE(I941),0)=0,ISNUMBER(J941),OR(J941&lt;317,ABS(IFERROR(VALUE(LEFT(M941,FIND("-",M941)-1)),M941))*100&lt;31700)),"Проверьте цену товара. Большинство товаров в выбранной категории стоят дороже 317","")))))),"")</f>
      </c>
    </row>
    <row r="942">
      <c r="A942" s="2" t="inlineStr">
        <is>
          <t/>
        </is>
      </c>
      <c r="B942" s="2" t="inlineStr">
        <is>
          <t>Стаканы</t>
        </is>
      </c>
      <c r="C942" s="2">
        <v>727614751</v>
      </c>
      <c r="D942" s="2" t="inlineStr">
        <is>
          <t>12775</t>
        </is>
      </c>
      <c r="E942" s="2" t="inlineStr">
        <is>
          <t>2048065149454</t>
        </is>
      </c>
      <c r="F942" s="2">
        <v>16</v>
      </c>
      <c r="G942" s="2">
        <v>9</v>
      </c>
      <c r="H942" s="2">
        <v>999</v>
      </c>
      <c r="I942" s="2" t="inlineStr">
        <is>
          <t>7664</t>
        </is>
      </c>
      <c r="J942" s="4"/>
      <c r="K942" s="2">
        <v>80</v>
      </c>
      <c r="L942" s="6"/>
      <c r="M942" s="2" t="str">
        <f>IF(J942="",ROUND(I942*(1-IF(ISBLANK(L942),K942,L942)/100),2),ROUND(J942*(1-IF(ISBLANK(L942),K942,L942)/100),2))</f>
      </c>
      <c r="N942" s="7" t="str">
        <f>IF(NOT(AND(J942="",L942="")),IF(OR(AND(L942&lt;&gt;"",NOT(ISNUMBER(L942))),IFERROR(MOD(L942,1),1)&gt;0,AND(ISNUMBER(L942),OR(L942&lt;0,L942&gt;95))),"Введите целое число от 0 до 95",IF(OR(AND(J942&lt;&gt;"",NOT(ISNUMBER(J942))),IFERROR(MOD(J942,1),1)&gt;0,AND(ISNUMBER(J942),OR(J942&lt;50,J942&gt;20000000))),"Введите целое число от 50 до 20000000",IF(NOT(ABS(IFERROR(VALUE(LEFT(M942,FIND("-",M942)-1)),M942)*100-(2500+2000000000)/2)&lt;=ABS(2500-2000000000)/2),"Цена со скидкой должна быть от 25 до 20000000",IF(AND(IFERROR(VALUE(LEFT(M942,FIND("-",M942)-1)),M942)*150&lt;=153279,IFERROR(VALUE(LEFT(M942,FIND("-",M942)-1)),M942)*200&gt;153279),"Вы уменьшили цену в несколько раз, товар попадет в карантин цен",IF(IFERROR(VALUE(LEFT(M942,FIND("-",M942)-1)),M942)*200&lt;=153279,"Не сохранили изменения, чтобы защитить от ошибки — новые цены меньше текущих более чем в 2 раза. Снижайте их постепенно",IF(AND(IFERROR(VALUE(I942),0)=0,ISNUMBER(J942),OR(J942&lt;317,ABS(IFERROR(VALUE(LEFT(M942,FIND("-",M942)-1)),M942))*100&lt;31700)),"Проверьте цену товара. Большинство товаров в выбранной категории стоят дороже 317","")))))),"")</f>
      </c>
    </row>
    <row r="943">
      <c r="A943" s="2" t="inlineStr">
        <is>
          <t/>
        </is>
      </c>
      <c r="B943" s="2" t="inlineStr">
        <is>
          <t>Терки</t>
        </is>
      </c>
      <c r="C943" s="2">
        <v>725406660</v>
      </c>
      <c r="D943" s="2" t="inlineStr">
        <is>
          <t>93600</t>
        </is>
      </c>
      <c r="E943" s="2" t="inlineStr">
        <is>
          <t>2048047924949</t>
        </is>
      </c>
      <c r="F943" s="2">
        <v>0</v>
      </c>
      <c r="G943" s="2">
        <v>10</v>
      </c>
      <c r="H943" s="2" t="inlineStr">
        <is>
          <t/>
        </is>
      </c>
      <c r="I943" s="2" t="inlineStr">
        <is>
          <t>6164</t>
        </is>
      </c>
      <c r="J943" s="4"/>
      <c r="K943" s="2">
        <v>78</v>
      </c>
      <c r="L943" s="6"/>
      <c r="M943" s="2" t="str">
        <f>IF(J943="",ROUND(I943*(1-IF(ISBLANK(L943),K943,L943)/100),2),ROUND(J943*(1-IF(ISBLANK(L943),K943,L943)/100),2))</f>
      </c>
      <c r="N943" s="7" t="str">
        <f>IF(NOT(AND(J943="",L943="")),IF(OR(AND(L943&lt;&gt;"",NOT(ISNUMBER(L943))),IFERROR(MOD(L943,1),1)&gt;0,AND(ISNUMBER(L943),OR(L943&lt;0,L943&gt;95))),"Введите целое число от 0 до 95",IF(OR(AND(J943&lt;&gt;"",NOT(ISNUMBER(J943))),IFERROR(MOD(J943,1),1)&gt;0,AND(ISNUMBER(J943),OR(J943&lt;50,J943&gt;20000000))),"Введите целое число от 50 до 20000000",IF(NOT(ABS(IFERROR(VALUE(LEFT(M943,FIND("-",M943)-1)),M943)*100-(2500+2000000000)/2)&lt;=ABS(2500-2000000000)/2),"Цена со скидкой должна быть от 25 до 20000000",IF(AND(IFERROR(VALUE(LEFT(M943,FIND("-",M943)-1)),M943)*150&lt;=135608,IFERROR(VALUE(LEFT(M943,FIND("-",M943)-1)),M943)*200&gt;135608),"Вы уменьшили цену в несколько раз, товар попадет в карантин цен",IF(IFERROR(VALUE(LEFT(M943,FIND("-",M943)-1)),M943)*200&lt;=135608,"Не сохранили изменения, чтобы защитить от ошибки — новые цены меньше текущих более чем в 2 раза. Снижайте их постепенно",IF(AND(IFERROR(VALUE(I943),0)=0,ISNUMBER(J943),OR(J943&lt;261,ABS(IFERROR(VALUE(LEFT(M943,FIND("-",M943)-1)),M943))*100&lt;26100)),"Проверьте цену товара. Большинство товаров в выбранной категории стоят дороже 261","")))))),"")</f>
      </c>
    </row>
    <row r="944">
      <c r="A944" s="2" t="inlineStr">
        <is>
          <t>Pasabahce</t>
        </is>
      </c>
      <c r="B944" s="2" t="inlineStr">
        <is>
          <t>Стаканы</t>
        </is>
      </c>
      <c r="C944" s="2">
        <v>320909083</v>
      </c>
      <c r="D944" s="2" t="inlineStr">
        <is>
          <t>12754</t>
        </is>
      </c>
      <c r="E944" s="2" t="inlineStr">
        <is>
          <t>2042653230210</t>
        </is>
      </c>
      <c r="F944" s="2">
        <v>19</v>
      </c>
      <c r="G944" s="2">
        <v>9</v>
      </c>
      <c r="H944" s="2">
        <v>999</v>
      </c>
      <c r="I944" s="2" t="inlineStr">
        <is>
          <t>7232</t>
        </is>
      </c>
      <c r="J944" s="4"/>
      <c r="K944" s="2">
        <v>79</v>
      </c>
      <c r="L944" s="6"/>
      <c r="M944" s="2" t="str">
        <f>IF(J944="",ROUND(I944*(1-IF(ISBLANK(L944),K944,L944)/100),2),ROUND(J944*(1-IF(ISBLANK(L944),K944,L944)/100),2))</f>
      </c>
      <c r="N944" s="7" t="str">
        <f>IF(NOT(AND(J944="",L944="")),IF(OR(AND(L944&lt;&gt;"",NOT(ISNUMBER(L944))),IFERROR(MOD(L944,1),1)&gt;0,AND(ISNUMBER(L944),OR(L944&lt;0,L944&gt;95))),"Введите целое число от 0 до 95",IF(OR(AND(J944&lt;&gt;"",NOT(ISNUMBER(J944))),IFERROR(MOD(J944,1),1)&gt;0,AND(ISNUMBER(J944),OR(J944&lt;50,J944&gt;20000000))),"Введите целое число от 50 до 20000000",IF(NOT(ABS(IFERROR(VALUE(LEFT(M944,FIND("-",M944)-1)),M944)*100-(2500+2000000000)/2)&lt;=ABS(2500-2000000000)/2),"Цена со скидкой должна быть от 25 до 20000000",IF(AND(IFERROR(VALUE(LEFT(M944,FIND("-",M944)-1)),M944)*150&lt;=151871,IFERROR(VALUE(LEFT(M944,FIND("-",M944)-1)),M944)*200&gt;151871),"Вы уменьшили цену в несколько раз, товар попадет в карантин цен",IF(IFERROR(VALUE(LEFT(M944,FIND("-",M944)-1)),M944)*200&lt;=151871,"Не сохранили изменения, чтобы защитить от ошибки — новые цены меньше текущих более чем в 2 раза. Снижайте их постепенно",IF(AND(IFERROR(VALUE(I944),0)=0,ISNUMBER(J944),OR(J944&lt;317,ABS(IFERROR(VALUE(LEFT(M944,FIND("-",M944)-1)),M944))*100&lt;31700)),"Проверьте цену товара. Большинство товаров в выбранной категории стоят дороже 317","")))))),"")</f>
      </c>
    </row>
    <row r="945">
      <c r="A945" s="2" t="inlineStr">
        <is>
          <t>Pasabahce</t>
        </is>
      </c>
      <c r="B945" s="2" t="inlineStr">
        <is>
          <t>Стаканы</t>
        </is>
      </c>
      <c r="C945" s="2">
        <v>314429101</v>
      </c>
      <c r="D945" s="2" t="inlineStr">
        <is>
          <t>12370</t>
        </is>
      </c>
      <c r="E945" s="2" t="inlineStr">
        <is>
          <t>2042537497326</t>
        </is>
      </c>
      <c r="F945" s="2">
        <v>8</v>
      </c>
      <c r="G945" s="2">
        <v>11</v>
      </c>
      <c r="H945" s="2">
        <v>112</v>
      </c>
      <c r="I945" s="2" t="inlineStr">
        <is>
          <t>8880</t>
        </is>
      </c>
      <c r="J945" s="4"/>
      <c r="K945" s="2">
        <v>82</v>
      </c>
      <c r="L945" s="6"/>
      <c r="M945" s="2" t="str">
        <f>IF(J945="",ROUND(I945*(1-IF(ISBLANK(L945),K945,L945)/100),2),ROUND(J945*(1-IF(ISBLANK(L945),K945,L945)/100),2))</f>
      </c>
      <c r="N945" s="7" t="str">
        <f>IF(NOT(AND(J945="",L945="")),IF(OR(AND(L945&lt;&gt;"",NOT(ISNUMBER(L945))),IFERROR(MOD(L945,1),1)&gt;0,AND(ISNUMBER(L945),OR(L945&lt;0,L945&gt;95))),"Введите целое число от 0 до 95",IF(OR(AND(J945&lt;&gt;"",NOT(ISNUMBER(J945))),IFERROR(MOD(J945,1),1)&gt;0,AND(ISNUMBER(J945),OR(J945&lt;50,J945&gt;20000000))),"Введите целое число от 50 до 20000000",IF(NOT(ABS(IFERROR(VALUE(LEFT(M945,FIND("-",M945)-1)),M945)*100-(2500+2000000000)/2)&lt;=ABS(2500-2000000000)/2),"Цена со скидкой должна быть от 25 до 20000000",IF(AND(IFERROR(VALUE(LEFT(M945,FIND("-",M945)-1)),M945)*150&lt;=159840,IFERROR(VALUE(LEFT(M945,FIND("-",M945)-1)),M945)*200&gt;159840),"Вы уменьшили цену в несколько раз, товар попадет в карантин цен",IF(IFERROR(VALUE(LEFT(M945,FIND("-",M945)-1)),M945)*200&lt;=159840,"Не сохранили изменения, чтобы защитить от ошибки — новые цены меньше текущих более чем в 2 раза. Снижайте их постепенно",IF(AND(IFERROR(VALUE(I945),0)=0,ISNUMBER(J945),OR(J945&lt;317,ABS(IFERROR(VALUE(LEFT(M945,FIND("-",M945)-1)),M945))*100&lt;31700)),"Проверьте цену товара. Большинство товаров в выбранной категории стоят дороже 317","")))))),"")</f>
      </c>
    </row>
    <row r="946">
      <c r="A946" s="2" t="inlineStr">
        <is>
          <t/>
        </is>
      </c>
      <c r="B946" s="2" t="inlineStr">
        <is>
          <t>Турки</t>
        </is>
      </c>
      <c r="C946" s="2">
        <v>729507970</v>
      </c>
      <c r="D946" s="2" t="inlineStr">
        <is>
          <t>82390</t>
        </is>
      </c>
      <c r="E946" s="2" t="inlineStr">
        <is>
          <t>2048082797966</t>
        </is>
      </c>
      <c r="F946" s="2">
        <v>0</v>
      </c>
      <c r="G946" s="2">
        <v>21</v>
      </c>
      <c r="H946" s="2" t="inlineStr">
        <is>
          <t/>
        </is>
      </c>
      <c r="I946" s="2" t="inlineStr">
        <is>
          <t>5024</t>
        </is>
      </c>
      <c r="J946" s="4"/>
      <c r="K946" s="2">
        <v>75</v>
      </c>
      <c r="L946" s="6"/>
      <c r="M946" s="2" t="str">
        <f>IF(J946="",ROUND(I946*(1-IF(ISBLANK(L946),K946,L946)/100),2),ROUND(J946*(1-IF(ISBLANK(L946),K946,L946)/100),2))</f>
      </c>
      <c r="N946" s="7" t="str">
        <f>IF(NOT(AND(J946="",L946="")),IF(OR(AND(L946&lt;&gt;"",NOT(ISNUMBER(L946))),IFERROR(MOD(L946,1),1)&gt;0,AND(ISNUMBER(L946),OR(L946&lt;0,L946&gt;95))),"Введите целое число от 0 до 95",IF(OR(AND(J946&lt;&gt;"",NOT(ISNUMBER(J946))),IFERROR(MOD(J946,1),1)&gt;0,AND(ISNUMBER(J946),OR(J946&lt;50,J946&gt;20000000))),"Введите целое число от 50 до 20000000",IF(NOT(ABS(IFERROR(VALUE(LEFT(M946,FIND("-",M946)-1)),M946)*100-(2500+2000000000)/2)&lt;=ABS(2500-2000000000)/2),"Цена со скидкой должна быть от 25 до 20000000",IF(AND(IFERROR(VALUE(LEFT(M946,FIND("-",M946)-1)),M946)*150&lt;=125600,IFERROR(VALUE(LEFT(M946,FIND("-",M946)-1)),M946)*200&gt;125600),"Вы уменьшили цену в несколько раз, товар попадет в карантин цен",IF(IFERROR(VALUE(LEFT(M946,FIND("-",M946)-1)),M946)*200&lt;=125600,"Не сохранили изменения, чтобы защитить от ошибки — новые цены меньше текущих более чем в 2 раза. Снижайте их постепенно",IF(AND(IFERROR(VALUE(I946),0)=0,ISNUMBER(J946),OR(J946&lt;643,ABS(IFERROR(VALUE(LEFT(M946,FIND("-",M946)-1)),M946))*100&lt;64300)),"Проверьте цену товара. Большинство товаров в выбранной категории стоят дороже 643","")))))),"")</f>
      </c>
    </row>
    <row r="947">
      <c r="A947" s="2" t="inlineStr">
        <is>
          <t/>
        </is>
      </c>
      <c r="B947" s="2" t="inlineStr">
        <is>
          <t>Машинки для стрижки волос</t>
        </is>
      </c>
      <c r="C947" s="2">
        <v>725137114</v>
      </c>
      <c r="D947" s="2" t="inlineStr">
        <is>
          <t>192062</t>
        </is>
      </c>
      <c r="E947" s="2" t="inlineStr">
        <is>
          <t>2048045468896</t>
        </is>
      </c>
      <c r="F947" s="2">
        <v>0</v>
      </c>
      <c r="G947" s="2">
        <v>0</v>
      </c>
      <c r="H947" s="2" t="inlineStr">
        <is>
          <t/>
        </is>
      </c>
      <c r="I947" s="2" t="inlineStr">
        <is>
          <t>16251</t>
        </is>
      </c>
      <c r="J947" s="4"/>
      <c r="K947" s="2">
        <v>65</v>
      </c>
      <c r="L947" s="6"/>
      <c r="M947" s="2" t="str">
        <f>IF(J947="",ROUND(I947*(1-IF(ISBLANK(L947),K947,L947)/100),2),ROUND(J947*(1-IF(ISBLANK(L947),K947,L947)/100),2))</f>
      </c>
      <c r="N947" s="7" t="str">
        <f>IF(NOT(AND(J947="",L947="")),IF(OR(AND(L947&lt;&gt;"",NOT(ISNUMBER(L947))),IFERROR(MOD(L947,1),1)&gt;0,AND(ISNUMBER(L947),OR(L947&lt;0,L947&gt;95))),"Введите целое число от 0 до 95",IF(OR(AND(J947&lt;&gt;"",NOT(ISNUMBER(J947))),IFERROR(MOD(J947,1),1)&gt;0,AND(ISNUMBER(J947),OR(J947&lt;50,J947&gt;20000000))),"Введите целое число от 50 до 20000000",IF(NOT(ABS(IFERROR(VALUE(LEFT(M947,FIND("-",M947)-1)),M947)*100-(2500+2000000000)/2)&lt;=ABS(2500-2000000000)/2),"Цена со скидкой должна быть от 25 до 20000000",IF(AND(IFERROR(VALUE(LEFT(M947,FIND("-",M947)-1)),M947)*150&lt;=568785,IFERROR(VALUE(LEFT(M947,FIND("-",M947)-1)),M947)*200&gt;568785),"Вы уменьшили цену в несколько раз, товар попадет в карантин цен",IF(IFERROR(VALUE(LEFT(M947,FIND("-",M947)-1)),M947)*200&lt;=568785,"Не сохранили изменения, чтобы защитить от ошибки — новые цены меньше текущих более чем в 2 раза. Снижайте их постепенно",IF(AND(IFERROR(VALUE(I947),0)=0,ISNUMBER(J947),OR(J947&lt;289,ABS(IFERROR(VALUE(LEFT(M947,FIND("-",M947)-1)),M947))*100&lt;28900)),"Проверьте цену товара. Большинство товаров в выбранной категории стоят дороже 289","")))))),"")</f>
      </c>
    </row>
    <row r="948">
      <c r="A948" s="2" t="inlineStr">
        <is>
          <t/>
        </is>
      </c>
      <c r="B948" s="2" t="inlineStr">
        <is>
          <t>Машинки для стрижки волос</t>
        </is>
      </c>
      <c r="C948" s="2">
        <v>598657598</v>
      </c>
      <c r="D948" s="2" t="inlineStr">
        <is>
          <t>190661</t>
        </is>
      </c>
      <c r="E948" s="2" t="inlineStr">
        <is>
          <t>2047106057857</t>
        </is>
      </c>
      <c r="F948" s="2">
        <v>0</v>
      </c>
      <c r="G948" s="2">
        <v>0</v>
      </c>
      <c r="H948" s="2" t="inlineStr">
        <is>
          <t/>
        </is>
      </c>
      <c r="I948" s="2" t="inlineStr">
        <is>
          <t>7398</t>
        </is>
      </c>
      <c r="J948" s="4"/>
      <c r="K948" s="2">
        <v>65</v>
      </c>
      <c r="L948" s="6"/>
      <c r="M948" s="2" t="str">
        <f>IF(J948="",ROUND(I948*(1-IF(ISBLANK(L948),K948,L948)/100),2),ROUND(J948*(1-IF(ISBLANK(L948),K948,L948)/100),2))</f>
      </c>
      <c r="N948" s="7" t="str">
        <f>IF(NOT(AND(J948="",L948="")),IF(OR(AND(L948&lt;&gt;"",NOT(ISNUMBER(L948))),IFERROR(MOD(L948,1),1)&gt;0,AND(ISNUMBER(L948),OR(L948&lt;0,L948&gt;95))),"Введите целое число от 0 до 95",IF(OR(AND(J948&lt;&gt;"",NOT(ISNUMBER(J948))),IFERROR(MOD(J948,1),1)&gt;0,AND(ISNUMBER(J948),OR(J948&lt;50,J948&gt;20000000))),"Введите целое число от 50 до 20000000",IF(NOT(ABS(IFERROR(VALUE(LEFT(M948,FIND("-",M948)-1)),M948)*100-(2500+2000000000)/2)&lt;=ABS(2500-2000000000)/2),"Цена со скидкой должна быть от 25 до 20000000",IF(AND(IFERROR(VALUE(LEFT(M948,FIND("-",M948)-1)),M948)*150&lt;=258929,IFERROR(VALUE(LEFT(M948,FIND("-",M948)-1)),M948)*200&gt;258929),"Вы уменьшили цену в несколько раз, товар попадет в карантин цен",IF(IFERROR(VALUE(LEFT(M948,FIND("-",M948)-1)),M948)*200&lt;=258929,"Не сохранили изменения, чтобы защитить от ошибки — новые цены меньше текущих более чем в 2 раза. Снижайте их постепенно",IF(AND(IFERROR(VALUE(I948),0)=0,ISNUMBER(J948),OR(J948&lt;289,ABS(IFERROR(VALUE(LEFT(M948,FIND("-",M948)-1)),M948))*100&lt;28900)),"Проверьте цену товара. Большинство товаров в выбранной категории стоят дороже 289","")))))),"")</f>
      </c>
    </row>
    <row r="949">
      <c r="A949" s="2" t="inlineStr">
        <is>
          <t/>
        </is>
      </c>
      <c r="B949" s="2" t="inlineStr">
        <is>
          <t>Стаканы</t>
        </is>
      </c>
      <c r="C949" s="2">
        <v>727614753</v>
      </c>
      <c r="D949" s="2" t="inlineStr">
        <is>
          <t>12808</t>
        </is>
      </c>
      <c r="E949" s="2" t="inlineStr">
        <is>
          <t>2048065149584</t>
        </is>
      </c>
      <c r="F949" s="2">
        <v>12</v>
      </c>
      <c r="G949" s="2">
        <v>1</v>
      </c>
      <c r="H949" s="2">
        <v>999</v>
      </c>
      <c r="I949" s="2" t="inlineStr">
        <is>
          <t>6220</t>
        </is>
      </c>
      <c r="J949" s="4"/>
      <c r="K949" s="2">
        <v>81</v>
      </c>
      <c r="L949" s="6"/>
      <c r="M949" s="2" t="str">
        <f>IF(J949="",ROUND(I949*(1-IF(ISBLANK(L949),K949,L949)/100),2),ROUND(J949*(1-IF(ISBLANK(L949),K949,L949)/100),2))</f>
      </c>
      <c r="N949" s="7" t="str">
        <f>IF(NOT(AND(J949="",L949="")),IF(OR(AND(L949&lt;&gt;"",NOT(ISNUMBER(L949))),IFERROR(MOD(L949,1),1)&gt;0,AND(ISNUMBER(L949),OR(L949&lt;0,L949&gt;95))),"Введите целое число от 0 до 95",IF(OR(AND(J949&lt;&gt;"",NOT(ISNUMBER(J949))),IFERROR(MOD(J949,1),1)&gt;0,AND(ISNUMBER(J949),OR(J949&lt;50,J949&gt;20000000))),"Введите целое число от 50 до 20000000",IF(NOT(ABS(IFERROR(VALUE(LEFT(M949,FIND("-",M949)-1)),M949)*100-(2500+2000000000)/2)&lt;=ABS(2500-2000000000)/2),"Цена со скидкой должна быть от 25 до 20000000",IF(AND(IFERROR(VALUE(LEFT(M949,FIND("-",M949)-1)),M949)*150&lt;=118179,IFERROR(VALUE(LEFT(M949,FIND("-",M949)-1)),M949)*200&gt;118179),"Вы уменьшили цену в несколько раз, товар попадет в карантин цен",IF(IFERROR(VALUE(LEFT(M949,FIND("-",M949)-1)),M949)*200&lt;=118179,"Не сохранили изменения, чтобы защитить от ошибки — новые цены меньше текущих более чем в 2 раза. Снижайте их постепенно",IF(AND(IFERROR(VALUE(I949),0)=0,ISNUMBER(J949),OR(J949&lt;317,ABS(IFERROR(VALUE(LEFT(M949,FIND("-",M949)-1)),M949))*100&lt;31700)),"Проверьте цену товара. Большинство товаров в выбранной категории стоят дороже 317","")))))),"")</f>
      </c>
    </row>
    <row r="950">
      <c r="A950" s="2" t="inlineStr">
        <is>
          <t/>
        </is>
      </c>
      <c r="B950" s="2" t="inlineStr">
        <is>
          <t>Машинки для стрижки волос</t>
        </is>
      </c>
      <c r="C950" s="2">
        <v>598657597</v>
      </c>
      <c r="D950" s="2" t="inlineStr">
        <is>
          <t>192403</t>
        </is>
      </c>
      <c r="E950" s="2" t="inlineStr">
        <is>
          <t>2047106057840</t>
        </is>
      </c>
      <c r="F950" s="2">
        <v>0</v>
      </c>
      <c r="G950" s="2">
        <v>39</v>
      </c>
      <c r="H950" s="2" t="inlineStr">
        <is>
          <t/>
        </is>
      </c>
      <c r="I950" s="2" t="inlineStr">
        <is>
          <t>7101</t>
        </is>
      </c>
      <c r="J950" s="4"/>
      <c r="K950" s="2">
        <v>78</v>
      </c>
      <c r="L950" s="6"/>
      <c r="M950" s="2" t="str">
        <f>IF(J950="",ROUND(I950*(1-IF(ISBLANK(L950),K950,L950)/100),2),ROUND(J950*(1-IF(ISBLANK(L950),K950,L950)/100),2))</f>
      </c>
      <c r="N950" s="7" t="str">
        <f>IF(NOT(AND(J950="",L950="")),IF(OR(AND(L950&lt;&gt;"",NOT(ISNUMBER(L950))),IFERROR(MOD(L950,1),1)&gt;0,AND(ISNUMBER(L950),OR(L950&lt;0,L950&gt;95))),"Введите целое число от 0 до 95",IF(OR(AND(J950&lt;&gt;"",NOT(ISNUMBER(J950))),IFERROR(MOD(J950,1),1)&gt;0,AND(ISNUMBER(J950),OR(J950&lt;50,J950&gt;20000000))),"Введите целое число от 50 до 20000000",IF(NOT(ABS(IFERROR(VALUE(LEFT(M950,FIND("-",M950)-1)),M950)*100-(2500+2000000000)/2)&lt;=ABS(2500-2000000000)/2),"Цена со скидкой должна быть от 25 до 20000000",IF(AND(IFERROR(VALUE(LEFT(M950,FIND("-",M950)-1)),M950)*150&lt;=156221,IFERROR(VALUE(LEFT(M950,FIND("-",M950)-1)),M950)*200&gt;156221),"Вы уменьшили цену в несколько раз, товар попадет в карантин цен",IF(IFERROR(VALUE(LEFT(M950,FIND("-",M950)-1)),M950)*200&lt;=156221,"Не сохранили изменения, чтобы защитить от ошибки — новые цены меньше текущих более чем в 2 раза. Снижайте их постепенно",IF(AND(IFERROR(VALUE(I950),0)=0,ISNUMBER(J950),OR(J950&lt;289,ABS(IFERROR(VALUE(LEFT(M950,FIND("-",M950)-1)),M950))*100&lt;28900)),"Проверьте цену товара. Большинство товаров в выбранной категории стоят дороже 289","")))))),"")</f>
      </c>
    </row>
    <row r="951">
      <c r="A951" s="2" t="inlineStr">
        <is>
          <t>Laly Бижутерия</t>
        </is>
      </c>
      <c r="B951" s="2" t="inlineStr">
        <is>
          <t>Колье</t>
        </is>
      </c>
      <c r="C951" s="2">
        <v>277127480</v>
      </c>
      <c r="D951" s="2" t="inlineStr">
        <is>
          <t>55932</t>
        </is>
      </c>
      <c r="E951" s="2" t="inlineStr">
        <is>
          <t>4670294453651</t>
        </is>
      </c>
      <c r="F951" s="2">
        <v>0</v>
      </c>
      <c r="G951" s="2">
        <v>0</v>
      </c>
      <c r="H951" s="2">
        <v>1</v>
      </c>
      <c r="I951" s="2" t="inlineStr">
        <is>
          <t>1334</t>
        </is>
      </c>
      <c r="J951" s="4"/>
      <c r="K951" s="2">
        <v>65</v>
      </c>
      <c r="L951" s="6"/>
      <c r="M951" s="2" t="str">
        <f>IF(J951="",ROUND(I951*(1-IF(ISBLANK(L951),K951,L951)/100),2),ROUND(J951*(1-IF(ISBLANK(L951),K951,L951)/100),2))</f>
      </c>
      <c r="N951" s="7" t="str">
        <f>IF(NOT(AND(J951="",L951="")),IF(OR(AND(L951&lt;&gt;"",NOT(ISNUMBER(L951))),IFERROR(MOD(L951,1),1)&gt;0,AND(ISNUMBER(L951),OR(L951&lt;0,L951&gt;95))),"Введите целое число от 0 до 95",IF(OR(AND(J951&lt;&gt;"",NOT(ISNUMBER(J951))),IFERROR(MOD(J951,1),1)&gt;0,AND(ISNUMBER(J951),OR(J951&lt;50,J951&gt;20000000))),"Введите целое число от 50 до 20000000",IF(NOT(ABS(IFERROR(VALUE(LEFT(M951,FIND("-",M951)-1)),M951)*100-(2500+2000000000)/2)&lt;=ABS(2500-2000000000)/2),"Цена со скидкой должна быть от 25 до 20000000",IF(AND(IFERROR(VALUE(LEFT(M951,FIND("-",M951)-1)),M951)*150&lt;=46690,IFERROR(VALUE(LEFT(M951,FIND("-",M951)-1)),M951)*200&gt;46690),"Вы уменьшили цену в несколько раз, товар попадет в карантин цен",IF(IFERROR(VALUE(LEFT(M951,FIND("-",M951)-1)),M951)*200&lt;=46690,"Не сохранили изменения, чтобы защитить от ошибки — новые цены меньше текущих более чем в 2 раза. Снижайте их постепенно",IF(AND(IFERROR(VALUE(I951),0)=0,ISNUMBER(J951),OR(J951&lt;222,ABS(IFERROR(VALUE(LEFT(M951,FIND("-",M951)-1)),M951))*100&lt;22200)),"Проверьте цену товара. Большинство товаров в выбранной категории стоят дороже 222","")))))),"")</f>
      </c>
    </row>
    <row r="952">
      <c r="A952" s="2" t="inlineStr">
        <is>
          <t>Laly Бижутерия</t>
        </is>
      </c>
      <c r="B952" s="2" t="inlineStr">
        <is>
          <t>Колье</t>
        </is>
      </c>
      <c r="C952" s="2">
        <v>273934915</v>
      </c>
      <c r="D952" s="2" t="inlineStr">
        <is>
          <t>55773</t>
        </is>
      </c>
      <c r="E952" s="2" t="inlineStr">
        <is>
          <t>4670294453477</t>
        </is>
      </c>
      <c r="F952" s="2">
        <v>269</v>
      </c>
      <c r="G952" s="2">
        <v>0</v>
      </c>
      <c r="H952" s="2">
        <v>695</v>
      </c>
      <c r="I952" s="2" t="inlineStr">
        <is>
          <t>2141</t>
        </is>
      </c>
      <c r="J952" s="4"/>
      <c r="K952" s="2">
        <v>82</v>
      </c>
      <c r="L952" s="6"/>
      <c r="M952" s="2" t="str">
        <f>IF(J952="",ROUND(I952*(1-IF(ISBLANK(L952),K952,L952)/100),2),ROUND(J952*(1-IF(ISBLANK(L952),K952,L952)/100),2))</f>
      </c>
      <c r="N952" s="7" t="str">
        <f>IF(NOT(AND(J952="",L952="")),IF(OR(AND(L952&lt;&gt;"",NOT(ISNUMBER(L952))),IFERROR(MOD(L952,1),1)&gt;0,AND(ISNUMBER(L952),OR(L952&lt;0,L952&gt;95))),"Введите целое число от 0 до 95",IF(OR(AND(J952&lt;&gt;"",NOT(ISNUMBER(J952))),IFERROR(MOD(J952,1),1)&gt;0,AND(ISNUMBER(J952),OR(J952&lt;50,J952&gt;20000000))),"Введите целое число от 50 до 20000000",IF(NOT(ABS(IFERROR(VALUE(LEFT(M952,FIND("-",M952)-1)),M952)*100-(2500+2000000000)/2)&lt;=ABS(2500-2000000000)/2),"Цена со скидкой должна быть от 25 до 20000000",IF(AND(IFERROR(VALUE(LEFT(M952,FIND("-",M952)-1)),M952)*150&lt;=38538,IFERROR(VALUE(LEFT(M952,FIND("-",M952)-1)),M952)*200&gt;38538),"Вы уменьшили цену в несколько раз, товар попадет в карантин цен",IF(IFERROR(VALUE(LEFT(M952,FIND("-",M952)-1)),M952)*200&lt;=38538,"Не сохранили изменения, чтобы защитить от ошибки — новые цены меньше текущих более чем в 2 раза. Снижайте их постепенно",IF(AND(IFERROR(VALUE(I952),0)=0,ISNUMBER(J952),OR(J952&lt;222,ABS(IFERROR(VALUE(LEFT(M952,FIND("-",M952)-1)),M952))*100&lt;22200)),"Проверьте цену товара. Большинство товаров в выбранной категории стоят дороже 222","")))))),"")</f>
      </c>
    </row>
    <row r="953">
      <c r="A953" s="2" t="inlineStr">
        <is>
          <t>Laly Бижутерия</t>
        </is>
      </c>
      <c r="B953" s="2" t="inlineStr">
        <is>
          <t>Колье</t>
        </is>
      </c>
      <c r="C953" s="2">
        <v>277127479</v>
      </c>
      <c r="D953" s="2" t="inlineStr">
        <is>
          <t>55776</t>
        </is>
      </c>
      <c r="E953" s="2" t="inlineStr">
        <is>
          <t>4670294453507</t>
        </is>
      </c>
      <c r="F953" s="2">
        <v>63</v>
      </c>
      <c r="G953" s="2">
        <v>16</v>
      </c>
      <c r="H953" s="2">
        <v>43</v>
      </c>
      <c r="I953" s="2" t="inlineStr">
        <is>
          <t>2850</t>
        </is>
      </c>
      <c r="J953" s="4"/>
      <c r="K953" s="2">
        <v>82</v>
      </c>
      <c r="L953" s="6"/>
      <c r="M953" s="2" t="str">
        <f>IF(J953="",ROUND(I953*(1-IF(ISBLANK(L953),K953,L953)/100),2),ROUND(J953*(1-IF(ISBLANK(L953),K953,L953)/100),2))</f>
      </c>
      <c r="N953" s="7" t="str">
        <f>IF(NOT(AND(J953="",L953="")),IF(OR(AND(L953&lt;&gt;"",NOT(ISNUMBER(L953))),IFERROR(MOD(L953,1),1)&gt;0,AND(ISNUMBER(L953),OR(L953&lt;0,L953&gt;95))),"Введите целое число от 0 до 95",IF(OR(AND(J953&lt;&gt;"",NOT(ISNUMBER(J953))),IFERROR(MOD(J953,1),1)&gt;0,AND(ISNUMBER(J953),OR(J953&lt;50,J953&gt;20000000))),"Введите целое число от 50 до 20000000",IF(NOT(ABS(IFERROR(VALUE(LEFT(M953,FIND("-",M953)-1)),M953)*100-(2500+2000000000)/2)&lt;=ABS(2500-2000000000)/2),"Цена со скидкой должна быть от 25 до 20000000",IF(AND(IFERROR(VALUE(LEFT(M953,FIND("-",M953)-1)),M953)*150&lt;=51300,IFERROR(VALUE(LEFT(M953,FIND("-",M953)-1)),M953)*200&gt;51300),"Вы уменьшили цену в несколько раз, товар попадет в карантин цен",IF(IFERROR(VALUE(LEFT(M953,FIND("-",M953)-1)),M953)*200&lt;=51300,"Не сохранили изменения, чтобы защитить от ошибки — новые цены меньше текущих более чем в 2 раза. Снижайте их постепенно",IF(AND(IFERROR(VALUE(I953),0)=0,ISNUMBER(J953),OR(J953&lt;222,ABS(IFERROR(VALUE(LEFT(M953,FIND("-",M953)-1)),M953))*100&lt;22200)),"Проверьте цену товара. Большинство товаров в выбранной категории стоят дороже 222","")))))),"")</f>
      </c>
    </row>
    <row r="954">
      <c r="A954" s="2" t="inlineStr">
        <is>
          <t/>
        </is>
      </c>
      <c r="B954" s="2" t="inlineStr">
        <is>
          <t>Тарелки</t>
        </is>
      </c>
      <c r="C954" s="2">
        <v>729438434</v>
      </c>
      <c r="D954" s="2" t="inlineStr">
        <is>
          <t>22028</t>
        </is>
      </c>
      <c r="E954" s="2" t="inlineStr">
        <is>
          <t>2048082120122</t>
        </is>
      </c>
      <c r="F954" s="2">
        <v>0</v>
      </c>
      <c r="G954" s="2">
        <v>0</v>
      </c>
      <c r="H954" s="2" t="inlineStr">
        <is>
          <t/>
        </is>
      </c>
      <c r="I954" s="2" t="inlineStr">
        <is>
          <t>10905</t>
        </is>
      </c>
      <c r="J954" s="4"/>
      <c r="K954" s="2">
        <v>65</v>
      </c>
      <c r="L954" s="6"/>
      <c r="M954" s="2" t="str">
        <f>IF(J954="",ROUND(I954*(1-IF(ISBLANK(L954),K954,L954)/100),2),ROUND(J954*(1-IF(ISBLANK(L954),K954,L954)/100),2))</f>
      </c>
      <c r="N954" s="7" t="str">
        <f>IF(NOT(AND(J954="",L954="")),IF(OR(AND(L954&lt;&gt;"",NOT(ISNUMBER(L954))),IFERROR(MOD(L954,1),1)&gt;0,AND(ISNUMBER(L954),OR(L954&lt;0,L954&gt;95))),"Введите целое число от 0 до 95",IF(OR(AND(J954&lt;&gt;"",NOT(ISNUMBER(J954))),IFERROR(MOD(J954,1),1)&gt;0,AND(ISNUMBER(J954),OR(J954&lt;50,J954&gt;20000000))),"Введите целое число от 50 до 20000000",IF(NOT(ABS(IFERROR(VALUE(LEFT(M954,FIND("-",M954)-1)),M954)*100-(2500+2000000000)/2)&lt;=ABS(2500-2000000000)/2),"Цена со скидкой должна быть от 25 до 20000000",IF(AND(IFERROR(VALUE(LEFT(M954,FIND("-",M954)-1)),M954)*150&lt;=381674,IFERROR(VALUE(LEFT(M954,FIND("-",M954)-1)),M954)*200&gt;381674),"Вы уменьшили цену в несколько раз, товар попадет в карантин цен",IF(IFERROR(VALUE(LEFT(M954,FIND("-",M954)-1)),M954)*200&lt;=381674,"Не сохранили изменения, чтобы защитить от ошибки — новые цены меньше текущих более чем в 2 раза. Снижайте их постепенно",IF(AND(IFERROR(VALUE(I954),0)=0,ISNUMBER(J954),OR(J954&lt;413,ABS(IFERROR(VALUE(LEFT(M954,FIND("-",M954)-1)),M954))*100&lt;41300)),"Проверьте цену товара. Большинство товаров в выбранной категории стоят дороже 413","")))))),"")</f>
      </c>
    </row>
    <row r="955">
      <c r="A955" s="2" t="inlineStr">
        <is>
          <t>Laly Бижутерия</t>
        </is>
      </c>
      <c r="B955" s="2" t="inlineStr">
        <is>
          <t>Колье</t>
        </is>
      </c>
      <c r="C955" s="2">
        <v>273934916</v>
      </c>
      <c r="D955" s="2" t="inlineStr">
        <is>
          <t>55796</t>
        </is>
      </c>
      <c r="E955" s="2" t="inlineStr">
        <is>
          <t>4670294453644</t>
        </is>
      </c>
      <c r="F955" s="2">
        <v>369</v>
      </c>
      <c r="G955" s="2">
        <v>566</v>
      </c>
      <c r="H955" s="2">
        <v>573</v>
      </c>
      <c r="I955" s="2" t="inlineStr">
        <is>
          <t>1831</t>
        </is>
      </c>
      <c r="J955" s="4"/>
      <c r="K955" s="2">
        <v>80</v>
      </c>
      <c r="L955" s="6"/>
      <c r="M955" s="2" t="str">
        <f>IF(J955="",ROUND(I955*(1-IF(ISBLANK(L955),K955,L955)/100),2),ROUND(J955*(1-IF(ISBLANK(L955),K955,L955)/100),2))</f>
      </c>
      <c r="N955" s="7" t="str">
        <f>IF(NOT(AND(J955="",L955="")),IF(OR(AND(L955&lt;&gt;"",NOT(ISNUMBER(L955))),IFERROR(MOD(L955,1),1)&gt;0,AND(ISNUMBER(L955),OR(L955&lt;0,L955&gt;95))),"Введите целое число от 0 до 95",IF(OR(AND(J955&lt;&gt;"",NOT(ISNUMBER(J955))),IFERROR(MOD(J955,1),1)&gt;0,AND(ISNUMBER(J955),OR(J955&lt;50,J955&gt;20000000))),"Введите целое число от 50 до 20000000",IF(NOT(ABS(IFERROR(VALUE(LEFT(M955,FIND("-",M955)-1)),M955)*100-(2500+2000000000)/2)&lt;=ABS(2500-2000000000)/2),"Цена со скидкой должна быть от 25 до 20000000",IF(AND(IFERROR(VALUE(LEFT(M955,FIND("-",M955)-1)),M955)*150&lt;=36619,IFERROR(VALUE(LEFT(M955,FIND("-",M955)-1)),M955)*200&gt;36619),"Вы уменьшили цену в несколько раз, товар попадет в карантин цен",IF(IFERROR(VALUE(LEFT(M955,FIND("-",M955)-1)),M955)*200&lt;=36619,"Не сохранили изменения, чтобы защитить от ошибки — новые цены меньше текущих более чем в 2 раза. Снижайте их постепенно",IF(AND(IFERROR(VALUE(I955),0)=0,ISNUMBER(J955),OR(J955&lt;222,ABS(IFERROR(VALUE(LEFT(M955,FIND("-",M955)-1)),M955))*100&lt;22200)),"Проверьте цену товара. Большинство товаров в выбранной категории стоят дороже 222","")))))),"")</f>
      </c>
    </row>
    <row r="956">
      <c r="A956" s="2" t="inlineStr">
        <is>
          <t/>
        </is>
      </c>
      <c r="B956" s="2" t="inlineStr">
        <is>
          <t>Кастрюли</t>
        </is>
      </c>
      <c r="C956" s="2">
        <v>729143931</v>
      </c>
      <c r="D956" s="2" t="inlineStr">
        <is>
          <t>20330</t>
        </is>
      </c>
      <c r="E956" s="2" t="inlineStr">
        <is>
          <t>2048079086479</t>
        </is>
      </c>
      <c r="F956" s="2">
        <v>3</v>
      </c>
      <c r="G956" s="2">
        <v>6</v>
      </c>
      <c r="H956" s="2">
        <v>999</v>
      </c>
      <c r="I956" s="2" t="inlineStr">
        <is>
          <t>21265</t>
        </is>
      </c>
      <c r="J956" s="4"/>
      <c r="K956" s="2">
        <v>80</v>
      </c>
      <c r="L956" s="6"/>
      <c r="M956" s="2" t="str">
        <f>IF(J956="",ROUND(I956*(1-IF(ISBLANK(L956),K956,L956)/100),2),ROUND(J956*(1-IF(ISBLANK(L956),K956,L956)/100),2))</f>
      </c>
      <c r="N956" s="7" t="str">
        <f>IF(NOT(AND(J956="",L956="")),IF(OR(AND(L956&lt;&gt;"",NOT(ISNUMBER(L956))),IFERROR(MOD(L956,1),1)&gt;0,AND(ISNUMBER(L956),OR(L956&lt;0,L956&gt;95))),"Введите целое число от 0 до 95",IF(OR(AND(J956&lt;&gt;"",NOT(ISNUMBER(J956))),IFERROR(MOD(J956,1),1)&gt;0,AND(ISNUMBER(J956),OR(J956&lt;50,J956&gt;20000000))),"Введите целое число от 50 до 20000000",IF(NOT(ABS(IFERROR(VALUE(LEFT(M956,FIND("-",M956)-1)),M956)*100-(2500+2000000000)/2)&lt;=ABS(2500-2000000000)/2),"Цена со скидкой должна быть от 25 до 20000000",IF(AND(IFERROR(VALUE(LEFT(M956,FIND("-",M956)-1)),M956)*150&lt;=425299,IFERROR(VALUE(LEFT(M956,FIND("-",M956)-1)),M956)*200&gt;425299),"Вы уменьшили цену в несколько раз, товар попадет в карантин цен",IF(IFERROR(VALUE(LEFT(M956,FIND("-",M956)-1)),M956)*200&lt;=425299,"Не сохранили изменения, чтобы защитить от ошибки — новые цены меньше текущих более чем в 2 раза. Снижайте их постепенно",IF(AND(IFERROR(VALUE(I956),0)=0,ISNUMBER(J956),OR(J956&lt;523,ABS(IFERROR(VALUE(LEFT(M956,FIND("-",M956)-1)),M956))*100&lt;52300)),"Проверьте цену товара. Большинство товаров в выбранной категории стоят дороже 523","")))))),"")</f>
      </c>
    </row>
    <row r="957">
      <c r="A957" s="2" t="inlineStr">
        <is>
          <t/>
        </is>
      </c>
      <c r="B957" s="2" t="inlineStr">
        <is>
          <t>Кастрюли</t>
        </is>
      </c>
      <c r="C957" s="2">
        <v>729143935</v>
      </c>
      <c r="D957" s="2" t="inlineStr">
        <is>
          <t>200096</t>
        </is>
      </c>
      <c r="E957" s="2" t="inlineStr">
        <is>
          <t>2048079087704</t>
        </is>
      </c>
      <c r="F957" s="2">
        <v>3</v>
      </c>
      <c r="G957" s="2">
        <v>5</v>
      </c>
      <c r="H957" s="2">
        <v>999</v>
      </c>
      <c r="I957" s="2" t="inlineStr">
        <is>
          <t>22744</t>
        </is>
      </c>
      <c r="J957" s="4"/>
      <c r="K957" s="2">
        <v>80</v>
      </c>
      <c r="L957" s="6"/>
      <c r="M957" s="2" t="str">
        <f>IF(J957="",ROUND(I957*(1-IF(ISBLANK(L957),K957,L957)/100),2),ROUND(J957*(1-IF(ISBLANK(L957),K957,L957)/100),2))</f>
      </c>
      <c r="N957" s="7" t="str">
        <f>IF(NOT(AND(J957="",L957="")),IF(OR(AND(L957&lt;&gt;"",NOT(ISNUMBER(L957))),IFERROR(MOD(L957,1),1)&gt;0,AND(ISNUMBER(L957),OR(L957&lt;0,L957&gt;95))),"Введите целое число от 0 до 95",IF(OR(AND(J957&lt;&gt;"",NOT(ISNUMBER(J957))),IFERROR(MOD(J957,1),1)&gt;0,AND(ISNUMBER(J957),OR(J957&lt;50,J957&gt;20000000))),"Введите целое число от 50 до 20000000",IF(NOT(ABS(IFERROR(VALUE(LEFT(M957,FIND("-",M957)-1)),M957)*100-(2500+2000000000)/2)&lt;=ABS(2500-2000000000)/2),"Цена со скидкой должна быть от 25 до 20000000",IF(AND(IFERROR(VALUE(LEFT(M957,FIND("-",M957)-1)),M957)*150&lt;=454879,IFERROR(VALUE(LEFT(M957,FIND("-",M957)-1)),M957)*200&gt;454879),"Вы уменьшили цену в несколько раз, товар попадет в карантин цен",IF(IFERROR(VALUE(LEFT(M957,FIND("-",M957)-1)),M957)*200&lt;=454879,"Не сохранили изменения, чтобы защитить от ошибки — новые цены меньше текущих более чем в 2 раза. Снижайте их постепенно",IF(AND(IFERROR(VALUE(I957),0)=0,ISNUMBER(J957),OR(J957&lt;523,ABS(IFERROR(VALUE(LEFT(M957,FIND("-",M957)-1)),M957))*100&lt;52300)),"Проверьте цену товара. Большинство товаров в выбранной категории стоят дороже 523","")))))),"")</f>
      </c>
    </row>
    <row r="958">
      <c r="A958" s="2" t="inlineStr">
        <is>
          <t/>
        </is>
      </c>
      <c r="B958" s="2" t="inlineStr">
        <is>
          <t>Кастрюли</t>
        </is>
      </c>
      <c r="C958" s="2">
        <v>729143944</v>
      </c>
      <c r="D958" s="2" t="inlineStr">
        <is>
          <t>20415</t>
        </is>
      </c>
      <c r="E958" s="2" t="inlineStr">
        <is>
          <t>2048079088022</t>
        </is>
      </c>
      <c r="F958" s="2">
        <v>6</v>
      </c>
      <c r="G958" s="2">
        <v>6</v>
      </c>
      <c r="H958" s="2">
        <v>999</v>
      </c>
      <c r="I958" s="2" t="inlineStr">
        <is>
          <t>21928</t>
        </is>
      </c>
      <c r="J958" s="4"/>
      <c r="K958" s="2">
        <v>80</v>
      </c>
      <c r="L958" s="6"/>
      <c r="M958" s="2" t="str">
        <f>IF(J958="",ROUND(I958*(1-IF(ISBLANK(L958),K958,L958)/100),2),ROUND(J958*(1-IF(ISBLANK(L958),K958,L958)/100),2))</f>
      </c>
      <c r="N958" s="7" t="str">
        <f>IF(NOT(AND(J958="",L958="")),IF(OR(AND(L958&lt;&gt;"",NOT(ISNUMBER(L958))),IFERROR(MOD(L958,1),1)&gt;0,AND(ISNUMBER(L958),OR(L958&lt;0,L958&gt;95))),"Введите целое число от 0 до 95",IF(OR(AND(J958&lt;&gt;"",NOT(ISNUMBER(J958))),IFERROR(MOD(J958,1),1)&gt;0,AND(ISNUMBER(J958),OR(J958&lt;50,J958&gt;20000000))),"Введите целое число от 50 до 20000000",IF(NOT(ABS(IFERROR(VALUE(LEFT(M958,FIND("-",M958)-1)),M958)*100-(2500+2000000000)/2)&lt;=ABS(2500-2000000000)/2),"Цена со скидкой должна быть от 25 до 20000000",IF(AND(IFERROR(VALUE(LEFT(M958,FIND("-",M958)-1)),M958)*150&lt;=438559,IFERROR(VALUE(LEFT(M958,FIND("-",M958)-1)),M958)*200&gt;438559),"Вы уменьшили цену в несколько раз, товар попадет в карантин цен",IF(IFERROR(VALUE(LEFT(M958,FIND("-",M958)-1)),M958)*200&lt;=438559,"Не сохранили изменения, чтобы защитить от ошибки — новые цены меньше текущих более чем в 2 раза. Снижайте их постепенно",IF(AND(IFERROR(VALUE(I958),0)=0,ISNUMBER(J958),OR(J958&lt;523,ABS(IFERROR(VALUE(LEFT(M958,FIND("-",M958)-1)),M958))*100&lt;52300)),"Проверьте цену товара. Большинство товаров в выбранной категории стоят дороже 523","")))))),"")</f>
      </c>
    </row>
    <row r="959">
      <c r="A959" s="2" t="inlineStr">
        <is>
          <t/>
        </is>
      </c>
      <c r="B959" s="2" t="inlineStr">
        <is>
          <t>Тарелки</t>
        </is>
      </c>
      <c r="C959" s="2">
        <v>729438960</v>
      </c>
      <c r="D959" s="2" t="inlineStr">
        <is>
          <t>076481</t>
        </is>
      </c>
      <c r="E959" s="2" t="inlineStr">
        <is>
          <t>2048082126629</t>
        </is>
      </c>
      <c r="F959" s="2">
        <v>0</v>
      </c>
      <c r="G959" s="2">
        <v>4</v>
      </c>
      <c r="H959" s="2" t="inlineStr">
        <is>
          <t/>
        </is>
      </c>
      <c r="I959" s="2" t="inlineStr">
        <is>
          <t>0</t>
        </is>
      </c>
      <c r="J959" s="4"/>
      <c r="K959" s="2">
        <v>0</v>
      </c>
      <c r="L959" s="6"/>
      <c r="M959" s="2" t="str">
        <f>IF(J959="",ROUND(I959*(1-IF(ISBLANK(L959),K959,L959)/100),2),ROUND(J959*(1-IF(ISBLANK(L959),K959,L959)/100),2))</f>
      </c>
      <c r="N959" s="7" t="str">
        <f>IF(NOT(AND(J959="",L959="")),IF(OR(AND(L959&lt;&gt;"",NOT(ISNUMBER(L959))),IFERROR(MOD(L959,1),1)&gt;0,AND(ISNUMBER(L959),OR(L959&lt;0,L959&gt;95))),"Введите целое число от 0 до 95",IF(OR(AND(J959&lt;&gt;"",NOT(ISNUMBER(J959))),IFERROR(MOD(J959,1),1)&gt;0,AND(ISNUMBER(J959),OR(J959&lt;50,J959&gt;20000000))),"Введите целое число от 50 до 20000000",IF(NOT(ABS(IFERROR(VALUE(LEFT(M959,FIND("-",M959)-1)),M959)*100-(2500+2000000000)/2)&lt;=ABS(2500-2000000000)/2),"Цена со скидкой должна быть от 25 до 20000000",IF(AND(IFERROR(VALUE(LEFT(M959,FIND("-",M959)-1)),M959)*150&lt;=0,IFERROR(VALUE(LEFT(M959,FIND("-",M959)-1)),M959)*200&gt;0),"Вы уменьшили цену в несколько раз, товар попадет в карантин цен",IF(IFERROR(VALUE(LEFT(M959,FIND("-",M959)-1)),M959)*200&lt;=0,"Не сохранили изменения, чтобы защитить от ошибки — новые цены меньше текущих более чем в 2 раза. Снижайте их постепенно",IF(AND(IFERROR(VALUE(I959),0)=0,ISNUMBER(J959),OR(J959&lt;413,ABS(IFERROR(VALUE(LEFT(M959,FIND("-",M959)-1)),M959))*100&lt;41300)),"Проверьте цену товара. Большинство товаров в выбранной категории стоят дороже 413","")))))),"")</f>
      </c>
    </row>
    <row r="960">
      <c r="A960" s="2" t="inlineStr">
        <is>
          <t/>
        </is>
      </c>
      <c r="B960" s="2" t="inlineStr">
        <is>
          <t>Кастрюли</t>
        </is>
      </c>
      <c r="C960" s="2">
        <v>729143927</v>
      </c>
      <c r="D960" s="2" t="inlineStr">
        <is>
          <t>283369</t>
        </is>
      </c>
      <c r="E960" s="2" t="inlineStr">
        <is>
          <t>2048079086356</t>
        </is>
      </c>
      <c r="F960" s="2">
        <v>0</v>
      </c>
      <c r="G960" s="2">
        <v>0</v>
      </c>
      <c r="H960" s="2" t="inlineStr">
        <is>
          <t/>
        </is>
      </c>
      <c r="I960" s="2" t="inlineStr">
        <is>
          <t>56454</t>
        </is>
      </c>
      <c r="J960" s="4"/>
      <c r="K960" s="2">
        <v>65</v>
      </c>
      <c r="L960" s="6"/>
      <c r="M960" s="2" t="str">
        <f>IF(J960="",ROUND(I960*(1-IF(ISBLANK(L960),K960,L960)/100),2),ROUND(J960*(1-IF(ISBLANK(L960),K960,L960)/100),2))</f>
      </c>
      <c r="N960" s="7" t="str">
        <f>IF(NOT(AND(J960="",L960="")),IF(OR(AND(L960&lt;&gt;"",NOT(ISNUMBER(L960))),IFERROR(MOD(L960,1),1)&gt;0,AND(ISNUMBER(L960),OR(L960&lt;0,L960&gt;95))),"Введите целое число от 0 до 95",IF(OR(AND(J960&lt;&gt;"",NOT(ISNUMBER(J960))),IFERROR(MOD(J960,1),1)&gt;0,AND(ISNUMBER(J960),OR(J960&lt;50,J960&gt;20000000))),"Введите целое число от 50 до 20000000",IF(NOT(ABS(IFERROR(VALUE(LEFT(M960,FIND("-",M960)-1)),M960)*100-(2500+2000000000)/2)&lt;=ABS(2500-2000000000)/2),"Цена со скидкой должна быть от 25 до 20000000",IF(AND(IFERROR(VALUE(LEFT(M960,FIND("-",M960)-1)),M960)*150&lt;=1975889,IFERROR(VALUE(LEFT(M960,FIND("-",M960)-1)),M960)*200&gt;1975889),"Вы уменьшили цену в несколько раз, товар попадет в карантин цен",IF(IFERROR(VALUE(LEFT(M960,FIND("-",M960)-1)),M960)*200&lt;=1975889,"Не сохранили изменения, чтобы защитить от ошибки — новые цены меньше текущих более чем в 2 раза. Снижайте их постепенно",IF(AND(IFERROR(VALUE(I960),0)=0,ISNUMBER(J960),OR(J960&lt;523,ABS(IFERROR(VALUE(LEFT(M960,FIND("-",M960)-1)),M960))*100&lt;52300)),"Проверьте цену товара. Большинство товаров в выбранной категории стоят дороже 523","")))))),"")</f>
      </c>
    </row>
    <row r="961">
      <c r="A961" s="2" t="inlineStr">
        <is>
          <t/>
        </is>
      </c>
      <c r="B961" s="2" t="inlineStr">
        <is>
          <t>Тарелки</t>
        </is>
      </c>
      <c r="C961" s="2">
        <v>729438449</v>
      </c>
      <c r="D961" s="2" t="inlineStr">
        <is>
          <t>076561</t>
        </is>
      </c>
      <c r="E961" s="2" t="inlineStr">
        <is>
          <t>2048082120320</t>
        </is>
      </c>
      <c r="F961" s="2" t="inlineStr">
        <is>
          <t/>
        </is>
      </c>
      <c r="G961" s="2" t="inlineStr">
        <is>
          <t/>
        </is>
      </c>
      <c r="H961" s="2" t="inlineStr">
        <is>
          <t/>
        </is>
      </c>
      <c r="I961" s="2" t="inlineStr">
        <is>
          <t>0</t>
        </is>
      </c>
      <c r="J961" s="4"/>
      <c r="K961" s="2">
        <v>0</v>
      </c>
      <c r="L961" s="6"/>
      <c r="M961" s="2" t="str">
        <f>IF(J961="",ROUND(I961*(1-IF(ISBLANK(L961),K961,L961)/100),2),ROUND(J961*(1-IF(ISBLANK(L961),K961,L961)/100),2))</f>
      </c>
      <c r="N961" s="7" t="str">
        <f>IF(NOT(AND(J961="",L961="")),IF(OR(AND(L961&lt;&gt;"",NOT(ISNUMBER(L961))),IFERROR(MOD(L961,1),1)&gt;0,AND(ISNUMBER(L961),OR(L961&lt;0,L961&gt;95))),"Введите целое число от 0 до 95",IF(OR(AND(J961&lt;&gt;"",NOT(ISNUMBER(J961))),IFERROR(MOD(J961,1),1)&gt;0,AND(ISNUMBER(J961),OR(J961&lt;50,J961&gt;20000000))),"Введите целое число от 50 до 20000000",IF(NOT(ABS(IFERROR(VALUE(LEFT(M961,FIND("-",M961)-1)),M961)*100-(2500+2000000000)/2)&lt;=ABS(2500-2000000000)/2),"Цена со скидкой должна быть от 25 до 20000000",IF(AND(IFERROR(VALUE(LEFT(M961,FIND("-",M961)-1)),M961)*150&lt;=0,IFERROR(VALUE(LEFT(M961,FIND("-",M961)-1)),M961)*200&gt;0),"Вы уменьшили цену в несколько раз, товар попадет в карантин цен",IF(IFERROR(VALUE(LEFT(M961,FIND("-",M961)-1)),M961)*200&lt;=0,"Не сохранили изменения, чтобы защитить от ошибки — новые цены меньше текущих более чем в 2 раза. Снижайте их постепенно",IF(AND(IFERROR(VALUE(I961),0)=0,ISNUMBER(J961),OR(J961&lt;413,ABS(IFERROR(VALUE(LEFT(M961,FIND("-",M961)-1)),M961))*100&lt;41300)),"Проверьте цену товара. Большинство товаров в выбранной категории стоят дороже 413","")))))),"")</f>
      </c>
    </row>
    <row r="962">
      <c r="A962" s="2" t="inlineStr">
        <is>
          <t/>
        </is>
      </c>
      <c r="B962" s="2" t="inlineStr">
        <is>
          <t>Тарелки</t>
        </is>
      </c>
      <c r="C962" s="2">
        <v>729438961</v>
      </c>
      <c r="D962" s="2" t="inlineStr">
        <is>
          <t>075371</t>
        </is>
      </c>
      <c r="E962" s="2" t="inlineStr">
        <is>
          <t>2048082126636</t>
        </is>
      </c>
      <c r="F962" s="2" t="inlineStr">
        <is>
          <t/>
        </is>
      </c>
      <c r="G962" s="2" t="inlineStr">
        <is>
          <t/>
        </is>
      </c>
      <c r="H962" s="2" t="inlineStr">
        <is>
          <t/>
        </is>
      </c>
      <c r="I962" s="2" t="inlineStr">
        <is>
          <t>0</t>
        </is>
      </c>
      <c r="J962" s="4"/>
      <c r="K962" s="2">
        <v>0</v>
      </c>
      <c r="L962" s="6"/>
      <c r="M962" s="2" t="str">
        <f>IF(J962="",ROUND(I962*(1-IF(ISBLANK(L962),K962,L962)/100),2),ROUND(J962*(1-IF(ISBLANK(L962),K962,L962)/100),2))</f>
      </c>
      <c r="N962" s="7" t="str">
        <f>IF(NOT(AND(J962="",L962="")),IF(OR(AND(L962&lt;&gt;"",NOT(ISNUMBER(L962))),IFERROR(MOD(L962,1),1)&gt;0,AND(ISNUMBER(L962),OR(L962&lt;0,L962&gt;95))),"Введите целое число от 0 до 95",IF(OR(AND(J962&lt;&gt;"",NOT(ISNUMBER(J962))),IFERROR(MOD(J962,1),1)&gt;0,AND(ISNUMBER(J962),OR(J962&lt;50,J962&gt;20000000))),"Введите целое число от 50 до 20000000",IF(NOT(ABS(IFERROR(VALUE(LEFT(M962,FIND("-",M962)-1)),M962)*100-(2500+2000000000)/2)&lt;=ABS(2500-2000000000)/2),"Цена со скидкой должна быть от 25 до 20000000",IF(AND(IFERROR(VALUE(LEFT(M962,FIND("-",M962)-1)),M962)*150&lt;=0,IFERROR(VALUE(LEFT(M962,FIND("-",M962)-1)),M962)*200&gt;0),"Вы уменьшили цену в несколько раз, товар попадет в карантин цен",IF(IFERROR(VALUE(LEFT(M962,FIND("-",M962)-1)),M962)*200&lt;=0,"Не сохранили изменения, чтобы защитить от ошибки — новые цены меньше текущих более чем в 2 раза. Снижайте их постепенно",IF(AND(IFERROR(VALUE(I962),0)=0,ISNUMBER(J962),OR(J962&lt;413,ABS(IFERROR(VALUE(LEFT(M962,FIND("-",M962)-1)),M962))*100&lt;41300)),"Проверьте цену товара. Большинство товаров в выбранной категории стоят дороже 413","")))))),"")</f>
      </c>
    </row>
    <row r="963">
      <c r="A963" s="2" t="inlineStr">
        <is>
          <t/>
        </is>
      </c>
      <c r="B963" s="2" t="inlineStr">
        <is>
          <t>Тарелки</t>
        </is>
      </c>
      <c r="C963" s="2">
        <v>729438954</v>
      </c>
      <c r="D963" s="2" t="inlineStr">
        <is>
          <t>076492</t>
        </is>
      </c>
      <c r="E963" s="2" t="inlineStr">
        <is>
          <t>2048082126544</t>
        </is>
      </c>
      <c r="F963" s="2" t="inlineStr">
        <is>
          <t/>
        </is>
      </c>
      <c r="G963" s="2" t="inlineStr">
        <is>
          <t/>
        </is>
      </c>
      <c r="H963" s="2" t="inlineStr">
        <is>
          <t/>
        </is>
      </c>
      <c r="I963" s="2" t="inlineStr">
        <is>
          <t>0</t>
        </is>
      </c>
      <c r="J963" s="4"/>
      <c r="K963" s="2">
        <v>0</v>
      </c>
      <c r="L963" s="6"/>
      <c r="M963" s="2" t="str">
        <f>IF(J963="",ROUND(I963*(1-IF(ISBLANK(L963),K963,L963)/100),2),ROUND(J963*(1-IF(ISBLANK(L963),K963,L963)/100),2))</f>
      </c>
      <c r="N963" s="7" t="str">
        <f>IF(NOT(AND(J963="",L963="")),IF(OR(AND(L963&lt;&gt;"",NOT(ISNUMBER(L963))),IFERROR(MOD(L963,1),1)&gt;0,AND(ISNUMBER(L963),OR(L963&lt;0,L963&gt;95))),"Введите целое число от 0 до 95",IF(OR(AND(J963&lt;&gt;"",NOT(ISNUMBER(J963))),IFERROR(MOD(J963,1),1)&gt;0,AND(ISNUMBER(J963),OR(J963&lt;50,J963&gt;20000000))),"Введите целое число от 50 до 20000000",IF(NOT(ABS(IFERROR(VALUE(LEFT(M963,FIND("-",M963)-1)),M963)*100-(2500+2000000000)/2)&lt;=ABS(2500-2000000000)/2),"Цена со скидкой должна быть от 25 до 20000000",IF(AND(IFERROR(VALUE(LEFT(M963,FIND("-",M963)-1)),M963)*150&lt;=0,IFERROR(VALUE(LEFT(M963,FIND("-",M963)-1)),M963)*200&gt;0),"Вы уменьшили цену в несколько раз, товар попадет в карантин цен",IF(IFERROR(VALUE(LEFT(M963,FIND("-",M963)-1)),M963)*200&lt;=0,"Не сохранили изменения, чтобы защитить от ошибки — новые цены меньше текущих более чем в 2 раза. Снижайте их постепенно",IF(AND(IFERROR(VALUE(I963),0)=0,ISNUMBER(J963),OR(J963&lt;413,ABS(IFERROR(VALUE(LEFT(M963,FIND("-",M963)-1)),M963))*100&lt;41300)),"Проверьте цену товара. Большинство товаров в выбранной категории стоят дороже 413","")))))),"")</f>
      </c>
    </row>
    <row r="964">
      <c r="A964" s="2" t="inlineStr">
        <is>
          <t>Laly Бижутерия</t>
        </is>
      </c>
      <c r="B964" s="2" t="inlineStr">
        <is>
          <t>Колье</t>
        </is>
      </c>
      <c r="C964" s="2">
        <v>264662417</v>
      </c>
      <c r="D964" s="2" t="inlineStr">
        <is>
          <t>550050</t>
        </is>
      </c>
      <c r="E964" s="2" t="inlineStr">
        <is>
          <t>4670294453736</t>
        </is>
      </c>
      <c r="F964" s="2">
        <v>367</v>
      </c>
      <c r="G964" s="2">
        <v>171</v>
      </c>
      <c r="H964" s="2">
        <v>693</v>
      </c>
      <c r="I964" s="2" t="inlineStr">
        <is>
          <t>4237</t>
        </is>
      </c>
      <c r="J964" s="4"/>
      <c r="K964" s="2">
        <v>83</v>
      </c>
      <c r="L964" s="6"/>
      <c r="M964" s="2" t="str">
        <f>IF(J964="",ROUND(I964*(1-IF(ISBLANK(L964),K964,L964)/100),2),ROUND(J964*(1-IF(ISBLANK(L964),K964,L964)/100),2))</f>
      </c>
      <c r="N964" s="7" t="str">
        <f>IF(NOT(AND(J964="",L964="")),IF(OR(AND(L964&lt;&gt;"",NOT(ISNUMBER(L964))),IFERROR(MOD(L964,1),1)&gt;0,AND(ISNUMBER(L964),OR(L964&lt;0,L964&gt;95))),"Введите целое число от 0 до 95",IF(OR(AND(J964&lt;&gt;"",NOT(ISNUMBER(J964))),IFERROR(MOD(J964,1),1)&gt;0,AND(ISNUMBER(J964),OR(J964&lt;50,J964&gt;20000000))),"Введите целое число от 50 до 20000000",IF(NOT(ABS(IFERROR(VALUE(LEFT(M964,FIND("-",M964)-1)),M964)*100-(2500+2000000000)/2)&lt;=ABS(2500-2000000000)/2),"Цена со скидкой должна быть от 25 до 20000000",IF(AND(IFERROR(VALUE(LEFT(M964,FIND("-",M964)-1)),M964)*150&lt;=72029,IFERROR(VALUE(LEFT(M964,FIND("-",M964)-1)),M964)*200&gt;72029),"Вы уменьшили цену в несколько раз, товар попадет в карантин цен",IF(IFERROR(VALUE(LEFT(M964,FIND("-",M964)-1)),M964)*200&lt;=72029,"Не сохранили изменения, чтобы защитить от ошибки — новые цены меньше текущих более чем в 2 раза. Снижайте их постепенно",IF(AND(IFERROR(VALUE(I964),0)=0,ISNUMBER(J964),OR(J964&lt;222,ABS(IFERROR(VALUE(LEFT(M964,FIND("-",M964)-1)),M964))*100&lt;22200)),"Проверьте цену товара. Большинство товаров в выбранной категории стоят дороже 222","")))))),"")</f>
      </c>
    </row>
    <row r="965">
      <c r="A965" s="2" t="inlineStr">
        <is>
          <t/>
        </is>
      </c>
      <c r="B965" s="2" t="inlineStr">
        <is>
          <t>Тарелки</t>
        </is>
      </c>
      <c r="C965" s="2">
        <v>729438958</v>
      </c>
      <c r="D965" s="2" t="inlineStr">
        <is>
          <t>076493</t>
        </is>
      </c>
      <c r="E965" s="2" t="inlineStr">
        <is>
          <t>2048082126599</t>
        </is>
      </c>
      <c r="F965" s="2" t="inlineStr">
        <is>
          <t/>
        </is>
      </c>
      <c r="G965" s="2" t="inlineStr">
        <is>
          <t/>
        </is>
      </c>
      <c r="H965" s="2" t="inlineStr">
        <is>
          <t/>
        </is>
      </c>
      <c r="I965" s="2" t="inlineStr">
        <is>
          <t>0</t>
        </is>
      </c>
      <c r="J965" s="4"/>
      <c r="K965" s="2">
        <v>0</v>
      </c>
      <c r="L965" s="6"/>
      <c r="M965" s="2" t="str">
        <f>IF(J965="",ROUND(I965*(1-IF(ISBLANK(L965),K965,L965)/100),2),ROUND(J965*(1-IF(ISBLANK(L965),K965,L965)/100),2))</f>
      </c>
      <c r="N965" s="7" t="str">
        <f>IF(NOT(AND(J965="",L965="")),IF(OR(AND(L965&lt;&gt;"",NOT(ISNUMBER(L965))),IFERROR(MOD(L965,1),1)&gt;0,AND(ISNUMBER(L965),OR(L965&lt;0,L965&gt;95))),"Введите целое число от 0 до 95",IF(OR(AND(J965&lt;&gt;"",NOT(ISNUMBER(J965))),IFERROR(MOD(J965,1),1)&gt;0,AND(ISNUMBER(J965),OR(J965&lt;50,J965&gt;20000000))),"Введите целое число от 50 до 20000000",IF(NOT(ABS(IFERROR(VALUE(LEFT(M965,FIND("-",M965)-1)),M965)*100-(2500+2000000000)/2)&lt;=ABS(2500-2000000000)/2),"Цена со скидкой должна быть от 25 до 20000000",IF(AND(IFERROR(VALUE(LEFT(M965,FIND("-",M965)-1)),M965)*150&lt;=0,IFERROR(VALUE(LEFT(M965,FIND("-",M965)-1)),M965)*200&gt;0),"Вы уменьшили цену в несколько раз, товар попадет в карантин цен",IF(IFERROR(VALUE(LEFT(M965,FIND("-",M965)-1)),M965)*200&lt;=0,"Не сохранили изменения, чтобы защитить от ошибки — новые цены меньше текущих более чем в 2 раза. Снижайте их постепенно",IF(AND(IFERROR(VALUE(I965),0)=0,ISNUMBER(J965),OR(J965&lt;413,ABS(IFERROR(VALUE(LEFT(M965,FIND("-",M965)-1)),M965))*100&lt;41300)),"Проверьте цену товара. Большинство товаров в выбранной категории стоят дороже 413","")))))),"")</f>
      </c>
    </row>
    <row r="966">
      <c r="A966" s="2" t="inlineStr">
        <is>
          <t/>
        </is>
      </c>
      <c r="B966" s="2" t="inlineStr">
        <is>
          <t>Тарелки</t>
        </is>
      </c>
      <c r="C966" s="2">
        <v>729438962</v>
      </c>
      <c r="D966" s="2" t="inlineStr">
        <is>
          <t>076491</t>
        </is>
      </c>
      <c r="E966" s="2" t="inlineStr">
        <is>
          <t>2048082126650</t>
        </is>
      </c>
      <c r="F966" s="2" t="inlineStr">
        <is>
          <t/>
        </is>
      </c>
      <c r="G966" s="2" t="inlineStr">
        <is>
          <t/>
        </is>
      </c>
      <c r="H966" s="2" t="inlineStr">
        <is>
          <t/>
        </is>
      </c>
      <c r="I966" s="2" t="inlineStr">
        <is>
          <t>0</t>
        </is>
      </c>
      <c r="J966" s="4"/>
      <c r="K966" s="2">
        <v>0</v>
      </c>
      <c r="L966" s="6"/>
      <c r="M966" s="2" t="str">
        <f>IF(J966="",ROUND(I966*(1-IF(ISBLANK(L966),K966,L966)/100),2),ROUND(J966*(1-IF(ISBLANK(L966),K966,L966)/100),2))</f>
      </c>
      <c r="N966" s="7" t="str">
        <f>IF(NOT(AND(J966="",L966="")),IF(OR(AND(L966&lt;&gt;"",NOT(ISNUMBER(L966))),IFERROR(MOD(L966,1),1)&gt;0,AND(ISNUMBER(L966),OR(L966&lt;0,L966&gt;95))),"Введите целое число от 0 до 95",IF(OR(AND(J966&lt;&gt;"",NOT(ISNUMBER(J966))),IFERROR(MOD(J966,1),1)&gt;0,AND(ISNUMBER(J966),OR(J966&lt;50,J966&gt;20000000))),"Введите целое число от 50 до 20000000",IF(NOT(ABS(IFERROR(VALUE(LEFT(M966,FIND("-",M966)-1)),M966)*100-(2500+2000000000)/2)&lt;=ABS(2500-2000000000)/2),"Цена со скидкой должна быть от 25 до 20000000",IF(AND(IFERROR(VALUE(LEFT(M966,FIND("-",M966)-1)),M966)*150&lt;=0,IFERROR(VALUE(LEFT(M966,FIND("-",M966)-1)),M966)*200&gt;0),"Вы уменьшили цену в несколько раз, товар попадет в карантин цен",IF(IFERROR(VALUE(LEFT(M966,FIND("-",M966)-1)),M966)*200&lt;=0,"Не сохранили изменения, чтобы защитить от ошибки — новые цены меньше текущих более чем в 2 раза. Снижайте их постепенно",IF(AND(IFERROR(VALUE(I966),0)=0,ISNUMBER(J966),OR(J966&lt;413,ABS(IFERROR(VALUE(LEFT(M966,FIND("-",M966)-1)),M966))*100&lt;41300)),"Проверьте цену товара. Большинство товаров в выбранной категории стоят дороже 413","")))))),"")</f>
      </c>
    </row>
    <row r="967">
      <c r="A967" s="2" t="inlineStr">
        <is>
          <t/>
        </is>
      </c>
      <c r="B967" s="2" t="inlineStr">
        <is>
          <t>Тарелки</t>
        </is>
      </c>
      <c r="C967" s="2">
        <v>729438963</v>
      </c>
      <c r="D967" s="2" t="inlineStr">
        <is>
          <t>072175</t>
        </is>
      </c>
      <c r="E967" s="2" t="inlineStr">
        <is>
          <t>2048082126667</t>
        </is>
      </c>
      <c r="F967" s="2">
        <v>0</v>
      </c>
      <c r="G967" s="2">
        <v>5</v>
      </c>
      <c r="H967" s="2" t="inlineStr">
        <is>
          <t/>
        </is>
      </c>
      <c r="I967" s="2" t="inlineStr">
        <is>
          <t>0</t>
        </is>
      </c>
      <c r="J967" s="4"/>
      <c r="K967" s="2">
        <v>0</v>
      </c>
      <c r="L967" s="6"/>
      <c r="M967" s="2" t="str">
        <f>IF(J967="",ROUND(I967*(1-IF(ISBLANK(L967),K967,L967)/100),2),ROUND(J967*(1-IF(ISBLANK(L967),K967,L967)/100),2))</f>
      </c>
      <c r="N967" s="7" t="str">
        <f>IF(NOT(AND(J967="",L967="")),IF(OR(AND(L967&lt;&gt;"",NOT(ISNUMBER(L967))),IFERROR(MOD(L967,1),1)&gt;0,AND(ISNUMBER(L967),OR(L967&lt;0,L967&gt;95))),"Введите целое число от 0 до 95",IF(OR(AND(J967&lt;&gt;"",NOT(ISNUMBER(J967))),IFERROR(MOD(J967,1),1)&gt;0,AND(ISNUMBER(J967),OR(J967&lt;50,J967&gt;20000000))),"Введите целое число от 50 до 20000000",IF(NOT(ABS(IFERROR(VALUE(LEFT(M967,FIND("-",M967)-1)),M967)*100-(2500+2000000000)/2)&lt;=ABS(2500-2000000000)/2),"Цена со скидкой должна быть от 25 до 20000000",IF(AND(IFERROR(VALUE(LEFT(M967,FIND("-",M967)-1)),M967)*150&lt;=0,IFERROR(VALUE(LEFT(M967,FIND("-",M967)-1)),M967)*200&gt;0),"Вы уменьшили цену в несколько раз, товар попадет в карантин цен",IF(IFERROR(VALUE(LEFT(M967,FIND("-",M967)-1)),M967)*200&lt;=0,"Не сохранили изменения, чтобы защитить от ошибки — новые цены меньше текущих более чем в 2 раза. Снижайте их постепенно",IF(AND(IFERROR(VALUE(I967),0)=0,ISNUMBER(J967),OR(J967&lt;413,ABS(IFERROR(VALUE(LEFT(M967,FIND("-",M967)-1)),M967))*100&lt;41300)),"Проверьте цену товара. Большинство товаров в выбранной категории стоят дороже 413","")))))),"")</f>
      </c>
    </row>
    <row r="968">
      <c r="A968" s="2" t="inlineStr">
        <is>
          <t/>
        </is>
      </c>
      <c r="B968" s="2" t="inlineStr">
        <is>
          <t>Тарелки</t>
        </is>
      </c>
      <c r="C968" s="2">
        <v>729438444</v>
      </c>
      <c r="D968" s="2" t="inlineStr">
        <is>
          <t>076488</t>
        </is>
      </c>
      <c r="E968" s="2" t="inlineStr">
        <is>
          <t>2048082120269</t>
        </is>
      </c>
      <c r="F968" s="2">
        <v>0</v>
      </c>
      <c r="G968" s="2">
        <v>0</v>
      </c>
      <c r="H968" s="2" t="inlineStr">
        <is>
          <t/>
        </is>
      </c>
      <c r="I968" s="2" t="inlineStr">
        <is>
          <t>0</t>
        </is>
      </c>
      <c r="J968" s="4"/>
      <c r="K968" s="2">
        <v>0</v>
      </c>
      <c r="L968" s="6"/>
      <c r="M968" s="2" t="str">
        <f>IF(J968="",ROUND(I968*(1-IF(ISBLANK(L968),K968,L968)/100),2),ROUND(J968*(1-IF(ISBLANK(L968),K968,L968)/100),2))</f>
      </c>
      <c r="N968" s="7" t="str">
        <f>IF(NOT(AND(J968="",L968="")),IF(OR(AND(L968&lt;&gt;"",NOT(ISNUMBER(L968))),IFERROR(MOD(L968,1),1)&gt;0,AND(ISNUMBER(L968),OR(L968&lt;0,L968&gt;95))),"Введите целое число от 0 до 95",IF(OR(AND(J968&lt;&gt;"",NOT(ISNUMBER(J968))),IFERROR(MOD(J968,1),1)&gt;0,AND(ISNUMBER(J968),OR(J968&lt;50,J968&gt;20000000))),"Введите целое число от 50 до 20000000",IF(NOT(ABS(IFERROR(VALUE(LEFT(M968,FIND("-",M968)-1)),M968)*100-(2500+2000000000)/2)&lt;=ABS(2500-2000000000)/2),"Цена со скидкой должна быть от 25 до 20000000",IF(AND(IFERROR(VALUE(LEFT(M968,FIND("-",M968)-1)),M968)*150&lt;=0,IFERROR(VALUE(LEFT(M968,FIND("-",M968)-1)),M968)*200&gt;0),"Вы уменьшили цену в несколько раз, товар попадет в карантин цен",IF(IFERROR(VALUE(LEFT(M968,FIND("-",M968)-1)),M968)*200&lt;=0,"Не сохранили изменения, чтобы защитить от ошибки — новые цены меньше текущих более чем в 2 раза. Снижайте их постепенно",IF(AND(IFERROR(VALUE(I968),0)=0,ISNUMBER(J968),OR(J968&lt;413,ABS(IFERROR(VALUE(LEFT(M968,FIND("-",M968)-1)),M968))*100&lt;41300)),"Проверьте цену товара. Большинство товаров в выбранной категории стоят дороже 413","")))))),"")</f>
      </c>
    </row>
    <row r="969">
      <c r="A969" s="2" t="inlineStr">
        <is>
          <t/>
        </is>
      </c>
      <c r="B969" s="2" t="inlineStr">
        <is>
          <t>Кастрюли</t>
        </is>
      </c>
      <c r="C969" s="2">
        <v>729143930</v>
      </c>
      <c r="D969" s="2" t="inlineStr">
        <is>
          <t>20408</t>
        </is>
      </c>
      <c r="E969" s="2" t="inlineStr">
        <is>
          <t>2048079086462</t>
        </is>
      </c>
      <c r="F969" s="2">
        <v>6</v>
      </c>
      <c r="G969" s="2">
        <v>3</v>
      </c>
      <c r="H969" s="2">
        <v>999</v>
      </c>
      <c r="I969" s="2" t="inlineStr">
        <is>
          <t>21265</t>
        </is>
      </c>
      <c r="J969" s="4"/>
      <c r="K969" s="2">
        <v>80</v>
      </c>
      <c r="L969" s="6"/>
      <c r="M969" s="2" t="str">
        <f>IF(J969="",ROUND(I969*(1-IF(ISBLANK(L969),K969,L969)/100),2),ROUND(J969*(1-IF(ISBLANK(L969),K969,L969)/100),2))</f>
      </c>
      <c r="N969" s="7" t="str">
        <f>IF(NOT(AND(J969="",L969="")),IF(OR(AND(L969&lt;&gt;"",NOT(ISNUMBER(L969))),IFERROR(MOD(L969,1),1)&gt;0,AND(ISNUMBER(L969),OR(L969&lt;0,L969&gt;95))),"Введите целое число от 0 до 95",IF(OR(AND(J969&lt;&gt;"",NOT(ISNUMBER(J969))),IFERROR(MOD(J969,1),1)&gt;0,AND(ISNUMBER(J969),OR(J969&lt;50,J969&gt;20000000))),"Введите целое число от 50 до 20000000",IF(NOT(ABS(IFERROR(VALUE(LEFT(M969,FIND("-",M969)-1)),M969)*100-(2500+2000000000)/2)&lt;=ABS(2500-2000000000)/2),"Цена со скидкой должна быть от 25 до 20000000",IF(AND(IFERROR(VALUE(LEFT(M969,FIND("-",M969)-1)),M969)*150&lt;=425299,IFERROR(VALUE(LEFT(M969,FIND("-",M969)-1)),M969)*200&gt;425299),"Вы уменьшили цену в несколько раз, товар попадет в карантин цен",IF(IFERROR(VALUE(LEFT(M969,FIND("-",M969)-1)),M969)*200&lt;=425299,"Не сохранили изменения, чтобы защитить от ошибки — новые цены меньше текущих более чем в 2 раза. Снижайте их постепенно",IF(AND(IFERROR(VALUE(I969),0)=0,ISNUMBER(J969),OR(J969&lt;523,ABS(IFERROR(VALUE(LEFT(M969,FIND("-",M969)-1)),M969))*100&lt;52300)),"Проверьте цену товара. Большинство товаров в выбранной категории стоят дороже 523","")))))),"")</f>
      </c>
    </row>
    <row r="970">
      <c r="A970" s="2" t="inlineStr">
        <is>
          <t/>
        </is>
      </c>
      <c r="B970" s="2" t="inlineStr">
        <is>
          <t>Тарелки</t>
        </is>
      </c>
      <c r="C970" s="2">
        <v>729438437</v>
      </c>
      <c r="D970" s="2" t="inlineStr">
        <is>
          <t>07448</t>
        </is>
      </c>
      <c r="E970" s="2" t="inlineStr">
        <is>
          <t>2048082120153</t>
        </is>
      </c>
      <c r="F970" s="2" t="inlineStr">
        <is>
          <t/>
        </is>
      </c>
      <c r="G970" s="2" t="inlineStr">
        <is>
          <t/>
        </is>
      </c>
      <c r="H970" s="2" t="inlineStr">
        <is>
          <t/>
        </is>
      </c>
      <c r="I970" s="2" t="inlineStr">
        <is>
          <t>0</t>
        </is>
      </c>
      <c r="J970" s="4"/>
      <c r="K970" s="2">
        <v>0</v>
      </c>
      <c r="L970" s="6"/>
      <c r="M970" s="2" t="str">
        <f>IF(J970="",ROUND(I970*(1-IF(ISBLANK(L970),K970,L970)/100),2),ROUND(J970*(1-IF(ISBLANK(L970),K970,L970)/100),2))</f>
      </c>
      <c r="N970" s="7" t="str">
        <f>IF(NOT(AND(J970="",L970="")),IF(OR(AND(L970&lt;&gt;"",NOT(ISNUMBER(L970))),IFERROR(MOD(L970,1),1)&gt;0,AND(ISNUMBER(L970),OR(L970&lt;0,L970&gt;95))),"Введите целое число от 0 до 95",IF(OR(AND(J970&lt;&gt;"",NOT(ISNUMBER(J970))),IFERROR(MOD(J970,1),1)&gt;0,AND(ISNUMBER(J970),OR(J970&lt;50,J970&gt;20000000))),"Введите целое число от 50 до 20000000",IF(NOT(ABS(IFERROR(VALUE(LEFT(M970,FIND("-",M970)-1)),M970)*100-(2500+2000000000)/2)&lt;=ABS(2500-2000000000)/2),"Цена со скидкой должна быть от 25 до 20000000",IF(AND(IFERROR(VALUE(LEFT(M970,FIND("-",M970)-1)),M970)*150&lt;=0,IFERROR(VALUE(LEFT(M970,FIND("-",M970)-1)),M970)*200&gt;0),"Вы уменьшили цену в несколько раз, товар попадет в карантин цен",IF(IFERROR(VALUE(LEFT(M970,FIND("-",M970)-1)),M970)*200&lt;=0,"Не сохранили изменения, чтобы защитить от ошибки — новые цены меньше текущих более чем в 2 раза. Снижайте их постепенно",IF(AND(IFERROR(VALUE(I970),0)=0,ISNUMBER(J970),OR(J970&lt;413,ABS(IFERROR(VALUE(LEFT(M970,FIND("-",M970)-1)),M970))*100&lt;41300)),"Проверьте цену товара. Большинство товаров в выбранной категории стоят дороже 413","")))))),"")</f>
      </c>
    </row>
    <row r="971">
      <c r="A971" s="2" t="inlineStr">
        <is>
          <t/>
        </is>
      </c>
      <c r="B971" s="2" t="inlineStr">
        <is>
          <t>Тарелки</t>
        </is>
      </c>
      <c r="C971" s="2">
        <v>729438959</v>
      </c>
      <c r="D971" s="2" t="inlineStr">
        <is>
          <t>074190</t>
        </is>
      </c>
      <c r="E971" s="2" t="inlineStr">
        <is>
          <t>2048082126612</t>
        </is>
      </c>
      <c r="F971" s="2">
        <v>0</v>
      </c>
      <c r="G971" s="2">
        <v>0</v>
      </c>
      <c r="H971" s="2" t="inlineStr">
        <is>
          <t/>
        </is>
      </c>
      <c r="I971" s="2" t="inlineStr">
        <is>
          <t>0</t>
        </is>
      </c>
      <c r="J971" s="4"/>
      <c r="K971" s="2">
        <v>0</v>
      </c>
      <c r="L971" s="6"/>
      <c r="M971" s="2" t="str">
        <f>IF(J971="",ROUND(I971*(1-IF(ISBLANK(L971),K971,L971)/100),2),ROUND(J971*(1-IF(ISBLANK(L971),K971,L971)/100),2))</f>
      </c>
      <c r="N971" s="7" t="str">
        <f>IF(NOT(AND(J971="",L971="")),IF(OR(AND(L971&lt;&gt;"",NOT(ISNUMBER(L971))),IFERROR(MOD(L971,1),1)&gt;0,AND(ISNUMBER(L971),OR(L971&lt;0,L971&gt;95))),"Введите целое число от 0 до 95",IF(OR(AND(J971&lt;&gt;"",NOT(ISNUMBER(J971))),IFERROR(MOD(J971,1),1)&gt;0,AND(ISNUMBER(J971),OR(J971&lt;50,J971&gt;20000000))),"Введите целое число от 50 до 20000000",IF(NOT(ABS(IFERROR(VALUE(LEFT(M971,FIND("-",M971)-1)),M971)*100-(2500+2000000000)/2)&lt;=ABS(2500-2000000000)/2),"Цена со скидкой должна быть от 25 до 20000000",IF(AND(IFERROR(VALUE(LEFT(M971,FIND("-",M971)-1)),M971)*150&lt;=0,IFERROR(VALUE(LEFT(M971,FIND("-",M971)-1)),M971)*200&gt;0),"Вы уменьшили цену в несколько раз, товар попадет в карантин цен",IF(IFERROR(VALUE(LEFT(M971,FIND("-",M971)-1)),M971)*200&lt;=0,"Не сохранили изменения, чтобы защитить от ошибки — новые цены меньше текущих более чем в 2 раза. Снижайте их постепенно",IF(AND(IFERROR(VALUE(I971),0)=0,ISNUMBER(J971),OR(J971&lt;413,ABS(IFERROR(VALUE(LEFT(M971,FIND("-",M971)-1)),M971))*100&lt;41300)),"Проверьте цену товара. Большинство товаров в выбранной категории стоят дороже 413","")))))),"")</f>
      </c>
    </row>
    <row r="972">
      <c r="A972" s="2" t="inlineStr">
        <is>
          <t/>
        </is>
      </c>
      <c r="B972" s="2" t="inlineStr">
        <is>
          <t>Тарелки</t>
        </is>
      </c>
      <c r="C972" s="2">
        <v>729438438</v>
      </c>
      <c r="D972" s="2" t="inlineStr">
        <is>
          <t>072174</t>
        </is>
      </c>
      <c r="E972" s="2" t="inlineStr">
        <is>
          <t>2048082120177</t>
        </is>
      </c>
      <c r="F972" s="2">
        <v>0</v>
      </c>
      <c r="G972" s="2">
        <v>0</v>
      </c>
      <c r="H972" s="2" t="inlineStr">
        <is>
          <t/>
        </is>
      </c>
      <c r="I972" s="2" t="inlineStr">
        <is>
          <t>0</t>
        </is>
      </c>
      <c r="J972" s="4"/>
      <c r="K972" s="2">
        <v>0</v>
      </c>
      <c r="L972" s="6"/>
      <c r="M972" s="2" t="str">
        <f>IF(J972="",ROUND(I972*(1-IF(ISBLANK(L972),K972,L972)/100),2),ROUND(J972*(1-IF(ISBLANK(L972),K972,L972)/100),2))</f>
      </c>
      <c r="N972" s="7" t="str">
        <f>IF(NOT(AND(J972="",L972="")),IF(OR(AND(L972&lt;&gt;"",NOT(ISNUMBER(L972))),IFERROR(MOD(L972,1),1)&gt;0,AND(ISNUMBER(L972),OR(L972&lt;0,L972&gt;95))),"Введите целое число от 0 до 95",IF(OR(AND(J972&lt;&gt;"",NOT(ISNUMBER(J972))),IFERROR(MOD(J972,1),1)&gt;0,AND(ISNUMBER(J972),OR(J972&lt;50,J972&gt;20000000))),"Введите целое число от 50 до 20000000",IF(NOT(ABS(IFERROR(VALUE(LEFT(M972,FIND("-",M972)-1)),M972)*100-(2500+2000000000)/2)&lt;=ABS(2500-2000000000)/2),"Цена со скидкой должна быть от 25 до 20000000",IF(AND(IFERROR(VALUE(LEFT(M972,FIND("-",M972)-1)),M972)*150&lt;=0,IFERROR(VALUE(LEFT(M972,FIND("-",M972)-1)),M972)*200&gt;0),"Вы уменьшили цену в несколько раз, товар попадет в карантин цен",IF(IFERROR(VALUE(LEFT(M972,FIND("-",M972)-1)),M972)*200&lt;=0,"Не сохранили изменения, чтобы защитить от ошибки — новые цены меньше текущих более чем в 2 раза. Снижайте их постепенно",IF(AND(IFERROR(VALUE(I972),0)=0,ISNUMBER(J972),OR(J972&lt;413,ABS(IFERROR(VALUE(LEFT(M972,FIND("-",M972)-1)),M972))*100&lt;41300)),"Проверьте цену товара. Большинство товаров в выбранной категории стоят дороже 413","")))))),"")</f>
      </c>
    </row>
    <row r="973">
      <c r="A973" s="2" t="inlineStr">
        <is>
          <t/>
        </is>
      </c>
      <c r="B973" s="2" t="inlineStr">
        <is>
          <t>Тарелки</t>
        </is>
      </c>
      <c r="C973" s="2">
        <v>729438431</v>
      </c>
      <c r="D973" s="2" t="inlineStr">
        <is>
          <t>076558</t>
        </is>
      </c>
      <c r="E973" s="2" t="inlineStr">
        <is>
          <t>2048082120085</t>
        </is>
      </c>
      <c r="F973" s="2" t="inlineStr">
        <is>
          <t/>
        </is>
      </c>
      <c r="G973" s="2" t="inlineStr">
        <is>
          <t/>
        </is>
      </c>
      <c r="H973" s="2" t="inlineStr">
        <is>
          <t/>
        </is>
      </c>
      <c r="I973" s="2" t="inlineStr">
        <is>
          <t>0</t>
        </is>
      </c>
      <c r="J973" s="4"/>
      <c r="K973" s="2">
        <v>0</v>
      </c>
      <c r="L973" s="6"/>
      <c r="M973" s="2" t="str">
        <f>IF(J973="",ROUND(I973*(1-IF(ISBLANK(L973),K973,L973)/100),2),ROUND(J973*(1-IF(ISBLANK(L973),K973,L973)/100),2))</f>
      </c>
      <c r="N973" s="7" t="str">
        <f>IF(NOT(AND(J973="",L973="")),IF(OR(AND(L973&lt;&gt;"",NOT(ISNUMBER(L973))),IFERROR(MOD(L973,1),1)&gt;0,AND(ISNUMBER(L973),OR(L973&lt;0,L973&gt;95))),"Введите целое число от 0 до 95",IF(OR(AND(J973&lt;&gt;"",NOT(ISNUMBER(J973))),IFERROR(MOD(J973,1),1)&gt;0,AND(ISNUMBER(J973),OR(J973&lt;50,J973&gt;20000000))),"Введите целое число от 50 до 20000000",IF(NOT(ABS(IFERROR(VALUE(LEFT(M973,FIND("-",M973)-1)),M973)*100-(2500+2000000000)/2)&lt;=ABS(2500-2000000000)/2),"Цена со скидкой должна быть от 25 до 20000000",IF(AND(IFERROR(VALUE(LEFT(M973,FIND("-",M973)-1)),M973)*150&lt;=0,IFERROR(VALUE(LEFT(M973,FIND("-",M973)-1)),M973)*200&gt;0),"Вы уменьшили цену в несколько раз, товар попадет в карантин цен",IF(IFERROR(VALUE(LEFT(M973,FIND("-",M973)-1)),M973)*200&lt;=0,"Не сохранили изменения, чтобы защитить от ошибки — новые цены меньше текущих более чем в 2 раза. Снижайте их постепенно",IF(AND(IFERROR(VALUE(I973),0)=0,ISNUMBER(J973),OR(J973&lt;413,ABS(IFERROR(VALUE(LEFT(M973,FIND("-",M973)-1)),M973))*100&lt;41300)),"Проверьте цену товара. Большинство товаров в выбранной категории стоят дороже 413","")))))),"")</f>
      </c>
    </row>
    <row r="974">
      <c r="A974" s="2" t="inlineStr">
        <is>
          <t/>
        </is>
      </c>
      <c r="B974" s="2" t="inlineStr">
        <is>
          <t>Тарелки</t>
        </is>
      </c>
      <c r="C974" s="2">
        <v>729438956</v>
      </c>
      <c r="D974" s="2" t="inlineStr">
        <is>
          <t>076484</t>
        </is>
      </c>
      <c r="E974" s="2" t="inlineStr">
        <is>
          <t>2048082126575</t>
        </is>
      </c>
      <c r="F974" s="2" t="inlineStr">
        <is>
          <t/>
        </is>
      </c>
      <c r="G974" s="2" t="inlineStr">
        <is>
          <t/>
        </is>
      </c>
      <c r="H974" s="2" t="inlineStr">
        <is>
          <t/>
        </is>
      </c>
      <c r="I974" s="2" t="inlineStr">
        <is>
          <t>0</t>
        </is>
      </c>
      <c r="J974" s="4"/>
      <c r="K974" s="2">
        <v>0</v>
      </c>
      <c r="L974" s="6"/>
      <c r="M974" s="2" t="str">
        <f>IF(J974="",ROUND(I974*(1-IF(ISBLANK(L974),K974,L974)/100),2),ROUND(J974*(1-IF(ISBLANK(L974),K974,L974)/100),2))</f>
      </c>
      <c r="N974" s="7" t="str">
        <f>IF(NOT(AND(J974="",L974="")),IF(OR(AND(L974&lt;&gt;"",NOT(ISNUMBER(L974))),IFERROR(MOD(L974,1),1)&gt;0,AND(ISNUMBER(L974),OR(L974&lt;0,L974&gt;95))),"Введите целое число от 0 до 95",IF(OR(AND(J974&lt;&gt;"",NOT(ISNUMBER(J974))),IFERROR(MOD(J974,1),1)&gt;0,AND(ISNUMBER(J974),OR(J974&lt;50,J974&gt;20000000))),"Введите целое число от 50 до 20000000",IF(NOT(ABS(IFERROR(VALUE(LEFT(M974,FIND("-",M974)-1)),M974)*100-(2500+2000000000)/2)&lt;=ABS(2500-2000000000)/2),"Цена со скидкой должна быть от 25 до 20000000",IF(AND(IFERROR(VALUE(LEFT(M974,FIND("-",M974)-1)),M974)*150&lt;=0,IFERROR(VALUE(LEFT(M974,FIND("-",M974)-1)),M974)*200&gt;0),"Вы уменьшили цену в несколько раз, товар попадет в карантин цен",IF(IFERROR(VALUE(LEFT(M974,FIND("-",M974)-1)),M974)*200&lt;=0,"Не сохранили изменения, чтобы защитить от ошибки — новые цены меньше текущих более чем в 2 раза. Снижайте их постепенно",IF(AND(IFERROR(VALUE(I974),0)=0,ISNUMBER(J974),OR(J974&lt;413,ABS(IFERROR(VALUE(LEFT(M974,FIND("-",M974)-1)),M974))*100&lt;41300)),"Проверьте цену товара. Большинство товаров в выбранной категории стоят дороже 413","")))))),"")</f>
      </c>
    </row>
    <row r="975">
      <c r="A975" s="2" t="inlineStr">
        <is>
          <t/>
        </is>
      </c>
      <c r="B975" s="2" t="inlineStr">
        <is>
          <t>Тарелки</t>
        </is>
      </c>
      <c r="C975" s="2">
        <v>729438432</v>
      </c>
      <c r="D975" s="2" t="inlineStr">
        <is>
          <t>076560</t>
        </is>
      </c>
      <c r="E975" s="2" t="inlineStr">
        <is>
          <t>2048082120108</t>
        </is>
      </c>
      <c r="F975" s="2" t="inlineStr">
        <is>
          <t/>
        </is>
      </c>
      <c r="G975" s="2" t="inlineStr">
        <is>
          <t/>
        </is>
      </c>
      <c r="H975" s="2" t="inlineStr">
        <is>
          <t/>
        </is>
      </c>
      <c r="I975" s="2" t="inlineStr">
        <is>
          <t>0</t>
        </is>
      </c>
      <c r="J975" s="4"/>
      <c r="K975" s="2">
        <v>0</v>
      </c>
      <c r="L975" s="6"/>
      <c r="M975" s="2" t="str">
        <f>IF(J975="",ROUND(I975*(1-IF(ISBLANK(L975),K975,L975)/100),2),ROUND(J975*(1-IF(ISBLANK(L975),K975,L975)/100),2))</f>
      </c>
      <c r="N975" s="7" t="str">
        <f>IF(NOT(AND(J975="",L975="")),IF(OR(AND(L975&lt;&gt;"",NOT(ISNUMBER(L975))),IFERROR(MOD(L975,1),1)&gt;0,AND(ISNUMBER(L975),OR(L975&lt;0,L975&gt;95))),"Введите целое число от 0 до 95",IF(OR(AND(J975&lt;&gt;"",NOT(ISNUMBER(J975))),IFERROR(MOD(J975,1),1)&gt;0,AND(ISNUMBER(J975),OR(J975&lt;50,J975&gt;20000000))),"Введите целое число от 50 до 20000000",IF(NOT(ABS(IFERROR(VALUE(LEFT(M975,FIND("-",M975)-1)),M975)*100-(2500+2000000000)/2)&lt;=ABS(2500-2000000000)/2),"Цена со скидкой должна быть от 25 до 20000000",IF(AND(IFERROR(VALUE(LEFT(M975,FIND("-",M975)-1)),M975)*150&lt;=0,IFERROR(VALUE(LEFT(M975,FIND("-",M975)-1)),M975)*200&gt;0),"Вы уменьшили цену в несколько раз, товар попадет в карантин цен",IF(IFERROR(VALUE(LEFT(M975,FIND("-",M975)-1)),M975)*200&lt;=0,"Не сохранили изменения, чтобы защитить от ошибки — новые цены меньше текущих более чем в 2 раза. Снижайте их постепенно",IF(AND(IFERROR(VALUE(I975),0)=0,ISNUMBER(J975),OR(J975&lt;413,ABS(IFERROR(VALUE(LEFT(M975,FIND("-",M975)-1)),M975))*100&lt;41300)),"Проверьте цену товара. Большинство товаров в выбранной категории стоят дороже 413","")))))),"")</f>
      </c>
    </row>
    <row r="976">
      <c r="A976" s="2" t="inlineStr">
        <is>
          <t/>
        </is>
      </c>
      <c r="B976" s="2" t="inlineStr">
        <is>
          <t>Тарелки</t>
        </is>
      </c>
      <c r="C976" s="2">
        <v>729438435</v>
      </c>
      <c r="D976" s="2" t="inlineStr">
        <is>
          <t>076485</t>
        </is>
      </c>
      <c r="E976" s="2" t="inlineStr">
        <is>
          <t>2048082120139</t>
        </is>
      </c>
      <c r="F976" s="2" t="inlineStr">
        <is>
          <t/>
        </is>
      </c>
      <c r="G976" s="2" t="inlineStr">
        <is>
          <t/>
        </is>
      </c>
      <c r="H976" s="2" t="inlineStr">
        <is>
          <t/>
        </is>
      </c>
      <c r="I976" s="2" t="inlineStr">
        <is>
          <t>0</t>
        </is>
      </c>
      <c r="J976" s="4"/>
      <c r="K976" s="2">
        <v>0</v>
      </c>
      <c r="L976" s="6"/>
      <c r="M976" s="2" t="str">
        <f>IF(J976="",ROUND(I976*(1-IF(ISBLANK(L976),K976,L976)/100),2),ROUND(J976*(1-IF(ISBLANK(L976),K976,L976)/100),2))</f>
      </c>
      <c r="N976" s="7" t="str">
        <f>IF(NOT(AND(J976="",L976="")),IF(OR(AND(L976&lt;&gt;"",NOT(ISNUMBER(L976))),IFERROR(MOD(L976,1),1)&gt;0,AND(ISNUMBER(L976),OR(L976&lt;0,L976&gt;95))),"Введите целое число от 0 до 95",IF(OR(AND(J976&lt;&gt;"",NOT(ISNUMBER(J976))),IFERROR(MOD(J976,1),1)&gt;0,AND(ISNUMBER(J976),OR(J976&lt;50,J976&gt;20000000))),"Введите целое число от 50 до 20000000",IF(NOT(ABS(IFERROR(VALUE(LEFT(M976,FIND("-",M976)-1)),M976)*100-(2500+2000000000)/2)&lt;=ABS(2500-2000000000)/2),"Цена со скидкой должна быть от 25 до 20000000",IF(AND(IFERROR(VALUE(LEFT(M976,FIND("-",M976)-1)),M976)*150&lt;=0,IFERROR(VALUE(LEFT(M976,FIND("-",M976)-1)),M976)*200&gt;0),"Вы уменьшили цену в несколько раз, товар попадет в карантин цен",IF(IFERROR(VALUE(LEFT(M976,FIND("-",M976)-1)),M976)*200&lt;=0,"Не сохранили изменения, чтобы защитить от ошибки — новые цены меньше текущих более чем в 2 раза. Снижайте их постепенно",IF(AND(IFERROR(VALUE(I976),0)=0,ISNUMBER(J976),OR(J976&lt;413,ABS(IFERROR(VALUE(LEFT(M976,FIND("-",M976)-1)),M976))*100&lt;41300)),"Проверьте цену товара. Большинство товаров в выбранной категории стоят дороже 413","")))))),"")</f>
      </c>
    </row>
    <row r="977">
      <c r="A977" s="2" t="inlineStr">
        <is>
          <t/>
        </is>
      </c>
      <c r="B977" s="2" t="inlineStr">
        <is>
          <t>Тарелки</t>
        </is>
      </c>
      <c r="C977" s="2">
        <v>729438439</v>
      </c>
      <c r="D977" s="2" t="inlineStr">
        <is>
          <t>076191</t>
        </is>
      </c>
      <c r="E977" s="2" t="inlineStr">
        <is>
          <t>2048082120191</t>
        </is>
      </c>
      <c r="F977" s="2">
        <v>0</v>
      </c>
      <c r="G977" s="2">
        <v>5</v>
      </c>
      <c r="H977" s="2" t="inlineStr">
        <is>
          <t/>
        </is>
      </c>
      <c r="I977" s="2" t="inlineStr">
        <is>
          <t>0</t>
        </is>
      </c>
      <c r="J977" s="4"/>
      <c r="K977" s="2">
        <v>0</v>
      </c>
      <c r="L977" s="6"/>
      <c r="M977" s="2" t="str">
        <f>IF(J977="",ROUND(I977*(1-IF(ISBLANK(L977),K977,L977)/100),2),ROUND(J977*(1-IF(ISBLANK(L977),K977,L977)/100),2))</f>
      </c>
      <c r="N977" s="7" t="str">
        <f>IF(NOT(AND(J977="",L977="")),IF(OR(AND(L977&lt;&gt;"",NOT(ISNUMBER(L977))),IFERROR(MOD(L977,1),1)&gt;0,AND(ISNUMBER(L977),OR(L977&lt;0,L977&gt;95))),"Введите целое число от 0 до 95",IF(OR(AND(J977&lt;&gt;"",NOT(ISNUMBER(J977))),IFERROR(MOD(J977,1),1)&gt;0,AND(ISNUMBER(J977),OR(J977&lt;50,J977&gt;20000000))),"Введите целое число от 50 до 20000000",IF(NOT(ABS(IFERROR(VALUE(LEFT(M977,FIND("-",M977)-1)),M977)*100-(2500+2000000000)/2)&lt;=ABS(2500-2000000000)/2),"Цена со скидкой должна быть от 25 до 20000000",IF(AND(IFERROR(VALUE(LEFT(M977,FIND("-",M977)-1)),M977)*150&lt;=0,IFERROR(VALUE(LEFT(M977,FIND("-",M977)-1)),M977)*200&gt;0),"Вы уменьшили цену в несколько раз, товар попадет в карантин цен",IF(IFERROR(VALUE(LEFT(M977,FIND("-",M977)-1)),M977)*200&lt;=0,"Не сохранили изменения, чтобы защитить от ошибки — новые цены меньше текущих более чем в 2 раза. Снижайте их постепенно",IF(AND(IFERROR(VALUE(I977),0)=0,ISNUMBER(J977),OR(J977&lt;413,ABS(IFERROR(VALUE(LEFT(M977,FIND("-",M977)-1)),M977))*100&lt;41300)),"Проверьте цену товара. Большинство товаров в выбранной категории стоят дороже 413","")))))),"")</f>
      </c>
    </row>
    <row r="978">
      <c r="A978" s="2" t="inlineStr">
        <is>
          <t/>
        </is>
      </c>
      <c r="B978" s="2" t="inlineStr">
        <is>
          <t>Тарелки</t>
        </is>
      </c>
      <c r="C978" s="2">
        <v>729438448</v>
      </c>
      <c r="D978" s="2" t="inlineStr">
        <is>
          <t>076549</t>
        </is>
      </c>
      <c r="E978" s="2" t="inlineStr">
        <is>
          <t>2048082120313</t>
        </is>
      </c>
      <c r="F978" s="2" t="inlineStr">
        <is>
          <t/>
        </is>
      </c>
      <c r="G978" s="2" t="inlineStr">
        <is>
          <t/>
        </is>
      </c>
      <c r="H978" s="2" t="inlineStr">
        <is>
          <t/>
        </is>
      </c>
      <c r="I978" s="2" t="inlineStr">
        <is>
          <t>0</t>
        </is>
      </c>
      <c r="J978" s="4"/>
      <c r="K978" s="2">
        <v>0</v>
      </c>
      <c r="L978" s="6"/>
      <c r="M978" s="2" t="str">
        <f>IF(J978="",ROUND(I978*(1-IF(ISBLANK(L978),K978,L978)/100),2),ROUND(J978*(1-IF(ISBLANK(L978),K978,L978)/100),2))</f>
      </c>
      <c r="N978" s="7" t="str">
        <f>IF(NOT(AND(J978="",L978="")),IF(OR(AND(L978&lt;&gt;"",NOT(ISNUMBER(L978))),IFERROR(MOD(L978,1),1)&gt;0,AND(ISNUMBER(L978),OR(L978&lt;0,L978&gt;95))),"Введите целое число от 0 до 95",IF(OR(AND(J978&lt;&gt;"",NOT(ISNUMBER(J978))),IFERROR(MOD(J978,1),1)&gt;0,AND(ISNUMBER(J978),OR(J978&lt;50,J978&gt;20000000))),"Введите целое число от 50 до 20000000",IF(NOT(ABS(IFERROR(VALUE(LEFT(M978,FIND("-",M978)-1)),M978)*100-(2500+2000000000)/2)&lt;=ABS(2500-2000000000)/2),"Цена со скидкой должна быть от 25 до 20000000",IF(AND(IFERROR(VALUE(LEFT(M978,FIND("-",M978)-1)),M978)*150&lt;=0,IFERROR(VALUE(LEFT(M978,FIND("-",M978)-1)),M978)*200&gt;0),"Вы уменьшили цену в несколько раз, товар попадет в карантин цен",IF(IFERROR(VALUE(LEFT(M978,FIND("-",M978)-1)),M978)*200&lt;=0,"Не сохранили изменения, чтобы защитить от ошибки — новые цены меньше текущих более чем в 2 раза. Снижайте их постепенно",IF(AND(IFERROR(VALUE(I978),0)=0,ISNUMBER(J978),OR(J978&lt;413,ABS(IFERROR(VALUE(LEFT(M978,FIND("-",M978)-1)),M978))*100&lt;41300)),"Проверьте цену товара. Большинство товаров в выбранной категории стоят дороже 413","")))))),"")</f>
      </c>
    </row>
    <row r="979">
      <c r="A979" s="2" t="inlineStr">
        <is>
          <t/>
        </is>
      </c>
      <c r="B979" s="2" t="inlineStr">
        <is>
          <t>Бритвы электрические</t>
        </is>
      </c>
      <c r="C979" s="2">
        <v>765751484</v>
      </c>
      <c r="D979" s="2" t="inlineStr">
        <is>
          <t>191502</t>
        </is>
      </c>
      <c r="E979" s="2" t="inlineStr">
        <is>
          <t>2048426629465</t>
        </is>
      </c>
      <c r="F979" s="2">
        <v>4</v>
      </c>
      <c r="G979" s="2">
        <v>0</v>
      </c>
      <c r="H979" s="2">
        <v>999</v>
      </c>
      <c r="I979" s="2" t="inlineStr">
        <is>
          <t>9629</t>
        </is>
      </c>
      <c r="J979" s="4"/>
      <c r="K979" s="2">
        <v>81</v>
      </c>
      <c r="L979" s="6"/>
      <c r="M979" s="2" t="str">
        <f>IF(J979="",ROUND(I979*(1-IF(ISBLANK(L979),K979,L979)/100),2),ROUND(J979*(1-IF(ISBLANK(L979),K979,L979)/100),2))</f>
      </c>
      <c r="N979" s="7" t="str">
        <f>IF(NOT(AND(J979="",L979="")),IF(OR(AND(L979&lt;&gt;"",NOT(ISNUMBER(L979))),IFERROR(MOD(L979,1),1)&gt;0,AND(ISNUMBER(L979),OR(L979&lt;0,L979&gt;95))),"Введите целое число от 0 до 95",IF(OR(AND(J979&lt;&gt;"",NOT(ISNUMBER(J979))),IFERROR(MOD(J979,1),1)&gt;0,AND(ISNUMBER(J979),OR(J979&lt;50,J979&gt;20000000))),"Введите целое число от 50 до 20000000",IF(NOT(ABS(IFERROR(VALUE(LEFT(M979,FIND("-",M979)-1)),M979)*100-(2500+2000000000)/2)&lt;=ABS(2500-2000000000)/2),"Цена со скидкой должна быть от 25 до 20000000",IF(AND(IFERROR(VALUE(LEFT(M979,FIND("-",M979)-1)),M979)*150&lt;=182950,IFERROR(VALUE(LEFT(M979,FIND("-",M979)-1)),M979)*200&gt;182950),"Вы уменьшили цену в несколько раз, товар попадет в карантин цен",IF(IFERROR(VALUE(LEFT(M979,FIND("-",M979)-1)),M979)*200&lt;=182950,"Не сохранили изменения, чтобы защитить от ошибки — новые цены меньше текущих более чем в 2 раза. Снижайте их постепенно",IF(AND(IFERROR(VALUE(I979),0)=0,ISNUMBER(J979),OR(J979&lt;295,ABS(IFERROR(VALUE(LEFT(M979,FIND("-",M979)-1)),M979))*100&lt;29500)),"Проверьте цену товара. Большинство товаров в выбранной категории стоят дороже 295","")))))),"")</f>
      </c>
    </row>
    <row r="980">
      <c r="A980" s="2" t="inlineStr">
        <is>
          <t/>
        </is>
      </c>
      <c r="B980" s="2" t="inlineStr">
        <is>
          <t>Тарелки</t>
        </is>
      </c>
      <c r="C980" s="2">
        <v>729438445</v>
      </c>
      <c r="D980" s="2" t="inlineStr">
        <is>
          <t>076069</t>
        </is>
      </c>
      <c r="E980" s="2" t="inlineStr">
        <is>
          <t>2048082120283</t>
        </is>
      </c>
      <c r="F980" s="2" t="inlineStr">
        <is>
          <t/>
        </is>
      </c>
      <c r="G980" s="2" t="inlineStr">
        <is>
          <t/>
        </is>
      </c>
      <c r="H980" s="2" t="inlineStr">
        <is>
          <t/>
        </is>
      </c>
      <c r="I980" s="2" t="inlineStr">
        <is>
          <t>0</t>
        </is>
      </c>
      <c r="J980" s="4"/>
      <c r="K980" s="2">
        <v>0</v>
      </c>
      <c r="L980" s="6"/>
      <c r="M980" s="2" t="str">
        <f>IF(J980="",ROUND(I980*(1-IF(ISBLANK(L980),K980,L980)/100),2),ROUND(J980*(1-IF(ISBLANK(L980),K980,L980)/100),2))</f>
      </c>
      <c r="N980" s="7" t="str">
        <f>IF(NOT(AND(J980="",L980="")),IF(OR(AND(L980&lt;&gt;"",NOT(ISNUMBER(L980))),IFERROR(MOD(L980,1),1)&gt;0,AND(ISNUMBER(L980),OR(L980&lt;0,L980&gt;95))),"Введите целое число от 0 до 95",IF(OR(AND(J980&lt;&gt;"",NOT(ISNUMBER(J980))),IFERROR(MOD(J980,1),1)&gt;0,AND(ISNUMBER(J980),OR(J980&lt;50,J980&gt;20000000))),"Введите целое число от 50 до 20000000",IF(NOT(ABS(IFERROR(VALUE(LEFT(M980,FIND("-",M980)-1)),M980)*100-(2500+2000000000)/2)&lt;=ABS(2500-2000000000)/2),"Цена со скидкой должна быть от 25 до 20000000",IF(AND(IFERROR(VALUE(LEFT(M980,FIND("-",M980)-1)),M980)*150&lt;=0,IFERROR(VALUE(LEFT(M980,FIND("-",M980)-1)),M980)*200&gt;0),"Вы уменьшили цену в несколько раз, товар попадет в карантин цен",IF(IFERROR(VALUE(LEFT(M980,FIND("-",M980)-1)),M980)*200&lt;=0,"Не сохранили изменения, чтобы защитить от ошибки — новые цены меньше текущих более чем в 2 раза. Снижайте их постепенно",IF(AND(IFERROR(VALUE(I980),0)=0,ISNUMBER(J980),OR(J980&lt;413,ABS(IFERROR(VALUE(LEFT(M980,FIND("-",M980)-1)),M980))*100&lt;41300)),"Проверьте цену товара. Большинство товаров в выбранной категории стоят дороже 413","")))))),"")</f>
      </c>
    </row>
    <row r="981">
      <c r="A981" s="2" t="inlineStr">
        <is>
          <t/>
        </is>
      </c>
      <c r="B981" s="2" t="inlineStr">
        <is>
          <t>Бритвы электрические</t>
        </is>
      </c>
      <c r="C981" s="2">
        <v>765751485</v>
      </c>
      <c r="D981" s="2" t="inlineStr">
        <is>
          <t>192552</t>
        </is>
      </c>
      <c r="E981" s="2" t="inlineStr">
        <is>
          <t>2048426636333</t>
        </is>
      </c>
      <c r="F981" s="2">
        <v>3</v>
      </c>
      <c r="G981" s="2">
        <v>0</v>
      </c>
      <c r="H981" s="2">
        <v>999</v>
      </c>
      <c r="I981" s="2" t="inlineStr">
        <is>
          <t>8556</t>
        </is>
      </c>
      <c r="J981" s="4"/>
      <c r="K981" s="2">
        <v>81</v>
      </c>
      <c r="L981" s="6"/>
      <c r="M981" s="2" t="str">
        <f>IF(J981="",ROUND(I981*(1-IF(ISBLANK(L981),K981,L981)/100),2),ROUND(J981*(1-IF(ISBLANK(L981),K981,L981)/100),2))</f>
      </c>
      <c r="N981" s="7" t="str">
        <f>IF(NOT(AND(J981="",L981="")),IF(OR(AND(L981&lt;&gt;"",NOT(ISNUMBER(L981))),IFERROR(MOD(L981,1),1)&gt;0,AND(ISNUMBER(L981),OR(L981&lt;0,L981&gt;95))),"Введите целое число от 0 до 95",IF(OR(AND(J981&lt;&gt;"",NOT(ISNUMBER(J981))),IFERROR(MOD(J981,1),1)&gt;0,AND(ISNUMBER(J981),OR(J981&lt;50,J981&gt;20000000))),"Введите целое число от 50 до 20000000",IF(NOT(ABS(IFERROR(VALUE(LEFT(M981,FIND("-",M981)-1)),M981)*100-(2500+2000000000)/2)&lt;=ABS(2500-2000000000)/2),"Цена со скидкой должна быть от 25 до 20000000",IF(AND(IFERROR(VALUE(LEFT(M981,FIND("-",M981)-1)),M981)*150&lt;=162563,IFERROR(VALUE(LEFT(M981,FIND("-",M981)-1)),M981)*200&gt;162563),"Вы уменьшили цену в несколько раз, товар попадет в карантин цен",IF(IFERROR(VALUE(LEFT(M981,FIND("-",M981)-1)),M981)*200&lt;=162563,"Не сохранили изменения, чтобы защитить от ошибки — новые цены меньше текущих более чем в 2 раза. Снижайте их постепенно",IF(AND(IFERROR(VALUE(I981),0)=0,ISNUMBER(J981),OR(J981&lt;295,ABS(IFERROR(VALUE(LEFT(M981,FIND("-",M981)-1)),M981))*100&lt;29500)),"Проверьте цену товара. Большинство товаров в выбранной категории стоят дороже 295","")))))),"")</f>
      </c>
    </row>
    <row r="982">
      <c r="A982" s="2" t="inlineStr">
        <is>
          <t>Luxaro</t>
        </is>
      </c>
      <c r="B982" s="2" t="inlineStr">
        <is>
          <t>Бритвы электрические</t>
        </is>
      </c>
      <c r="C982" s="2">
        <v>600650238</v>
      </c>
      <c r="D982" s="2" t="inlineStr">
        <is>
          <t>192551</t>
        </is>
      </c>
      <c r="E982" s="2" t="inlineStr">
        <is>
          <t>2047106057741</t>
        </is>
      </c>
      <c r="F982" s="2">
        <v>0</v>
      </c>
      <c r="G982" s="2">
        <v>4</v>
      </c>
      <c r="H982" s="2" t="inlineStr">
        <is>
          <t/>
        </is>
      </c>
      <c r="I982" s="2" t="inlineStr">
        <is>
          <t>10977</t>
        </is>
      </c>
      <c r="J982" s="4"/>
      <c r="K982" s="2">
        <v>80</v>
      </c>
      <c r="L982" s="6"/>
      <c r="M982" s="2" t="str">
        <f>IF(J982="",ROUND(I982*(1-IF(ISBLANK(L982),K982,L982)/100),2),ROUND(J982*(1-IF(ISBLANK(L982),K982,L982)/100),2))</f>
      </c>
      <c r="N982" s="7" t="str">
        <f>IF(NOT(AND(J982="",L982="")),IF(OR(AND(L982&lt;&gt;"",NOT(ISNUMBER(L982))),IFERROR(MOD(L982,1),1)&gt;0,AND(ISNUMBER(L982),OR(L982&lt;0,L982&gt;95))),"Введите целое число от 0 до 95",IF(OR(AND(J982&lt;&gt;"",NOT(ISNUMBER(J982))),IFERROR(MOD(J982,1),1)&gt;0,AND(ISNUMBER(J982),OR(J982&lt;50,J982&gt;20000000))),"Введите целое число от 50 до 20000000",IF(NOT(ABS(IFERROR(VALUE(LEFT(M982,FIND("-",M982)-1)),M982)*100-(2500+2000000000)/2)&lt;=ABS(2500-2000000000)/2),"Цена со скидкой должна быть от 25 до 20000000",IF(AND(IFERROR(VALUE(LEFT(M982,FIND("-",M982)-1)),M982)*150&lt;=219539,IFERROR(VALUE(LEFT(M982,FIND("-",M982)-1)),M982)*200&gt;219539),"Вы уменьшили цену в несколько раз, товар попадет в карантин цен",IF(IFERROR(VALUE(LEFT(M982,FIND("-",M982)-1)),M982)*200&lt;=219539,"Не сохранили изменения, чтобы защитить от ошибки — новые цены меньше текущих более чем в 2 раза. Снижайте их постепенно",IF(AND(IFERROR(VALUE(I982),0)=0,ISNUMBER(J982),OR(J982&lt;295,ABS(IFERROR(VALUE(LEFT(M982,FIND("-",M982)-1)),M982))*100&lt;29500)),"Проверьте цену товара. Большинство товаров в выбранной категории стоят дороже 295","")))))),"")</f>
      </c>
    </row>
    <row r="983">
      <c r="A983" s="2" t="inlineStr">
        <is>
          <t/>
        </is>
      </c>
      <c r="B983" s="2" t="inlineStr">
        <is>
          <t>Бритвы электрические</t>
        </is>
      </c>
      <c r="C983" s="2">
        <v>765751486</v>
      </c>
      <c r="D983" s="2" t="inlineStr">
        <is>
          <t>192729</t>
        </is>
      </c>
      <c r="E983" s="2" t="inlineStr">
        <is>
          <t>2048426643935</t>
        </is>
      </c>
      <c r="F983" s="2">
        <v>7</v>
      </c>
      <c r="G983" s="2">
        <v>3</v>
      </c>
      <c r="H983" s="2">
        <v>999</v>
      </c>
      <c r="I983" s="2" t="inlineStr">
        <is>
          <t>12296</t>
        </is>
      </c>
      <c r="J983" s="4"/>
      <c r="K983" s="2">
        <v>81</v>
      </c>
      <c r="L983" s="6"/>
      <c r="M983" s="2" t="str">
        <f>IF(J983="",ROUND(I983*(1-IF(ISBLANK(L983),K983,L983)/100),2),ROUND(J983*(1-IF(ISBLANK(L983),K983,L983)/100),2))</f>
      </c>
      <c r="N983" s="7" t="str">
        <f>IF(NOT(AND(J983="",L983="")),IF(OR(AND(L983&lt;&gt;"",NOT(ISNUMBER(L983))),IFERROR(MOD(L983,1),1)&gt;0,AND(ISNUMBER(L983),OR(L983&lt;0,L983&gt;95))),"Введите целое число от 0 до 95",IF(OR(AND(J983&lt;&gt;"",NOT(ISNUMBER(J983))),IFERROR(MOD(J983,1),1)&gt;0,AND(ISNUMBER(J983),OR(J983&lt;50,J983&gt;20000000))),"Введите целое число от 50 до 20000000",IF(NOT(ABS(IFERROR(VALUE(LEFT(M983,FIND("-",M983)-1)),M983)*100-(2500+2000000000)/2)&lt;=ABS(2500-2000000000)/2),"Цена со скидкой должна быть от 25 до 20000000",IF(AND(IFERROR(VALUE(LEFT(M983,FIND("-",M983)-1)),M983)*150&lt;=233623,IFERROR(VALUE(LEFT(M983,FIND("-",M983)-1)),M983)*200&gt;233623),"Вы уменьшили цену в несколько раз, товар попадет в карантин цен",IF(IFERROR(VALUE(LEFT(M983,FIND("-",M983)-1)),M983)*200&lt;=233623,"Не сохранили изменения, чтобы защитить от ошибки — новые цены меньше текущих более чем в 2 раза. Снижайте их постепенно",IF(AND(IFERROR(VALUE(I983),0)=0,ISNUMBER(J983),OR(J983&lt;295,ABS(IFERROR(VALUE(LEFT(M983,FIND("-",M983)-1)),M983))*100&lt;29500)),"Проверьте цену товара. Большинство товаров в выбранной категории стоят дороже 295","")))))),"")</f>
      </c>
    </row>
    <row r="984">
      <c r="A984" s="2" t="inlineStr">
        <is>
          <t/>
        </is>
      </c>
      <c r="B984" s="2" t="inlineStr">
        <is>
          <t>Весы</t>
        </is>
      </c>
      <c r="C984" s="2">
        <v>765761350</v>
      </c>
      <c r="D984" s="2" t="inlineStr">
        <is>
          <t>192693</t>
        </is>
      </c>
      <c r="E984" s="2" t="inlineStr">
        <is>
          <t>2048426692865</t>
        </is>
      </c>
      <c r="F984" s="2">
        <v>1</v>
      </c>
      <c r="G984" s="2">
        <v>5</v>
      </c>
      <c r="H984" s="2">
        <v>999</v>
      </c>
      <c r="I984" s="2" t="inlineStr">
        <is>
          <t>9242</t>
        </is>
      </c>
      <c r="J984" s="4"/>
      <c r="K984" s="2">
        <v>82</v>
      </c>
      <c r="L984" s="6"/>
      <c r="M984" s="2" t="str">
        <f>IF(J984="",ROUND(I984*(1-IF(ISBLANK(L984),K984,L984)/100),2),ROUND(J984*(1-IF(ISBLANK(L984),K984,L984)/100),2))</f>
      </c>
      <c r="N984" s="7" t="str">
        <f>IF(NOT(AND(J984="",L984="")),IF(OR(AND(L984&lt;&gt;"",NOT(ISNUMBER(L984))),IFERROR(MOD(L984,1),1)&gt;0,AND(ISNUMBER(L984),OR(L984&lt;0,L984&gt;95))),"Введите целое число от 0 до 95",IF(OR(AND(J984&lt;&gt;"",NOT(ISNUMBER(J984))),IFERROR(MOD(J984,1),1)&gt;0,AND(ISNUMBER(J984),OR(J984&lt;50,J984&gt;20000000))),"Введите целое число от 50 до 20000000",IF(NOT(ABS(IFERROR(VALUE(LEFT(M984,FIND("-",M984)-1)),M984)*100-(2500+2000000000)/2)&lt;=ABS(2500-2000000000)/2),"Цена со скидкой должна быть от 25 до 20000000",IF(AND(IFERROR(VALUE(LEFT(M984,FIND("-",M984)-1)),M984)*150&lt;=166356,IFERROR(VALUE(LEFT(M984,FIND("-",M984)-1)),M984)*200&gt;166356),"Вы уменьшили цену в несколько раз, товар попадет в карантин цен",IF(IFERROR(VALUE(LEFT(M984,FIND("-",M984)-1)),M984)*200&lt;=166356,"Не сохранили изменения, чтобы защитить от ошибки — новые цены меньше текущих более чем в 2 раза. Снижайте их постепенно",IF(AND(IFERROR(VALUE(I984),0)=0,ISNUMBER(J984),OR(J984&lt;354,ABS(IFERROR(VALUE(LEFT(M984,FIND("-",M984)-1)),M984))*100&lt;35400)),"Проверьте цену товара. Большинство товаров в выбранной категории стоят дороже 354","")))))),"")</f>
      </c>
    </row>
    <row r="985">
      <c r="A985" s="2" t="inlineStr">
        <is>
          <t>Luxaro</t>
        </is>
      </c>
      <c r="B985" s="2" t="inlineStr">
        <is>
          <t>Бритвы электрические</t>
        </is>
      </c>
      <c r="C985" s="2">
        <v>600650239</v>
      </c>
      <c r="D985" s="2" t="inlineStr">
        <is>
          <t>192640</t>
        </is>
      </c>
      <c r="E985" s="2" t="inlineStr">
        <is>
          <t>2047106057758</t>
        </is>
      </c>
      <c r="F985" s="2">
        <v>0</v>
      </c>
      <c r="G985" s="2">
        <v>10</v>
      </c>
      <c r="H985" s="2" t="inlineStr">
        <is>
          <t/>
        </is>
      </c>
      <c r="I985" s="2" t="inlineStr">
        <is>
          <t>5640</t>
        </is>
      </c>
      <c r="J985" s="4"/>
      <c r="K985" s="2">
        <v>80</v>
      </c>
      <c r="L985" s="6"/>
      <c r="M985" s="2" t="str">
        <f>IF(J985="",ROUND(I985*(1-IF(ISBLANK(L985),K985,L985)/100),2),ROUND(J985*(1-IF(ISBLANK(L985),K985,L985)/100),2))</f>
      </c>
      <c r="N985" s="7" t="str">
        <f>IF(NOT(AND(J985="",L985="")),IF(OR(AND(L985&lt;&gt;"",NOT(ISNUMBER(L985))),IFERROR(MOD(L985,1),1)&gt;0,AND(ISNUMBER(L985),OR(L985&lt;0,L985&gt;95))),"Введите целое число от 0 до 95",IF(OR(AND(J985&lt;&gt;"",NOT(ISNUMBER(J985))),IFERROR(MOD(J985,1),1)&gt;0,AND(ISNUMBER(J985),OR(J985&lt;50,J985&gt;20000000))),"Введите целое число от 50 до 20000000",IF(NOT(ABS(IFERROR(VALUE(LEFT(M985,FIND("-",M985)-1)),M985)*100-(2500+2000000000)/2)&lt;=ABS(2500-2000000000)/2),"Цена со скидкой должна быть от 25 до 20000000",IF(AND(IFERROR(VALUE(LEFT(M985,FIND("-",M985)-1)),M985)*150&lt;=112799,IFERROR(VALUE(LEFT(M985,FIND("-",M985)-1)),M985)*200&gt;112799),"Вы уменьшили цену в несколько раз, товар попадет в карантин цен",IF(IFERROR(VALUE(LEFT(M985,FIND("-",M985)-1)),M985)*200&lt;=112799,"Не сохранили изменения, чтобы защитить от ошибки — новые цены меньше текущих более чем в 2 раза. Снижайте их постепенно",IF(AND(IFERROR(VALUE(I985),0)=0,ISNUMBER(J985),OR(J985&lt;295,ABS(IFERROR(VALUE(LEFT(M985,FIND("-",M985)-1)),M985))*100&lt;29500)),"Проверьте цену товара. Большинство товаров в выбранной категории стоят дороже 295","")))))),"")</f>
      </c>
    </row>
    <row r="986">
      <c r="A986" s="2" t="inlineStr">
        <is>
          <t/>
        </is>
      </c>
      <c r="B986" s="2" t="inlineStr">
        <is>
          <t>Кружки</t>
        </is>
      </c>
      <c r="C986" s="2">
        <v>773041350</v>
      </c>
      <c r="D986" s="2" t="inlineStr">
        <is>
          <t>121051</t>
        </is>
      </c>
      <c r="E986" s="2" t="inlineStr">
        <is>
          <t>2048494557929</t>
        </is>
      </c>
      <c r="F986" s="2">
        <v>56</v>
      </c>
      <c r="G986" s="2">
        <v>2</v>
      </c>
      <c r="H986" s="2">
        <v>999</v>
      </c>
      <c r="I986" s="2" t="inlineStr">
        <is>
          <t>5016</t>
        </is>
      </c>
      <c r="J986" s="4"/>
      <c r="K986" s="2">
        <v>80</v>
      </c>
      <c r="L986" s="6"/>
      <c r="M986" s="2" t="str">
        <f>IF(J986="",ROUND(I986*(1-IF(ISBLANK(L986),K986,L986)/100),2),ROUND(J986*(1-IF(ISBLANK(L986),K986,L986)/100),2))</f>
      </c>
      <c r="N986" s="7" t="str">
        <f>IF(NOT(AND(J986="",L986="")),IF(OR(AND(L986&lt;&gt;"",NOT(ISNUMBER(L986))),IFERROR(MOD(L986,1),1)&gt;0,AND(ISNUMBER(L986),OR(L986&lt;0,L986&gt;95))),"Введите целое число от 0 до 95",IF(OR(AND(J986&lt;&gt;"",NOT(ISNUMBER(J986))),IFERROR(MOD(J986,1),1)&gt;0,AND(ISNUMBER(J986),OR(J986&lt;50,J986&gt;20000000))),"Введите целое число от 50 до 20000000",IF(NOT(ABS(IFERROR(VALUE(LEFT(M986,FIND("-",M986)-1)),M986)*100-(2500+2000000000)/2)&lt;=ABS(2500-2000000000)/2),"Цена со скидкой должна быть от 25 до 20000000",IF(AND(IFERROR(VALUE(LEFT(M986,FIND("-",M986)-1)),M986)*150&lt;=100319,IFERROR(VALUE(LEFT(M986,FIND("-",M986)-1)),M986)*200&gt;100319),"Вы уменьшили цену в несколько раз, товар попадет в карантин цен",IF(IFERROR(VALUE(LEFT(M986,FIND("-",M986)-1)),M986)*200&lt;=100319,"Не сохранили изменения, чтобы защитить от ошибки — новые цены меньше текущих более чем в 2 раза. Снижайте их постепенно",IF(AND(IFERROR(VALUE(I986),0)=0,ISNUMBER(J986),OR(J986&lt;444,ABS(IFERROR(VALUE(LEFT(M986,FIND("-",M986)-1)),M986))*100&lt;44400)),"Проверьте цену товара. Большинство товаров в выбранной категории стоят дороже 444","")))))),"")</f>
      </c>
    </row>
    <row r="987">
      <c r="A987" s="2" t="inlineStr">
        <is>
          <t/>
        </is>
      </c>
      <c r="B987" s="2" t="inlineStr">
        <is>
          <t>Весы</t>
        </is>
      </c>
      <c r="C987" s="2">
        <v>765761351</v>
      </c>
      <c r="D987" s="2" t="inlineStr">
        <is>
          <t>191873</t>
        </is>
      </c>
      <c r="E987" s="2" t="inlineStr">
        <is>
          <t>2048426706517</t>
        </is>
      </c>
      <c r="F987" s="2">
        <v>0</v>
      </c>
      <c r="G987" s="2">
        <v>7</v>
      </c>
      <c r="H987" s="2" t="inlineStr">
        <is>
          <t/>
        </is>
      </c>
      <c r="I987" s="2" t="inlineStr">
        <is>
          <t>12825</t>
        </is>
      </c>
      <c r="J987" s="4"/>
      <c r="K987" s="2">
        <v>79</v>
      </c>
      <c r="L987" s="6"/>
      <c r="M987" s="2" t="str">
        <f>IF(J987="",ROUND(I987*(1-IF(ISBLANK(L987),K987,L987)/100),2),ROUND(J987*(1-IF(ISBLANK(L987),K987,L987)/100),2))</f>
      </c>
      <c r="N987" s="7" t="str">
        <f>IF(NOT(AND(J987="",L987="")),IF(OR(AND(L987&lt;&gt;"",NOT(ISNUMBER(L987))),IFERROR(MOD(L987,1),1)&gt;0,AND(ISNUMBER(L987),OR(L987&lt;0,L987&gt;95))),"Введите целое число от 0 до 95",IF(OR(AND(J987&lt;&gt;"",NOT(ISNUMBER(J987))),IFERROR(MOD(J987,1),1)&gt;0,AND(ISNUMBER(J987),OR(J987&lt;50,J987&gt;20000000))),"Введите целое число от 50 до 20000000",IF(NOT(ABS(IFERROR(VALUE(LEFT(M987,FIND("-",M987)-1)),M987)*100-(2500+2000000000)/2)&lt;=ABS(2500-2000000000)/2),"Цена со скидкой должна быть от 25 до 20000000",IF(AND(IFERROR(VALUE(LEFT(M987,FIND("-",M987)-1)),M987)*150&lt;=269324,IFERROR(VALUE(LEFT(M987,FIND("-",M987)-1)),M987)*200&gt;269324),"Вы уменьшили цену в несколько раз, товар попадет в карантин цен",IF(IFERROR(VALUE(LEFT(M987,FIND("-",M987)-1)),M987)*200&lt;=269324,"Не сохранили изменения, чтобы защитить от ошибки — новые цены меньше текущих более чем в 2 раза. Снижайте их постепенно",IF(AND(IFERROR(VALUE(I987),0)=0,ISNUMBER(J987),OR(J987&lt;354,ABS(IFERROR(VALUE(LEFT(M987,FIND("-",M987)-1)),M987))*100&lt;35400)),"Проверьте цену товара. Большинство товаров в выбранной категории стоят дороже 354","")))))),"")</f>
      </c>
    </row>
    <row r="988">
      <c r="A988" s="2" t="inlineStr">
        <is>
          <t/>
        </is>
      </c>
      <c r="B988" s="2" t="inlineStr">
        <is>
          <t>Весы</t>
        </is>
      </c>
      <c r="C988" s="2">
        <v>765761349</v>
      </c>
      <c r="D988" s="2" t="inlineStr">
        <is>
          <t>191507</t>
        </is>
      </c>
      <c r="E988" s="2" t="inlineStr">
        <is>
          <t>2048426676919</t>
        </is>
      </c>
      <c r="F988" s="2">
        <v>2</v>
      </c>
      <c r="G988" s="2">
        <v>7</v>
      </c>
      <c r="H988" s="2">
        <v>999</v>
      </c>
      <c r="I988" s="2" t="inlineStr">
        <is>
          <t>8346</t>
        </is>
      </c>
      <c r="J988" s="4"/>
      <c r="K988" s="2">
        <v>82</v>
      </c>
      <c r="L988" s="6"/>
      <c r="M988" s="2" t="str">
        <f>IF(J988="",ROUND(I988*(1-IF(ISBLANK(L988),K988,L988)/100),2),ROUND(J988*(1-IF(ISBLANK(L988),K988,L988)/100),2))</f>
      </c>
      <c r="N988" s="7" t="str">
        <f>IF(NOT(AND(J988="",L988="")),IF(OR(AND(L988&lt;&gt;"",NOT(ISNUMBER(L988))),IFERROR(MOD(L988,1),1)&gt;0,AND(ISNUMBER(L988),OR(L988&lt;0,L988&gt;95))),"Введите целое число от 0 до 95",IF(OR(AND(J988&lt;&gt;"",NOT(ISNUMBER(J988))),IFERROR(MOD(J988,1),1)&gt;0,AND(ISNUMBER(J988),OR(J988&lt;50,J988&gt;20000000))),"Введите целое число от 50 до 20000000",IF(NOT(ABS(IFERROR(VALUE(LEFT(M988,FIND("-",M988)-1)),M988)*100-(2500+2000000000)/2)&lt;=ABS(2500-2000000000)/2),"Цена со скидкой должна быть от 25 до 20000000",IF(AND(IFERROR(VALUE(LEFT(M988,FIND("-",M988)-1)),M988)*150&lt;=150228,IFERROR(VALUE(LEFT(M988,FIND("-",M988)-1)),M988)*200&gt;150228),"Вы уменьшили цену в несколько раз, товар попадет в карантин цен",IF(IFERROR(VALUE(LEFT(M988,FIND("-",M988)-1)),M988)*200&lt;=150228,"Не сохранили изменения, чтобы защитить от ошибки — новые цены меньше текущих более чем в 2 раза. Снижайте их постепенно",IF(AND(IFERROR(VALUE(I988),0)=0,ISNUMBER(J988),OR(J988&lt;354,ABS(IFERROR(VALUE(LEFT(M988,FIND("-",M988)-1)),M988))*100&lt;35400)),"Проверьте цену товара. Большинство товаров в выбранной категории стоят дороже 354","")))))),"")</f>
      </c>
    </row>
    <row r="989">
      <c r="A989" s="2" t="inlineStr">
        <is>
          <t/>
        </is>
      </c>
      <c r="B989" s="2" t="inlineStr">
        <is>
          <t>Весы</t>
        </is>
      </c>
      <c r="C989" s="2">
        <v>765761352</v>
      </c>
      <c r="D989" s="2" t="inlineStr">
        <is>
          <t>192724</t>
        </is>
      </c>
      <c r="E989" s="2" t="inlineStr">
        <is>
          <t>2048426723149</t>
        </is>
      </c>
      <c r="F989" s="2">
        <v>2</v>
      </c>
      <c r="G989" s="2">
        <v>0</v>
      </c>
      <c r="H989" s="2">
        <v>999</v>
      </c>
      <c r="I989" s="2" t="inlineStr">
        <is>
          <t>5727</t>
        </is>
      </c>
      <c r="J989" s="4"/>
      <c r="K989" s="2">
        <v>78</v>
      </c>
      <c r="L989" s="6"/>
      <c r="M989" s="2" t="str">
        <f>IF(J989="",ROUND(I989*(1-IF(ISBLANK(L989),K989,L989)/100),2),ROUND(J989*(1-IF(ISBLANK(L989),K989,L989)/100),2))</f>
      </c>
      <c r="N989" s="7" t="str">
        <f>IF(NOT(AND(J989="",L989="")),IF(OR(AND(L989&lt;&gt;"",NOT(ISNUMBER(L989))),IFERROR(MOD(L989,1),1)&gt;0,AND(ISNUMBER(L989),OR(L989&lt;0,L989&gt;95))),"Введите целое число от 0 до 95",IF(OR(AND(J989&lt;&gt;"",NOT(ISNUMBER(J989))),IFERROR(MOD(J989,1),1)&gt;0,AND(ISNUMBER(J989),OR(J989&lt;50,J989&gt;20000000))),"Введите целое число от 50 до 20000000",IF(NOT(ABS(IFERROR(VALUE(LEFT(M989,FIND("-",M989)-1)),M989)*100-(2500+2000000000)/2)&lt;=ABS(2500-2000000000)/2),"Цена со скидкой должна быть от 25 до 20000000",IF(AND(IFERROR(VALUE(LEFT(M989,FIND("-",M989)-1)),M989)*150&lt;=125993,IFERROR(VALUE(LEFT(M989,FIND("-",M989)-1)),M989)*200&gt;125993),"Вы уменьшили цену в несколько раз, товар попадет в карантин цен",IF(IFERROR(VALUE(LEFT(M989,FIND("-",M989)-1)),M989)*200&lt;=125993,"Не сохранили изменения, чтобы защитить от ошибки — новые цены меньше текущих более чем в 2 раза. Снижайте их постепенно",IF(AND(IFERROR(VALUE(I989),0)=0,ISNUMBER(J989),OR(J989&lt;354,ABS(IFERROR(VALUE(LEFT(M989,FIND("-",M989)-1)),M989))*100&lt;35400)),"Проверьте цену товара. Большинство товаров в выбранной категории стоят дороже 354","")))))),"")</f>
      </c>
    </row>
    <row r="990">
      <c r="A990" s="2" t="inlineStr">
        <is>
          <t/>
        </is>
      </c>
      <c r="B990" s="2" t="inlineStr">
        <is>
          <t>Миксеры</t>
        </is>
      </c>
      <c r="C990" s="2">
        <v>765795469</v>
      </c>
      <c r="D990" s="2" t="inlineStr">
        <is>
          <t>192737</t>
        </is>
      </c>
      <c r="E990" s="2" t="inlineStr">
        <is>
          <t>2048427109652</t>
        </is>
      </c>
      <c r="F990" s="2">
        <v>3</v>
      </c>
      <c r="G990" s="2">
        <v>5</v>
      </c>
      <c r="H990" s="2">
        <v>999</v>
      </c>
      <c r="I990" s="2" t="inlineStr">
        <is>
          <t>7676</t>
        </is>
      </c>
      <c r="J990" s="4"/>
      <c r="K990" s="2">
        <v>80</v>
      </c>
      <c r="L990" s="6"/>
      <c r="M990" s="2" t="str">
        <f>IF(J990="",ROUND(I990*(1-IF(ISBLANK(L990),K990,L990)/100),2),ROUND(J990*(1-IF(ISBLANK(L990),K990,L990)/100),2))</f>
      </c>
      <c r="N990" s="7" t="str">
        <f>IF(NOT(AND(J990="",L990="")),IF(OR(AND(L990&lt;&gt;"",NOT(ISNUMBER(L990))),IFERROR(MOD(L990,1),1)&gt;0,AND(ISNUMBER(L990),OR(L990&lt;0,L990&gt;95))),"Введите целое число от 0 до 95",IF(OR(AND(J990&lt;&gt;"",NOT(ISNUMBER(J990))),IFERROR(MOD(J990,1),1)&gt;0,AND(ISNUMBER(J990),OR(J990&lt;50,J990&gt;20000000))),"Введите целое число от 50 до 20000000",IF(NOT(ABS(IFERROR(VALUE(LEFT(M990,FIND("-",M990)-1)),M990)*100-(2500+2000000000)/2)&lt;=ABS(2500-2000000000)/2),"Цена со скидкой должна быть от 25 до 20000000",IF(AND(IFERROR(VALUE(LEFT(M990,FIND("-",M990)-1)),M990)*150&lt;=153519,IFERROR(VALUE(LEFT(M990,FIND("-",M990)-1)),M990)*200&gt;153519),"Вы уменьшили цену в несколько раз, товар попадет в карантин цен",IF(IFERROR(VALUE(LEFT(M990,FIND("-",M990)-1)),M990)*200&lt;=153519,"Не сохранили изменения, чтобы защитить от ошибки — новые цены меньше текущих более чем в 2 раза. Снижайте их постепенно",IF(AND(IFERROR(VALUE(I990),0)=0,ISNUMBER(J990),OR(J990&lt;289,ABS(IFERROR(VALUE(LEFT(M990,FIND("-",M990)-1)),M990))*100&lt;28900)),"Проверьте цену товара. Большинство товаров в выбранной категории стоят дороже 289","")))))),"")</f>
      </c>
    </row>
    <row r="991">
      <c r="A991" s="2" t="inlineStr">
        <is>
          <t/>
        </is>
      </c>
      <c r="B991" s="2" t="inlineStr">
        <is>
          <t>Турки электрические</t>
        </is>
      </c>
      <c r="C991" s="2">
        <v>765765176</v>
      </c>
      <c r="D991" s="2" t="inlineStr">
        <is>
          <t>192754</t>
        </is>
      </c>
      <c r="E991" s="2" t="inlineStr">
        <is>
          <t>2048426759070</t>
        </is>
      </c>
      <c r="F991" s="2">
        <v>2</v>
      </c>
      <c r="G991" s="2">
        <v>0</v>
      </c>
      <c r="H991" s="2">
        <v>30</v>
      </c>
      <c r="I991" s="2" t="inlineStr">
        <is>
          <t>6392</t>
        </is>
      </c>
      <c r="J991" s="4"/>
      <c r="K991" s="2">
        <v>80</v>
      </c>
      <c r="L991" s="6"/>
      <c r="M991" s="2" t="str">
        <f>IF(J991="",ROUND(I991*(1-IF(ISBLANK(L991),K991,L991)/100),2),ROUND(J991*(1-IF(ISBLANK(L991),K991,L991)/100),2))</f>
      </c>
      <c r="N991" s="7" t="str">
        <f>IF(NOT(AND(J991="",L991="")),IF(OR(AND(L991&lt;&gt;"",NOT(ISNUMBER(L991))),IFERROR(MOD(L991,1),1)&gt;0,AND(ISNUMBER(L991),OR(L991&lt;0,L991&gt;95))),"Введите целое число от 0 до 95",IF(OR(AND(J991&lt;&gt;"",NOT(ISNUMBER(J991))),IFERROR(MOD(J991,1),1)&gt;0,AND(ISNUMBER(J991),OR(J991&lt;50,J991&gt;20000000))),"Введите целое число от 50 до 20000000",IF(NOT(ABS(IFERROR(VALUE(LEFT(M991,FIND("-",M991)-1)),M991)*100-(2500+2000000000)/2)&lt;=ABS(2500-2000000000)/2),"Цена со скидкой должна быть от 25 до 20000000",IF(AND(IFERROR(VALUE(LEFT(M991,FIND("-",M991)-1)),M991)*150&lt;=127839,IFERROR(VALUE(LEFT(M991,FIND("-",M991)-1)),M991)*200&gt;127839),"Вы уменьшили цену в несколько раз, товар попадет в карантин цен",IF(IFERROR(VALUE(LEFT(M991,FIND("-",M991)-1)),M991)*200&lt;=127839,"Не сохранили изменения, чтобы защитить от ошибки — новые цены меньше текущих более чем в 2 раза. Снижайте их постепенно",IF(AND(IFERROR(VALUE(I991),0)=0,ISNUMBER(J991),OR(J991&lt;625,ABS(IFERROR(VALUE(LEFT(M991,FIND("-",M991)-1)),M991))*100&lt;62500)),"Проверьте цену товара. Большинство товаров в выбранной категории стоят дороже 625","")))))),"")</f>
      </c>
    </row>
    <row r="992">
      <c r="A992" s="2" t="inlineStr">
        <is>
          <t/>
        </is>
      </c>
      <c r="B992" s="2" t="inlineStr">
        <is>
          <t>Чайники электрические</t>
        </is>
      </c>
      <c r="C992" s="2">
        <v>765820378</v>
      </c>
      <c r="D992" s="2" t="inlineStr">
        <is>
          <t>192745</t>
        </is>
      </c>
      <c r="E992" s="2" t="inlineStr">
        <is>
          <t>2048427568022</t>
        </is>
      </c>
      <c r="F992" s="2">
        <v>2</v>
      </c>
      <c r="G992" s="2">
        <v>13</v>
      </c>
      <c r="H992" s="2">
        <v>999</v>
      </c>
      <c r="I992" s="2" t="inlineStr">
        <is>
          <t>12231</t>
        </is>
      </c>
      <c r="J992" s="4"/>
      <c r="K992" s="2">
        <v>81</v>
      </c>
      <c r="L992" s="6"/>
      <c r="M992" s="2" t="str">
        <f>IF(J992="",ROUND(I992*(1-IF(ISBLANK(L992),K992,L992)/100),2),ROUND(J992*(1-IF(ISBLANK(L992),K992,L992)/100),2))</f>
      </c>
      <c r="N992" s="7" t="str">
        <f>IF(NOT(AND(J992="",L992="")),IF(OR(AND(L992&lt;&gt;"",NOT(ISNUMBER(L992))),IFERROR(MOD(L992,1),1)&gt;0,AND(ISNUMBER(L992),OR(L992&lt;0,L992&gt;95))),"Введите целое число от 0 до 95",IF(OR(AND(J992&lt;&gt;"",NOT(ISNUMBER(J992))),IFERROR(MOD(J992,1),1)&gt;0,AND(ISNUMBER(J992),OR(J992&lt;50,J992&gt;20000000))),"Введите целое число от 50 до 20000000",IF(NOT(ABS(IFERROR(VALUE(LEFT(M992,FIND("-",M992)-1)),M992)*100-(2500+2000000000)/2)&lt;=ABS(2500-2000000000)/2),"Цена со скидкой должна быть от 25 до 20000000",IF(AND(IFERROR(VALUE(LEFT(M992,FIND("-",M992)-1)),M992)*150&lt;=232388,IFERROR(VALUE(LEFT(M992,FIND("-",M992)-1)),M992)*200&gt;232388),"Вы уменьшили цену в несколько раз, товар попадет в карантин цен",IF(IFERROR(VALUE(LEFT(M992,FIND("-",M992)-1)),M992)*200&lt;=232388,"Не сохранили изменения, чтобы защитить от ошибки — новые цены меньше текущих более чем в 2 раза. Снижайте их постепенно",IF(AND(IFERROR(VALUE(I992),0)=0,ISNUMBER(J992),OR(J992&lt;496,ABS(IFERROR(VALUE(LEFT(M992,FIND("-",M992)-1)),M992))*100&lt;49600)),"Проверьте цену товара. Большинство товаров в выбранной категории стоят дороже 496","")))))),"")</f>
      </c>
    </row>
    <row r="993">
      <c r="A993" s="2" t="inlineStr">
        <is>
          <t/>
        </is>
      </c>
      <c r="B993" s="2" t="inlineStr">
        <is>
          <t>Чайники электрические</t>
        </is>
      </c>
      <c r="C993" s="2">
        <v>765820384</v>
      </c>
      <c r="D993" s="2" t="inlineStr">
        <is>
          <t>192743</t>
        </is>
      </c>
      <c r="E993" s="2" t="inlineStr">
        <is>
          <t>2048427568091</t>
        </is>
      </c>
      <c r="F993" s="2">
        <v>4</v>
      </c>
      <c r="G993" s="2">
        <v>10</v>
      </c>
      <c r="H993" s="2">
        <v>999</v>
      </c>
      <c r="I993" s="2" t="inlineStr">
        <is>
          <t>13691</t>
        </is>
      </c>
      <c r="J993" s="4"/>
      <c r="K993" s="2">
        <v>80</v>
      </c>
      <c r="L993" s="6"/>
      <c r="M993" s="2" t="str">
        <f>IF(J993="",ROUND(I993*(1-IF(ISBLANK(L993),K993,L993)/100),2),ROUND(J993*(1-IF(ISBLANK(L993),K993,L993)/100),2))</f>
      </c>
      <c r="N993" s="7" t="str">
        <f>IF(NOT(AND(J993="",L993="")),IF(OR(AND(L993&lt;&gt;"",NOT(ISNUMBER(L993))),IFERROR(MOD(L993,1),1)&gt;0,AND(ISNUMBER(L993),OR(L993&lt;0,L993&gt;95))),"Введите целое число от 0 до 95",IF(OR(AND(J993&lt;&gt;"",NOT(ISNUMBER(J993))),IFERROR(MOD(J993,1),1)&gt;0,AND(ISNUMBER(J993),OR(J993&lt;50,J993&gt;20000000))),"Введите целое число от 50 до 20000000",IF(NOT(ABS(IFERROR(VALUE(LEFT(M993,FIND("-",M993)-1)),M993)*100-(2500+2000000000)/2)&lt;=ABS(2500-2000000000)/2),"Цена со скидкой должна быть от 25 до 20000000",IF(AND(IFERROR(VALUE(LEFT(M993,FIND("-",M993)-1)),M993)*150&lt;=273819,IFERROR(VALUE(LEFT(M993,FIND("-",M993)-1)),M993)*200&gt;273819),"Вы уменьшили цену в несколько раз, товар попадет в карантин цен",IF(IFERROR(VALUE(LEFT(M993,FIND("-",M993)-1)),M993)*200&lt;=273819,"Не сохранили изменения, чтобы защитить от ошибки — новые цены меньше текущих более чем в 2 раза. Снижайте их постепенно",IF(AND(IFERROR(VALUE(I993),0)=0,ISNUMBER(J993),OR(J993&lt;496,ABS(IFERROR(VALUE(LEFT(M993,FIND("-",M993)-1)),M993))*100&lt;49600)),"Проверьте цену товара. Большинство товаров в выбранной категории стоят дороже 496","")))))),"")</f>
      </c>
    </row>
    <row r="994">
      <c r="A994" s="2" t="inlineStr">
        <is>
          <t/>
        </is>
      </c>
      <c r="B994" s="2" t="inlineStr">
        <is>
          <t>Чайники электрические</t>
        </is>
      </c>
      <c r="C994" s="2">
        <v>765820371</v>
      </c>
      <c r="D994" s="2" t="inlineStr">
        <is>
          <t>192747</t>
        </is>
      </c>
      <c r="E994" s="2" t="inlineStr">
        <is>
          <t>2048427567926</t>
        </is>
      </c>
      <c r="F994" s="2">
        <v>0</v>
      </c>
      <c r="G994" s="2">
        <v>0</v>
      </c>
      <c r="H994" s="2" t="inlineStr">
        <is>
          <t/>
        </is>
      </c>
      <c r="I994" s="2" t="inlineStr">
        <is>
          <t>20609</t>
        </is>
      </c>
      <c r="J994" s="4"/>
      <c r="K994" s="2">
        <v>69</v>
      </c>
      <c r="L994" s="6"/>
      <c r="M994" s="2" t="str">
        <f>IF(J994="",ROUND(I994*(1-IF(ISBLANK(L994),K994,L994)/100),2),ROUND(J994*(1-IF(ISBLANK(L994),K994,L994)/100),2))</f>
      </c>
      <c r="N994" s="7" t="str">
        <f>IF(NOT(AND(J994="",L994="")),IF(OR(AND(L994&lt;&gt;"",NOT(ISNUMBER(L994))),IFERROR(MOD(L994,1),1)&gt;0,AND(ISNUMBER(L994),OR(L994&lt;0,L994&gt;95))),"Введите целое число от 0 до 95",IF(OR(AND(J994&lt;&gt;"",NOT(ISNUMBER(J994))),IFERROR(MOD(J994,1),1)&gt;0,AND(ISNUMBER(J994),OR(J994&lt;50,J994&gt;20000000))),"Введите целое число от 50 до 20000000",IF(NOT(ABS(IFERROR(VALUE(LEFT(M994,FIND("-",M994)-1)),M994)*100-(2500+2000000000)/2)&lt;=ABS(2500-2000000000)/2),"Цена со скидкой должна быть от 25 до 20000000",IF(AND(IFERROR(VALUE(LEFT(M994,FIND("-",M994)-1)),M994)*150&lt;=638879,IFERROR(VALUE(LEFT(M994,FIND("-",M994)-1)),M994)*200&gt;638879),"Вы уменьшили цену в несколько раз, товар попадет в карантин цен",IF(IFERROR(VALUE(LEFT(M994,FIND("-",M994)-1)),M994)*200&lt;=638879,"Не сохранили изменения, чтобы защитить от ошибки — новые цены меньше текущих более чем в 2 раза. Снижайте их постепенно",IF(AND(IFERROR(VALUE(I994),0)=0,ISNUMBER(J994),OR(J994&lt;496,ABS(IFERROR(VALUE(LEFT(M994,FIND("-",M994)-1)),M994))*100&lt;49600)),"Проверьте цену товара. Большинство товаров в выбранной категории стоят дороже 496","")))))),"")</f>
      </c>
    </row>
    <row r="995">
      <c r="A995" s="2" t="inlineStr">
        <is>
          <t/>
        </is>
      </c>
      <c r="B995" s="2" t="inlineStr">
        <is>
          <t>Блендеры</t>
        </is>
      </c>
      <c r="C995" s="2">
        <v>765762891</v>
      </c>
      <c r="D995" s="2" t="inlineStr">
        <is>
          <t>192733</t>
        </is>
      </c>
      <c r="E995" s="2" t="inlineStr">
        <is>
          <t>2048426733179</t>
        </is>
      </c>
      <c r="F995" s="2">
        <v>1</v>
      </c>
      <c r="G995" s="2">
        <v>0</v>
      </c>
      <c r="H995" s="2">
        <v>999</v>
      </c>
      <c r="I995" s="2" t="inlineStr">
        <is>
          <t>12956</t>
        </is>
      </c>
      <c r="J995" s="4"/>
      <c r="K995" s="2">
        <v>83</v>
      </c>
      <c r="L995" s="6"/>
      <c r="M995" s="2" t="str">
        <f>IF(J995="",ROUND(I995*(1-IF(ISBLANK(L995),K995,L995)/100),2),ROUND(J995*(1-IF(ISBLANK(L995),K995,L995)/100),2))</f>
      </c>
      <c r="N995" s="7" t="str">
        <f>IF(NOT(AND(J995="",L995="")),IF(OR(AND(L995&lt;&gt;"",NOT(ISNUMBER(L995))),IFERROR(MOD(L995,1),1)&gt;0,AND(ISNUMBER(L995),OR(L995&lt;0,L995&gt;95))),"Введите целое число от 0 до 95",IF(OR(AND(J995&lt;&gt;"",NOT(ISNUMBER(J995))),IFERROR(MOD(J995,1),1)&gt;0,AND(ISNUMBER(J995),OR(J995&lt;50,J995&gt;20000000))),"Введите целое число от 50 до 20000000",IF(NOT(ABS(IFERROR(VALUE(LEFT(M995,FIND("-",M995)-1)),M995)*100-(2500+2000000000)/2)&lt;=ABS(2500-2000000000)/2),"Цена со скидкой должна быть от 25 до 20000000",IF(AND(IFERROR(VALUE(LEFT(M995,FIND("-",M995)-1)),M995)*150&lt;=220252,IFERROR(VALUE(LEFT(M995,FIND("-",M995)-1)),M995)*200&gt;220252),"Вы уменьшили цену в несколько раз, товар попадет в карантин цен",IF(IFERROR(VALUE(LEFT(M995,FIND("-",M995)-1)),M995)*200&lt;=220252,"Не сохранили изменения, чтобы защитить от ошибки — новые цены меньше текущих более чем в 2 раза. Снижайте их постепенно",IF(AND(IFERROR(VALUE(I995),0)=0,ISNUMBER(J995),OR(J995&lt;361,ABS(IFERROR(VALUE(LEFT(M995,FIND("-",M995)-1)),M995))*100&lt;36100)),"Проверьте цену товара. Большинство товаров в выбранной категории стоят дороже 361","")))))),"")</f>
      </c>
    </row>
    <row r="996">
      <c r="A996" s="2" t="inlineStr">
        <is>
          <t/>
        </is>
      </c>
      <c r="B996" s="2" t="inlineStr">
        <is>
          <t>Миксеры</t>
        </is>
      </c>
      <c r="C996" s="2">
        <v>765795470</v>
      </c>
      <c r="D996" s="2" t="inlineStr">
        <is>
          <t>192738</t>
        </is>
      </c>
      <c r="E996" s="2" t="inlineStr">
        <is>
          <t>2048427114601</t>
        </is>
      </c>
      <c r="F996" s="2">
        <v>0</v>
      </c>
      <c r="G996" s="2">
        <v>8</v>
      </c>
      <c r="H996" s="2" t="inlineStr">
        <is>
          <t/>
        </is>
      </c>
      <c r="I996" s="2" t="inlineStr">
        <is>
          <t>8374</t>
        </is>
      </c>
      <c r="J996" s="4"/>
      <c r="K996" s="2">
        <v>78</v>
      </c>
      <c r="L996" s="6"/>
      <c r="M996" s="2" t="str">
        <f>IF(J996="",ROUND(I996*(1-IF(ISBLANK(L996),K996,L996)/100),2),ROUND(J996*(1-IF(ISBLANK(L996),K996,L996)/100),2))</f>
      </c>
      <c r="N996" s="7" t="str">
        <f>IF(NOT(AND(J996="",L996="")),IF(OR(AND(L996&lt;&gt;"",NOT(ISNUMBER(L996))),IFERROR(MOD(L996,1),1)&gt;0,AND(ISNUMBER(L996),OR(L996&lt;0,L996&gt;95))),"Введите целое число от 0 до 95",IF(OR(AND(J996&lt;&gt;"",NOT(ISNUMBER(J996))),IFERROR(MOD(J996,1),1)&gt;0,AND(ISNUMBER(J996),OR(J996&lt;50,J996&gt;20000000))),"Введите целое число от 50 до 20000000",IF(NOT(ABS(IFERROR(VALUE(LEFT(M996,FIND("-",M996)-1)),M996)*100-(2500+2000000000)/2)&lt;=ABS(2500-2000000000)/2),"Цена со скидкой должна быть от 25 до 20000000",IF(AND(IFERROR(VALUE(LEFT(M996,FIND("-",M996)-1)),M996)*150&lt;=184227,IFERROR(VALUE(LEFT(M996,FIND("-",M996)-1)),M996)*200&gt;184227),"Вы уменьшили цену в несколько раз, товар попадет в карантин цен",IF(IFERROR(VALUE(LEFT(M996,FIND("-",M996)-1)),M996)*200&lt;=184227,"Не сохранили изменения, чтобы защитить от ошибки — новые цены меньше текущих более чем в 2 раза. Снижайте их постепенно",IF(AND(IFERROR(VALUE(I996),0)=0,ISNUMBER(J996),OR(J996&lt;289,ABS(IFERROR(VALUE(LEFT(M996,FIND("-",M996)-1)),M996))*100&lt;28900)),"Проверьте цену товара. Большинство товаров в выбранной категории стоят дороже 289","")))))),"")</f>
      </c>
    </row>
    <row r="997">
      <c r="A997" s="2" t="inlineStr">
        <is>
          <t/>
        </is>
      </c>
      <c r="B997" s="2" t="inlineStr">
        <is>
          <t>Чайники электрические</t>
        </is>
      </c>
      <c r="C997" s="2">
        <v>765820381</v>
      </c>
      <c r="D997" s="2" t="inlineStr">
        <is>
          <t>190398</t>
        </is>
      </c>
      <c r="E997" s="2" t="inlineStr">
        <is>
          <t>2048427568060</t>
        </is>
      </c>
      <c r="F997" s="2">
        <v>0</v>
      </c>
      <c r="G997" s="2">
        <v>3</v>
      </c>
      <c r="H997" s="2" t="inlineStr">
        <is>
          <t/>
        </is>
      </c>
      <c r="I997" s="2" t="inlineStr">
        <is>
          <t>15753</t>
        </is>
      </c>
      <c r="J997" s="4"/>
      <c r="K997" s="2">
        <v>78</v>
      </c>
      <c r="L997" s="6"/>
      <c r="M997" s="2" t="str">
        <f>IF(J997="",ROUND(I997*(1-IF(ISBLANK(L997),K997,L997)/100),2),ROUND(J997*(1-IF(ISBLANK(L997),K997,L997)/100),2))</f>
      </c>
      <c r="N997" s="7" t="str">
        <f>IF(NOT(AND(J997="",L997="")),IF(OR(AND(L997&lt;&gt;"",NOT(ISNUMBER(L997))),IFERROR(MOD(L997,1),1)&gt;0,AND(ISNUMBER(L997),OR(L997&lt;0,L997&gt;95))),"Введите целое число от 0 до 95",IF(OR(AND(J997&lt;&gt;"",NOT(ISNUMBER(J997))),IFERROR(MOD(J997,1),1)&gt;0,AND(ISNUMBER(J997),OR(J997&lt;50,J997&gt;20000000))),"Введите целое число от 50 до 20000000",IF(NOT(ABS(IFERROR(VALUE(LEFT(M997,FIND("-",M997)-1)),M997)*100-(2500+2000000000)/2)&lt;=ABS(2500-2000000000)/2),"Цена со скидкой должна быть от 25 до 20000000",IF(AND(IFERROR(VALUE(LEFT(M997,FIND("-",M997)-1)),M997)*150&lt;=346565,IFERROR(VALUE(LEFT(M997,FIND("-",M997)-1)),M997)*200&gt;346565),"Вы уменьшили цену в несколько раз, товар попадет в карантин цен",IF(IFERROR(VALUE(LEFT(M997,FIND("-",M997)-1)),M997)*200&lt;=346565,"Не сохранили изменения, чтобы защитить от ошибки — новые цены меньше текущих более чем в 2 раза. Снижайте их постепенно",IF(AND(IFERROR(VALUE(I997),0)=0,ISNUMBER(J997),OR(J997&lt;496,ABS(IFERROR(VALUE(LEFT(M997,FIND("-",M997)-1)),M997))*100&lt;49600)),"Проверьте цену товара. Большинство товаров в выбранной категории стоят дороже 496","")))))),"")</f>
      </c>
    </row>
    <row r="998">
      <c r="A998" s="2" t="inlineStr">
        <is>
          <t/>
        </is>
      </c>
      <c r="B998" s="2" t="inlineStr">
        <is>
          <t>Термосы</t>
        </is>
      </c>
      <c r="C998" s="2">
        <v>600647783</v>
      </c>
      <c r="D998" s="2" t="inlineStr">
        <is>
          <t>820695</t>
        </is>
      </c>
      <c r="E998" s="2" t="inlineStr">
        <is>
          <t>2047129194782</t>
        </is>
      </c>
      <c r="F998" s="2">
        <v>1</v>
      </c>
      <c r="G998" s="2">
        <v>11</v>
      </c>
      <c r="H998" s="2">
        <v>999</v>
      </c>
      <c r="I998" s="2" t="inlineStr">
        <is>
          <t>7591</t>
        </is>
      </c>
      <c r="J998" s="4"/>
      <c r="K998" s="2">
        <v>84</v>
      </c>
      <c r="L998" s="6"/>
      <c r="M998" s="2" t="str">
        <f>IF(J998="",ROUND(I998*(1-IF(ISBLANK(L998),K998,L998)/100),2),ROUND(J998*(1-IF(ISBLANK(L998),K998,L998)/100),2))</f>
      </c>
      <c r="N998" s="7" t="str">
        <f>IF(NOT(AND(J998="",L998="")),IF(OR(AND(L998&lt;&gt;"",NOT(ISNUMBER(L998))),IFERROR(MOD(L998,1),1)&gt;0,AND(ISNUMBER(L998),OR(L998&lt;0,L998&gt;95))),"Введите целое число от 0 до 95",IF(OR(AND(J998&lt;&gt;"",NOT(ISNUMBER(J998))),IFERROR(MOD(J998,1),1)&gt;0,AND(ISNUMBER(J998),OR(J998&lt;50,J998&gt;20000000))),"Введите целое число от 50 до 20000000",IF(NOT(ABS(IFERROR(VALUE(LEFT(M998,FIND("-",M998)-1)),M998)*100-(2500+2000000000)/2)&lt;=ABS(2500-2000000000)/2),"Цена со скидкой должна быть от 25 до 20000000",IF(AND(IFERROR(VALUE(LEFT(M998,FIND("-",M998)-1)),M998)*150&lt;=121456,IFERROR(VALUE(LEFT(M998,FIND("-",M998)-1)),M998)*200&gt;121456),"Вы уменьшили цену в несколько раз, товар попадет в карантин цен",IF(IFERROR(VALUE(LEFT(M998,FIND("-",M998)-1)),M998)*200&lt;=121456,"Не сохранили изменения, чтобы защитить от ошибки — новые цены меньше текущих более чем в 2 раза. Снижайте их постепенно",IF(AND(IFERROR(VALUE(I998),0)=0,ISNUMBER(J998),OR(J998&lt;547,ABS(IFERROR(VALUE(LEFT(M998,FIND("-",M998)-1)),M998))*100&lt;54700)),"Проверьте цену товара. Большинство товаров в выбранной категории стоят дороже 547","")))))),"")</f>
      </c>
    </row>
    <row r="999">
      <c r="A999" s="2" t="inlineStr">
        <is>
          <t/>
        </is>
      </c>
      <c r="B999" s="2" t="inlineStr">
        <is>
          <t>Термосы</t>
        </is>
      </c>
      <c r="C999" s="2">
        <v>600647787</v>
      </c>
      <c r="D999" s="2" t="inlineStr">
        <is>
          <t>283472</t>
        </is>
      </c>
      <c r="E999" s="2" t="inlineStr">
        <is>
          <t>2047129194829</t>
        </is>
      </c>
      <c r="F999" s="2">
        <v>0</v>
      </c>
      <c r="G999" s="2">
        <v>0</v>
      </c>
      <c r="H999" s="2" t="inlineStr">
        <is>
          <t/>
        </is>
      </c>
      <c r="I999" s="2" t="inlineStr">
        <is>
          <t>11531</t>
        </is>
      </c>
      <c r="J999" s="4"/>
      <c r="K999" s="2">
        <v>65</v>
      </c>
      <c r="L999" s="6"/>
      <c r="M999" s="2" t="str">
        <f>IF(J999="",ROUND(I999*(1-IF(ISBLANK(L999),K999,L999)/100),2),ROUND(J999*(1-IF(ISBLANK(L999),K999,L999)/100),2))</f>
      </c>
      <c r="N999" s="7" t="str">
        <f>IF(NOT(AND(J999="",L999="")),IF(OR(AND(L999&lt;&gt;"",NOT(ISNUMBER(L999))),IFERROR(MOD(L999,1),1)&gt;0,AND(ISNUMBER(L999),OR(L999&lt;0,L999&gt;95))),"Введите целое число от 0 до 95",IF(OR(AND(J999&lt;&gt;"",NOT(ISNUMBER(J999))),IFERROR(MOD(J999,1),1)&gt;0,AND(ISNUMBER(J999),OR(J999&lt;50,J999&gt;20000000))),"Введите целое число от 50 до 20000000",IF(NOT(ABS(IFERROR(VALUE(LEFT(M999,FIND("-",M999)-1)),M999)*100-(2500+2000000000)/2)&lt;=ABS(2500-2000000000)/2),"Цена со скидкой должна быть от 25 до 20000000",IF(AND(IFERROR(VALUE(LEFT(M999,FIND("-",M999)-1)),M999)*150&lt;=403585,IFERROR(VALUE(LEFT(M999,FIND("-",M999)-1)),M999)*200&gt;403585),"Вы уменьшили цену в несколько раз, товар попадет в карантин цен",IF(IFERROR(VALUE(LEFT(M999,FIND("-",M999)-1)),M999)*200&lt;=403585,"Не сохранили изменения, чтобы защитить от ошибки — новые цены меньше текущих более чем в 2 раза. Снижайте их постепенно",IF(AND(IFERROR(VALUE(I999),0)=0,ISNUMBER(J999),OR(J999&lt;547,ABS(IFERROR(VALUE(LEFT(M999,FIND("-",M999)-1)),M999))*100&lt;54700)),"Проверьте цену товара. Большинство товаров в выбранной категории стоят дороже 547","")))))),"")</f>
      </c>
    </row>
    <row r="1000">
      <c r="A1000" s="2" t="inlineStr">
        <is>
          <t/>
        </is>
      </c>
      <c r="B1000" s="2" t="inlineStr">
        <is>
          <t>Чайники электрические</t>
        </is>
      </c>
      <c r="C1000" s="2">
        <v>765820386</v>
      </c>
      <c r="D1000" s="2" t="inlineStr">
        <is>
          <t>192750</t>
        </is>
      </c>
      <c r="E1000" s="2" t="inlineStr">
        <is>
          <t>2048427568114</t>
        </is>
      </c>
      <c r="F1000" s="2">
        <v>1</v>
      </c>
      <c r="G1000" s="2">
        <v>7</v>
      </c>
      <c r="H1000" s="2">
        <v>999</v>
      </c>
      <c r="I1000" s="2" t="inlineStr">
        <is>
          <t>11520</t>
        </is>
      </c>
      <c r="J1000" s="4"/>
      <c r="K1000" s="2">
        <v>81</v>
      </c>
      <c r="L1000" s="6"/>
      <c r="M1000" s="2" t="str">
        <f>IF(J1000="",ROUND(I1000*(1-IF(ISBLANK(L1000),K1000,L1000)/100),2),ROUND(J1000*(1-IF(ISBLANK(L1000),K1000,L1000)/100),2))</f>
      </c>
      <c r="N1000" s="7" t="str">
        <f>IF(NOT(AND(J1000="",L1000="")),IF(OR(AND(L1000&lt;&gt;"",NOT(ISNUMBER(L1000))),IFERROR(MOD(L1000,1),1)&gt;0,AND(ISNUMBER(L1000),OR(L1000&lt;0,L1000&gt;95))),"Введите целое число от 0 до 95",IF(OR(AND(J1000&lt;&gt;"",NOT(ISNUMBER(J1000))),IFERROR(MOD(J1000,1),1)&gt;0,AND(ISNUMBER(J1000),OR(J1000&lt;50,J1000&gt;20000000))),"Введите целое число от 50 до 20000000",IF(NOT(ABS(IFERROR(VALUE(LEFT(M1000,FIND("-",M1000)-1)),M1000)*100-(2500+2000000000)/2)&lt;=ABS(2500-2000000000)/2),"Цена со скидкой должна быть от 25 до 20000000",IF(AND(IFERROR(VALUE(LEFT(M1000,FIND("-",M1000)-1)),M1000)*150&lt;=218879,IFERROR(VALUE(LEFT(M1000,FIND("-",M1000)-1)),M1000)*200&gt;218879),"Вы уменьшили цену в несколько раз, товар попадет в карантин цен",IF(IFERROR(VALUE(LEFT(M1000,FIND("-",M1000)-1)),M1000)*200&lt;=218879,"Не сохранили изменения, чтобы защитить от ошибки — новые цены меньше текущих более чем в 2 раза. Снижайте их постепенно",IF(AND(IFERROR(VALUE(I1000),0)=0,ISNUMBER(J1000),OR(J1000&lt;496,ABS(IFERROR(VALUE(LEFT(M1000,FIND("-",M1000)-1)),M1000))*100&lt;49600)),"Проверьте цену товара. Большинство товаров в выбранной категории стоят дороже 496","")))))),"")</f>
      </c>
    </row>
    <row r="1001">
      <c r="A1001" s="2" t="inlineStr">
        <is>
          <t/>
        </is>
      </c>
      <c r="B1001" s="2" t="inlineStr">
        <is>
          <t>Чайники электрические</t>
        </is>
      </c>
      <c r="C1001" s="2">
        <v>765820377</v>
      </c>
      <c r="D1001" s="2" t="inlineStr">
        <is>
          <t>192744</t>
        </is>
      </c>
      <c r="E1001" s="2" t="inlineStr">
        <is>
          <t>2048427568008</t>
        </is>
      </c>
      <c r="F1001" s="2">
        <v>4</v>
      </c>
      <c r="G1001" s="2">
        <v>11</v>
      </c>
      <c r="H1001" s="2">
        <v>999</v>
      </c>
      <c r="I1001" s="2" t="inlineStr">
        <is>
          <t>12231</t>
        </is>
      </c>
      <c r="J1001" s="4"/>
      <c r="K1001" s="2">
        <v>80</v>
      </c>
      <c r="L1001" s="6"/>
      <c r="M1001" s="2" t="str">
        <f>IF(J1001="",ROUND(I1001*(1-IF(ISBLANK(L1001),K1001,L1001)/100),2),ROUND(J1001*(1-IF(ISBLANK(L1001),K1001,L1001)/100),2))</f>
      </c>
      <c r="N1001" s="7" t="str">
        <f>IF(NOT(AND(J1001="",L1001="")),IF(OR(AND(L1001&lt;&gt;"",NOT(ISNUMBER(L1001))),IFERROR(MOD(L1001,1),1)&gt;0,AND(ISNUMBER(L1001),OR(L1001&lt;0,L1001&gt;95))),"Введите целое число от 0 до 95",IF(OR(AND(J1001&lt;&gt;"",NOT(ISNUMBER(J1001))),IFERROR(MOD(J1001,1),1)&gt;0,AND(ISNUMBER(J1001),OR(J1001&lt;50,J1001&gt;20000000))),"Введите целое число от 50 до 20000000",IF(NOT(ABS(IFERROR(VALUE(LEFT(M1001,FIND("-",M1001)-1)),M1001)*100-(2500+2000000000)/2)&lt;=ABS(2500-2000000000)/2),"Цена со скидкой должна быть от 25 до 20000000",IF(AND(IFERROR(VALUE(LEFT(M1001,FIND("-",M1001)-1)),M1001)*150&lt;=244619,IFERROR(VALUE(LEFT(M1001,FIND("-",M1001)-1)),M1001)*200&gt;244619),"Вы уменьшили цену в несколько раз, товар попадет в карантин цен",IF(IFERROR(VALUE(LEFT(M1001,FIND("-",M1001)-1)),M1001)*200&lt;=244619,"Не сохранили изменения, чтобы защитить от ошибки — новые цены меньше текущих более чем в 2 раза. Снижайте их постепенно",IF(AND(IFERROR(VALUE(I1001),0)=0,ISNUMBER(J1001),OR(J1001&lt;496,ABS(IFERROR(VALUE(LEFT(M1001,FIND("-",M1001)-1)),M1001))*100&lt;49600)),"Проверьте цену товара. Большинство товаров в выбранной категории стоят дороже 496","")))))),"")</f>
      </c>
    </row>
    <row r="1002">
      <c r="A1002" s="2" t="inlineStr">
        <is>
          <t/>
        </is>
      </c>
      <c r="B1002" s="2" t="inlineStr">
        <is>
          <t>Термосы</t>
        </is>
      </c>
      <c r="C1002" s="2">
        <v>600647794</v>
      </c>
      <c r="D1002" s="2" t="inlineStr">
        <is>
          <t>440239</t>
        </is>
      </c>
      <c r="E1002" s="2" t="inlineStr">
        <is>
          <t>2047129194874</t>
        </is>
      </c>
      <c r="F1002" s="2">
        <v>10</v>
      </c>
      <c r="G1002" s="2">
        <v>0</v>
      </c>
      <c r="H1002" s="2">
        <v>315</v>
      </c>
      <c r="I1002" s="2" t="inlineStr">
        <is>
          <t>13964</t>
        </is>
      </c>
      <c r="J1002" s="4"/>
      <c r="K1002" s="2">
        <v>81</v>
      </c>
      <c r="L1002" s="6"/>
      <c r="M1002" s="2" t="str">
        <f>IF(J1002="",ROUND(I1002*(1-IF(ISBLANK(L1002),K1002,L1002)/100),2),ROUND(J1002*(1-IF(ISBLANK(L1002),K1002,L1002)/100),2))</f>
      </c>
      <c r="N1002" s="7" t="str">
        <f>IF(NOT(AND(J1002="",L1002="")),IF(OR(AND(L1002&lt;&gt;"",NOT(ISNUMBER(L1002))),IFERROR(MOD(L1002,1),1)&gt;0,AND(ISNUMBER(L1002),OR(L1002&lt;0,L1002&gt;95))),"Введите целое число от 0 до 95",IF(OR(AND(J1002&lt;&gt;"",NOT(ISNUMBER(J1002))),IFERROR(MOD(J1002,1),1)&gt;0,AND(ISNUMBER(J1002),OR(J1002&lt;50,J1002&gt;20000000))),"Введите целое число от 50 до 20000000",IF(NOT(ABS(IFERROR(VALUE(LEFT(M1002,FIND("-",M1002)-1)),M1002)*100-(2500+2000000000)/2)&lt;=ABS(2500-2000000000)/2),"Цена со скидкой должна быть от 25 до 20000000",IF(AND(IFERROR(VALUE(LEFT(M1002,FIND("-",M1002)-1)),M1002)*150&lt;=265315,IFERROR(VALUE(LEFT(M1002,FIND("-",M1002)-1)),M1002)*200&gt;265315),"Вы уменьшили цену в несколько раз, товар попадет в карантин цен",IF(IFERROR(VALUE(LEFT(M1002,FIND("-",M1002)-1)),M1002)*200&lt;=265315,"Не сохранили изменения, чтобы защитить от ошибки — новые цены меньше текущих более чем в 2 раза. Снижайте их постепенно",IF(AND(IFERROR(VALUE(I1002),0)=0,ISNUMBER(J1002),OR(J1002&lt;547,ABS(IFERROR(VALUE(LEFT(M1002,FIND("-",M1002)-1)),M1002))*100&lt;54700)),"Проверьте цену товара. Большинство товаров в выбранной категории стоят дороже 547","")))))),"")</f>
      </c>
    </row>
    <row r="1003">
      <c r="A1003" s="2" t="inlineStr">
        <is>
          <t/>
        </is>
      </c>
      <c r="B1003" s="2" t="inlineStr">
        <is>
          <t>Термосы</t>
        </is>
      </c>
      <c r="C1003" s="2">
        <v>600647772</v>
      </c>
      <c r="D1003" s="2" t="inlineStr">
        <is>
          <t>60821</t>
        </is>
      </c>
      <c r="E1003" s="2" t="inlineStr">
        <is>
          <t>2047129194676</t>
        </is>
      </c>
      <c r="F1003" s="2">
        <v>2</v>
      </c>
      <c r="G1003" s="2">
        <v>0</v>
      </c>
      <c r="H1003" s="2">
        <v>999</v>
      </c>
      <c r="I1003" s="2" t="inlineStr">
        <is>
          <t>8448</t>
        </is>
      </c>
      <c r="J1003" s="4"/>
      <c r="K1003" s="2">
        <v>79</v>
      </c>
      <c r="L1003" s="6"/>
      <c r="M1003" s="2" t="str">
        <f>IF(J1003="",ROUND(I1003*(1-IF(ISBLANK(L1003),K1003,L1003)/100),2),ROUND(J1003*(1-IF(ISBLANK(L1003),K1003,L1003)/100),2))</f>
      </c>
      <c r="N1003" s="7" t="str">
        <f>IF(NOT(AND(J1003="",L1003="")),IF(OR(AND(L1003&lt;&gt;"",NOT(ISNUMBER(L1003))),IFERROR(MOD(L1003,1),1)&gt;0,AND(ISNUMBER(L1003),OR(L1003&lt;0,L1003&gt;95))),"Введите целое число от 0 до 95",IF(OR(AND(J1003&lt;&gt;"",NOT(ISNUMBER(J1003))),IFERROR(MOD(J1003,1),1)&gt;0,AND(ISNUMBER(J1003),OR(J1003&lt;50,J1003&gt;20000000))),"Введите целое число от 50 до 20000000",IF(NOT(ABS(IFERROR(VALUE(LEFT(M1003,FIND("-",M1003)-1)),M1003)*100-(2500+2000000000)/2)&lt;=ABS(2500-2000000000)/2),"Цена со скидкой должна быть от 25 до 20000000",IF(AND(IFERROR(VALUE(LEFT(M1003,FIND("-",M1003)-1)),M1003)*150&lt;=177407,IFERROR(VALUE(LEFT(M1003,FIND("-",M1003)-1)),M1003)*200&gt;177407),"Вы уменьшили цену в несколько раз, товар попадет в карантин цен",IF(IFERROR(VALUE(LEFT(M1003,FIND("-",M1003)-1)),M1003)*200&lt;=177407,"Не сохранили изменения, чтобы защитить от ошибки — новые цены меньше текущих более чем в 2 раза. Снижайте их постепенно",IF(AND(IFERROR(VALUE(I1003),0)=0,ISNUMBER(J1003),OR(J1003&lt;547,ABS(IFERROR(VALUE(LEFT(M1003,FIND("-",M1003)-1)),M1003))*100&lt;54700)),"Проверьте цену товара. Большинство товаров в выбранной категории стоят дороже 547","")))))),"")</f>
      </c>
    </row>
    <row r="1004">
      <c r="A1004" s="2" t="inlineStr">
        <is>
          <t/>
        </is>
      </c>
      <c r="B1004" s="2" t="inlineStr">
        <is>
          <t>Термосы</t>
        </is>
      </c>
      <c r="C1004" s="2">
        <v>600647785</v>
      </c>
      <c r="D1004" s="2" t="inlineStr">
        <is>
          <t>281793</t>
        </is>
      </c>
      <c r="E1004" s="2" t="inlineStr">
        <is>
          <t>2047129194805</t>
        </is>
      </c>
      <c r="F1004" s="2">
        <v>0</v>
      </c>
      <c r="G1004" s="2">
        <v>0</v>
      </c>
      <c r="H1004" s="2" t="inlineStr">
        <is>
          <t/>
        </is>
      </c>
      <c r="I1004" s="2" t="inlineStr">
        <is>
          <t>9524</t>
        </is>
      </c>
      <c r="J1004" s="4"/>
      <c r="K1004" s="2">
        <v>69</v>
      </c>
      <c r="L1004" s="6"/>
      <c r="M1004" s="2" t="str">
        <f>IF(J1004="",ROUND(I1004*(1-IF(ISBLANK(L1004),K1004,L1004)/100),2),ROUND(J1004*(1-IF(ISBLANK(L1004),K1004,L1004)/100),2))</f>
      </c>
      <c r="N1004" s="7" t="str">
        <f>IF(NOT(AND(J1004="",L1004="")),IF(OR(AND(L1004&lt;&gt;"",NOT(ISNUMBER(L1004))),IFERROR(MOD(L1004,1),1)&gt;0,AND(ISNUMBER(L1004),OR(L1004&lt;0,L1004&gt;95))),"Введите целое число от 0 до 95",IF(OR(AND(J1004&lt;&gt;"",NOT(ISNUMBER(J1004))),IFERROR(MOD(J1004,1),1)&gt;0,AND(ISNUMBER(J1004),OR(J1004&lt;50,J1004&gt;20000000))),"Введите целое число от 50 до 20000000",IF(NOT(ABS(IFERROR(VALUE(LEFT(M1004,FIND("-",M1004)-1)),M1004)*100-(2500+2000000000)/2)&lt;=ABS(2500-2000000000)/2),"Цена со скидкой должна быть от 25 до 20000000",IF(AND(IFERROR(VALUE(LEFT(M1004,FIND("-",M1004)-1)),M1004)*150&lt;=295244,IFERROR(VALUE(LEFT(M1004,FIND("-",M1004)-1)),M1004)*200&gt;295244),"Вы уменьшили цену в несколько раз, товар попадет в карантин цен",IF(IFERROR(VALUE(LEFT(M1004,FIND("-",M1004)-1)),M1004)*200&lt;=295244,"Не сохранили изменения, чтобы защитить от ошибки — новые цены меньше текущих более чем в 2 раза. Снижайте их постепенно",IF(AND(IFERROR(VALUE(I1004),0)=0,ISNUMBER(J1004),OR(J1004&lt;547,ABS(IFERROR(VALUE(LEFT(M1004,FIND("-",M1004)-1)),M1004))*100&lt;54700)),"Проверьте цену товара. Большинство товаров в выбранной категории стоят дороже 547","")))))),"")</f>
      </c>
    </row>
    <row r="1005">
      <c r="A1005" s="2" t="inlineStr">
        <is>
          <t/>
        </is>
      </c>
      <c r="B1005" s="2" t="inlineStr">
        <is>
          <t>Термосы</t>
        </is>
      </c>
      <c r="C1005" s="2">
        <v>600647781</v>
      </c>
      <c r="D1005" s="2" t="inlineStr">
        <is>
          <t>282117</t>
        </is>
      </c>
      <c r="E1005" s="2" t="inlineStr">
        <is>
          <t>2047129194768</t>
        </is>
      </c>
      <c r="F1005" s="2">
        <v>0</v>
      </c>
      <c r="G1005" s="2">
        <v>3</v>
      </c>
      <c r="H1005" s="2" t="inlineStr">
        <is>
          <t/>
        </is>
      </c>
      <c r="I1005" s="2" t="inlineStr">
        <is>
          <t>10724</t>
        </is>
      </c>
      <c r="J1005" s="4"/>
      <c r="K1005" s="2">
        <v>78</v>
      </c>
      <c r="L1005" s="6"/>
      <c r="M1005" s="2" t="str">
        <f>IF(J1005="",ROUND(I1005*(1-IF(ISBLANK(L1005),K1005,L1005)/100),2),ROUND(J1005*(1-IF(ISBLANK(L1005),K1005,L1005)/100),2))</f>
      </c>
      <c r="N1005" s="7" t="str">
        <f>IF(NOT(AND(J1005="",L1005="")),IF(OR(AND(L1005&lt;&gt;"",NOT(ISNUMBER(L1005))),IFERROR(MOD(L1005,1),1)&gt;0,AND(ISNUMBER(L1005),OR(L1005&lt;0,L1005&gt;95))),"Введите целое число от 0 до 95",IF(OR(AND(J1005&lt;&gt;"",NOT(ISNUMBER(J1005))),IFERROR(MOD(J1005,1),1)&gt;0,AND(ISNUMBER(J1005),OR(J1005&lt;50,J1005&gt;20000000))),"Введите целое число от 50 до 20000000",IF(NOT(ABS(IFERROR(VALUE(LEFT(M1005,FIND("-",M1005)-1)),M1005)*100-(2500+2000000000)/2)&lt;=ABS(2500-2000000000)/2),"Цена со скидкой должна быть от 25 до 20000000",IF(AND(IFERROR(VALUE(LEFT(M1005,FIND("-",M1005)-1)),M1005)*150&lt;=235927,IFERROR(VALUE(LEFT(M1005,FIND("-",M1005)-1)),M1005)*200&gt;235927),"Вы уменьшили цену в несколько раз, товар попадет в карантин цен",IF(IFERROR(VALUE(LEFT(M1005,FIND("-",M1005)-1)),M1005)*200&lt;=235927,"Не сохранили изменения, чтобы защитить от ошибки — новые цены меньше текущих более чем в 2 раза. Снижайте их постепенно",IF(AND(IFERROR(VALUE(I1005),0)=0,ISNUMBER(J1005),OR(J1005&lt;547,ABS(IFERROR(VALUE(LEFT(M1005,FIND("-",M1005)-1)),M1005))*100&lt;54700)),"Проверьте цену товара. Большинство товаров в выбранной категории стоят дороже 547","")))))),"")</f>
      </c>
    </row>
    <row r="1006">
      <c r="A1006" s="2" t="inlineStr">
        <is>
          <t/>
        </is>
      </c>
      <c r="B1006" s="2" t="inlineStr">
        <is>
          <t>Термосы</t>
        </is>
      </c>
      <c r="C1006" s="2">
        <v>600647778</v>
      </c>
      <c r="D1006" s="2" t="inlineStr">
        <is>
          <t>821555</t>
        </is>
      </c>
      <c r="E1006" s="2" t="inlineStr">
        <is>
          <t>2047129194737</t>
        </is>
      </c>
      <c r="F1006" s="2">
        <v>0</v>
      </c>
      <c r="G1006" s="2">
        <v>22</v>
      </c>
      <c r="H1006" s="2" t="inlineStr">
        <is>
          <t/>
        </is>
      </c>
      <c r="I1006" s="2" t="inlineStr">
        <is>
          <t>9432</t>
        </is>
      </c>
      <c r="J1006" s="4"/>
      <c r="K1006" s="2">
        <v>78</v>
      </c>
      <c r="L1006" s="6"/>
      <c r="M1006" s="2" t="str">
        <f>IF(J1006="",ROUND(I1006*(1-IF(ISBLANK(L1006),K1006,L1006)/100),2),ROUND(J1006*(1-IF(ISBLANK(L1006),K1006,L1006)/100),2))</f>
      </c>
      <c r="N1006" s="7" t="str">
        <f>IF(NOT(AND(J1006="",L1006="")),IF(OR(AND(L1006&lt;&gt;"",NOT(ISNUMBER(L1006))),IFERROR(MOD(L1006,1),1)&gt;0,AND(ISNUMBER(L1006),OR(L1006&lt;0,L1006&gt;95))),"Введите целое число от 0 до 95",IF(OR(AND(J1006&lt;&gt;"",NOT(ISNUMBER(J1006))),IFERROR(MOD(J1006,1),1)&gt;0,AND(ISNUMBER(J1006),OR(J1006&lt;50,J1006&gt;20000000))),"Введите целое число от 50 до 20000000",IF(NOT(ABS(IFERROR(VALUE(LEFT(M1006,FIND("-",M1006)-1)),M1006)*100-(2500+2000000000)/2)&lt;=ABS(2500-2000000000)/2),"Цена со скидкой должна быть от 25 до 20000000",IF(AND(IFERROR(VALUE(LEFT(M1006,FIND("-",M1006)-1)),M1006)*150&lt;=207504,IFERROR(VALUE(LEFT(M1006,FIND("-",M1006)-1)),M1006)*200&gt;207504),"Вы уменьшили цену в несколько раз, товар попадет в карантин цен",IF(IFERROR(VALUE(LEFT(M1006,FIND("-",M1006)-1)),M1006)*200&lt;=207504,"Не сохранили изменения, чтобы защитить от ошибки — новые цены меньше текущих более чем в 2 раза. Снижайте их постепенно",IF(AND(IFERROR(VALUE(I1006),0)=0,ISNUMBER(J1006),OR(J1006&lt;547,ABS(IFERROR(VALUE(LEFT(M1006,FIND("-",M1006)-1)),M1006))*100&lt;54700)),"Проверьте цену товара. Большинство товаров в выбранной категории стоят дороже 547","")))))),"")</f>
      </c>
    </row>
    <row r="1007">
      <c r="A1007" s="2" t="inlineStr">
        <is>
          <t/>
        </is>
      </c>
      <c r="B1007" s="2" t="inlineStr">
        <is>
          <t>Термосы</t>
        </is>
      </c>
      <c r="C1007" s="2">
        <v>765836591</v>
      </c>
      <c r="D1007" s="2" t="inlineStr">
        <is>
          <t>282772</t>
        </is>
      </c>
      <c r="E1007" s="2" t="inlineStr">
        <is>
          <t>2048427741784</t>
        </is>
      </c>
      <c r="F1007" s="2">
        <v>6</v>
      </c>
      <c r="G1007" s="2">
        <v>15</v>
      </c>
      <c r="H1007" s="2">
        <v>999</v>
      </c>
      <c r="I1007" s="2" t="inlineStr">
        <is>
          <t>7293</t>
        </is>
      </c>
      <c r="J1007" s="4"/>
      <c r="K1007" s="2">
        <v>80</v>
      </c>
      <c r="L1007" s="6"/>
      <c r="M1007" s="2" t="str">
        <f>IF(J1007="",ROUND(I1007*(1-IF(ISBLANK(L1007),K1007,L1007)/100),2),ROUND(J1007*(1-IF(ISBLANK(L1007),K1007,L1007)/100),2))</f>
      </c>
      <c r="N1007" s="7" t="str">
        <f>IF(NOT(AND(J1007="",L1007="")),IF(OR(AND(L1007&lt;&gt;"",NOT(ISNUMBER(L1007))),IFERROR(MOD(L1007,1),1)&gt;0,AND(ISNUMBER(L1007),OR(L1007&lt;0,L1007&gt;95))),"Введите целое число от 0 до 95",IF(OR(AND(J1007&lt;&gt;"",NOT(ISNUMBER(J1007))),IFERROR(MOD(J1007,1),1)&gt;0,AND(ISNUMBER(J1007),OR(J1007&lt;50,J1007&gt;20000000))),"Введите целое число от 50 до 20000000",IF(NOT(ABS(IFERROR(VALUE(LEFT(M1007,FIND("-",M1007)-1)),M1007)*100-(2500+2000000000)/2)&lt;=ABS(2500-2000000000)/2),"Цена со скидкой должна быть от 25 до 20000000",IF(AND(IFERROR(VALUE(LEFT(M1007,FIND("-",M1007)-1)),M1007)*150&lt;=145859,IFERROR(VALUE(LEFT(M1007,FIND("-",M1007)-1)),M1007)*200&gt;145859),"Вы уменьшили цену в несколько раз, товар попадет в карантин цен",IF(IFERROR(VALUE(LEFT(M1007,FIND("-",M1007)-1)),M1007)*200&lt;=145859,"Не сохранили изменения, чтобы защитить от ошибки — новые цены меньше текущих более чем в 2 раза. Снижайте их постепенно",IF(AND(IFERROR(VALUE(I1007),0)=0,ISNUMBER(J1007),OR(J1007&lt;547,ABS(IFERROR(VALUE(LEFT(M1007,FIND("-",M1007)-1)),M1007))*100&lt;54700)),"Проверьте цену товара. Большинство товаров в выбранной категории стоят дороже 547","")))))),"")</f>
      </c>
    </row>
    <row r="1008">
      <c r="A1008" s="2" t="inlineStr">
        <is>
          <t/>
        </is>
      </c>
      <c r="B1008" s="2" t="inlineStr">
        <is>
          <t>Термосы</t>
        </is>
      </c>
      <c r="C1008" s="2">
        <v>600647789</v>
      </c>
      <c r="D1008" s="2" t="inlineStr">
        <is>
          <t>281109</t>
        </is>
      </c>
      <c r="E1008" s="2" t="inlineStr">
        <is>
          <t>2047129194843</t>
        </is>
      </c>
      <c r="F1008" s="2">
        <v>0</v>
      </c>
      <c r="G1008" s="2">
        <v>0</v>
      </c>
      <c r="H1008" s="2" t="inlineStr">
        <is>
          <t/>
        </is>
      </c>
      <c r="I1008" s="2" t="inlineStr">
        <is>
          <t>11438</t>
        </is>
      </c>
      <c r="J1008" s="4"/>
      <c r="K1008" s="2">
        <v>65</v>
      </c>
      <c r="L1008" s="6"/>
      <c r="M1008" s="2" t="str">
        <f>IF(J1008="",ROUND(I1008*(1-IF(ISBLANK(L1008),K1008,L1008)/100),2),ROUND(J1008*(1-IF(ISBLANK(L1008),K1008,L1008)/100),2))</f>
      </c>
      <c r="N1008" s="7" t="str">
        <f>IF(NOT(AND(J1008="",L1008="")),IF(OR(AND(L1008&lt;&gt;"",NOT(ISNUMBER(L1008))),IFERROR(MOD(L1008,1),1)&gt;0,AND(ISNUMBER(L1008),OR(L1008&lt;0,L1008&gt;95))),"Введите целое число от 0 до 95",IF(OR(AND(J1008&lt;&gt;"",NOT(ISNUMBER(J1008))),IFERROR(MOD(J1008,1),1)&gt;0,AND(ISNUMBER(J1008),OR(J1008&lt;50,J1008&gt;20000000))),"Введите целое число от 50 до 20000000",IF(NOT(ABS(IFERROR(VALUE(LEFT(M1008,FIND("-",M1008)-1)),M1008)*100-(2500+2000000000)/2)&lt;=ABS(2500-2000000000)/2),"Цена со скидкой должна быть от 25 до 20000000",IF(AND(IFERROR(VALUE(LEFT(M1008,FIND("-",M1008)-1)),M1008)*150&lt;=400330,IFERROR(VALUE(LEFT(M1008,FIND("-",M1008)-1)),M1008)*200&gt;400330),"Вы уменьшили цену в несколько раз, товар попадет в карантин цен",IF(IFERROR(VALUE(LEFT(M1008,FIND("-",M1008)-1)),M1008)*200&lt;=400330,"Не сохранили изменения, чтобы защитить от ошибки — новые цены меньше текущих более чем в 2 раза. Снижайте их постепенно",IF(AND(IFERROR(VALUE(I1008),0)=0,ISNUMBER(J1008),OR(J1008&lt;547,ABS(IFERROR(VALUE(LEFT(M1008,FIND("-",M1008)-1)),M1008))*100&lt;54700)),"Проверьте цену товара. Большинство товаров в выбранной категории стоят дороже 547","")))))),"")</f>
      </c>
    </row>
    <row r="1009">
      <c r="A1009" s="2" t="inlineStr">
        <is>
          <t/>
        </is>
      </c>
      <c r="B1009" s="2" t="inlineStr">
        <is>
          <t>Термосы</t>
        </is>
      </c>
      <c r="C1009" s="2">
        <v>600647773</v>
      </c>
      <c r="D1009" s="2" t="inlineStr">
        <is>
          <t>820575</t>
        </is>
      </c>
      <c r="E1009" s="2" t="inlineStr">
        <is>
          <t>2047129194683</t>
        </is>
      </c>
      <c r="F1009" s="2">
        <v>0</v>
      </c>
      <c r="G1009" s="2">
        <v>2</v>
      </c>
      <c r="H1009" s="2" t="inlineStr">
        <is>
          <t/>
        </is>
      </c>
      <c r="I1009" s="2" t="inlineStr">
        <is>
          <t>9306</t>
        </is>
      </c>
      <c r="J1009" s="4"/>
      <c r="K1009" s="2">
        <v>75</v>
      </c>
      <c r="L1009" s="6"/>
      <c r="M1009" s="2" t="str">
        <f>IF(J1009="",ROUND(I1009*(1-IF(ISBLANK(L1009),K1009,L1009)/100),2),ROUND(J1009*(1-IF(ISBLANK(L1009),K1009,L1009)/100),2))</f>
      </c>
      <c r="N1009" s="7" t="str">
        <f>IF(NOT(AND(J1009="",L1009="")),IF(OR(AND(L1009&lt;&gt;"",NOT(ISNUMBER(L1009))),IFERROR(MOD(L1009,1),1)&gt;0,AND(ISNUMBER(L1009),OR(L1009&lt;0,L1009&gt;95))),"Введите целое число от 0 до 95",IF(OR(AND(J1009&lt;&gt;"",NOT(ISNUMBER(J1009))),IFERROR(MOD(J1009,1),1)&gt;0,AND(ISNUMBER(J1009),OR(J1009&lt;50,J1009&gt;20000000))),"Введите целое число от 50 до 20000000",IF(NOT(ABS(IFERROR(VALUE(LEFT(M1009,FIND("-",M1009)-1)),M1009)*100-(2500+2000000000)/2)&lt;=ABS(2500-2000000000)/2),"Цена со скидкой должна быть от 25 до 20000000",IF(AND(IFERROR(VALUE(LEFT(M1009,FIND("-",M1009)-1)),M1009)*150&lt;=232650,IFERROR(VALUE(LEFT(M1009,FIND("-",M1009)-1)),M1009)*200&gt;232650),"Вы уменьшили цену в несколько раз, товар попадет в карантин цен",IF(IFERROR(VALUE(LEFT(M1009,FIND("-",M1009)-1)),M1009)*200&lt;=232650,"Не сохранили изменения, чтобы защитить от ошибки — новые цены меньше текущих более чем в 2 раза. Снижайте их постепенно",IF(AND(IFERROR(VALUE(I1009),0)=0,ISNUMBER(J1009),OR(J1009&lt;547,ABS(IFERROR(VALUE(LEFT(M1009,FIND("-",M1009)-1)),M1009))*100&lt;54700)),"Проверьте цену товара. Большинство товаров в выбранной категории стоят дороже 547","")))))),"")</f>
      </c>
    </row>
    <row r="1010">
      <c r="A1010" s="2" t="inlineStr">
        <is>
          <t/>
        </is>
      </c>
      <c r="B1010" s="2" t="inlineStr">
        <is>
          <t>Наборы для песочницы</t>
        </is>
      </c>
      <c r="C1010" s="2">
        <v>765833886</v>
      </c>
      <c r="D1010" s="2" t="inlineStr">
        <is>
          <t>513058</t>
        </is>
      </c>
      <c r="E1010" s="2" t="inlineStr">
        <is>
          <t>2048427709036</t>
        </is>
      </c>
      <c r="F1010" s="2">
        <v>0</v>
      </c>
      <c r="G1010" s="2">
        <v>0</v>
      </c>
      <c r="H1010" s="2" t="inlineStr">
        <is>
          <t/>
        </is>
      </c>
      <c r="I1010" s="2" t="inlineStr">
        <is>
          <t>7398</t>
        </is>
      </c>
      <c r="J1010" s="4"/>
      <c r="K1010" s="2">
        <v>78</v>
      </c>
      <c r="L1010" s="6"/>
      <c r="M1010" s="2" t="str">
        <f>IF(J1010="",ROUND(I1010*(1-IF(ISBLANK(L1010),K1010,L1010)/100),2),ROUND(J1010*(1-IF(ISBLANK(L1010),K1010,L1010)/100),2))</f>
      </c>
      <c r="N1010" s="7" t="str">
        <f>IF(NOT(AND(J1010="",L1010="")),IF(OR(AND(L1010&lt;&gt;"",NOT(ISNUMBER(L1010))),IFERROR(MOD(L1010,1),1)&gt;0,AND(ISNUMBER(L1010),OR(L1010&lt;0,L1010&gt;95))),"Введите целое число от 0 до 95",IF(OR(AND(J1010&lt;&gt;"",NOT(ISNUMBER(J1010))),IFERROR(MOD(J1010,1),1)&gt;0,AND(ISNUMBER(J1010),OR(J1010&lt;50,J1010&gt;20000000))),"Введите целое число от 50 до 20000000",IF(NOT(ABS(IFERROR(VALUE(LEFT(M1010,FIND("-",M1010)-1)),M1010)*100-(2500+2000000000)/2)&lt;=ABS(2500-2000000000)/2),"Цена со скидкой должна быть от 25 до 20000000",IF(AND(IFERROR(VALUE(LEFT(M1010,FIND("-",M1010)-1)),M1010)*150&lt;=162755,IFERROR(VALUE(LEFT(M1010,FIND("-",M1010)-1)),M1010)*200&gt;162755),"Вы уменьшили цену в несколько раз, товар попадет в карантин цен",IF(IFERROR(VALUE(LEFT(M1010,FIND("-",M1010)-1)),M1010)*200&lt;=162755,"Не сохранили изменения, чтобы защитить от ошибки — новые цены меньше текущих более чем в 2 раза. Снижайте их постепенно",IF(AND(IFERROR(VALUE(I1010),0)=0,ISNUMBER(J1010),OR(J1010&lt;209,ABS(IFERROR(VALUE(LEFT(M1010,FIND("-",M1010)-1)),M1010))*100&lt;20900)),"Проверьте цену товара. Большинство товаров в выбранной категории стоят дороже 209","")))))),"")</f>
      </c>
    </row>
    <row r="1011">
      <c r="A1011" s="2" t="inlineStr">
        <is>
          <t/>
        </is>
      </c>
      <c r="B1011" s="2" t="inlineStr">
        <is>
          <t>Разделочные доски</t>
        </is>
      </c>
      <c r="C1011" s="2">
        <v>765854681</v>
      </c>
      <c r="D1011" s="2" t="inlineStr">
        <is>
          <t>93820</t>
        </is>
      </c>
      <c r="E1011" s="2" t="inlineStr">
        <is>
          <t>2048427915116</t>
        </is>
      </c>
      <c r="F1011" s="2">
        <v>20</v>
      </c>
      <c r="G1011" s="2">
        <v>44</v>
      </c>
      <c r="H1011" s="2">
        <v>999</v>
      </c>
      <c r="I1011" s="2" t="inlineStr">
        <is>
          <t>4052</t>
        </is>
      </c>
      <c r="J1011" s="4"/>
      <c r="K1011" s="2">
        <v>80</v>
      </c>
      <c r="L1011" s="6"/>
      <c r="M1011" s="2" t="str">
        <f>IF(J1011="",ROUND(I1011*(1-IF(ISBLANK(L1011),K1011,L1011)/100),2),ROUND(J1011*(1-IF(ISBLANK(L1011),K1011,L1011)/100),2))</f>
      </c>
      <c r="N1011" s="7" t="str">
        <f>IF(NOT(AND(J1011="",L1011="")),IF(OR(AND(L1011&lt;&gt;"",NOT(ISNUMBER(L1011))),IFERROR(MOD(L1011,1),1)&gt;0,AND(ISNUMBER(L1011),OR(L1011&lt;0,L1011&gt;95))),"Введите целое число от 0 до 95",IF(OR(AND(J1011&lt;&gt;"",NOT(ISNUMBER(J1011))),IFERROR(MOD(J1011,1),1)&gt;0,AND(ISNUMBER(J1011),OR(J1011&lt;50,J1011&gt;20000000))),"Введите целое число от 50 до 20000000",IF(NOT(ABS(IFERROR(VALUE(LEFT(M1011,FIND("-",M1011)-1)),M1011)*100-(2500+2000000000)/2)&lt;=ABS(2500-2000000000)/2),"Цена со скидкой должна быть от 25 до 20000000",IF(AND(IFERROR(VALUE(LEFT(M1011,FIND("-",M1011)-1)),M1011)*150&lt;=81039,IFERROR(VALUE(LEFT(M1011,FIND("-",M1011)-1)),M1011)*200&gt;81039),"Вы уменьшили цену в несколько раз, товар попадет в карантин цен",IF(IFERROR(VALUE(LEFT(M1011,FIND("-",M1011)-1)),M1011)*200&lt;=81039,"Не сохранили изменения, чтобы защитить от ошибки — новые цены меньше текущих более чем в 2 раза. Снижайте их постепенно",IF(AND(IFERROR(VALUE(I1011),0)=0,ISNUMBER(J1011),OR(J1011&lt;341,ABS(IFERROR(VALUE(LEFT(M1011,FIND("-",M1011)-1)),M1011))*100&lt;34100)),"Проверьте цену товара. Большинство товаров в выбранной категории стоят дороже 341","")))))),"")</f>
      </c>
    </row>
    <row r="1012">
      <c r="A1012" s="2" t="inlineStr">
        <is>
          <t/>
        </is>
      </c>
      <c r="B1012" s="2" t="inlineStr">
        <is>
          <t>Кухонные весы</t>
        </is>
      </c>
      <c r="C1012" s="2">
        <v>765845739</v>
      </c>
      <c r="D1012" s="2" t="inlineStr">
        <is>
          <t>192711</t>
        </is>
      </c>
      <c r="E1012" s="2" t="inlineStr">
        <is>
          <t>2048427842382</t>
        </is>
      </c>
      <c r="F1012" s="2">
        <v>5</v>
      </c>
      <c r="G1012" s="2">
        <v>14</v>
      </c>
      <c r="H1012" s="2">
        <v>999</v>
      </c>
      <c r="I1012" s="2" t="inlineStr">
        <is>
          <t>6440</t>
        </is>
      </c>
      <c r="J1012" s="4"/>
      <c r="K1012" s="2">
        <v>80</v>
      </c>
      <c r="L1012" s="6"/>
      <c r="M1012" s="2" t="str">
        <f>IF(J1012="",ROUND(I1012*(1-IF(ISBLANK(L1012),K1012,L1012)/100),2),ROUND(J1012*(1-IF(ISBLANK(L1012),K1012,L1012)/100),2))</f>
      </c>
      <c r="N1012" s="7" t="str">
        <f>IF(NOT(AND(J1012="",L1012="")),IF(OR(AND(L1012&lt;&gt;"",NOT(ISNUMBER(L1012))),IFERROR(MOD(L1012,1),1)&gt;0,AND(ISNUMBER(L1012),OR(L1012&lt;0,L1012&gt;95))),"Введите целое число от 0 до 95",IF(OR(AND(J1012&lt;&gt;"",NOT(ISNUMBER(J1012))),IFERROR(MOD(J1012,1),1)&gt;0,AND(ISNUMBER(J1012),OR(J1012&lt;50,J1012&gt;20000000))),"Введите целое число от 50 до 20000000",IF(NOT(ABS(IFERROR(VALUE(LEFT(M1012,FIND("-",M1012)-1)),M1012)*100-(2500+2000000000)/2)&lt;=ABS(2500-2000000000)/2),"Цена со скидкой должна быть от 25 до 20000000",IF(AND(IFERROR(VALUE(LEFT(M1012,FIND("-",M1012)-1)),M1012)*150&lt;=128799,IFERROR(VALUE(LEFT(M1012,FIND("-",M1012)-1)),M1012)*200&gt;128799),"Вы уменьшили цену в несколько раз, товар попадет в карантин цен",IF(IFERROR(VALUE(LEFT(M1012,FIND("-",M1012)-1)),M1012)*200&lt;=128799,"Не сохранили изменения, чтобы защитить от ошибки — новые цены меньше текущих более чем в 2 раза. Снижайте их постепенно",IF(AND(IFERROR(VALUE(I1012),0)=0,ISNUMBER(J1012),OR(J1012&lt;214,ABS(IFERROR(VALUE(LEFT(M1012,FIND("-",M1012)-1)),M1012))*100&lt;21400)),"Проверьте цену товара. Большинство товаров в выбранной категории стоят дороже 214","")))))),"")</f>
      </c>
    </row>
    <row r="1013">
      <c r="A1013" s="2" t="inlineStr">
        <is>
          <t/>
        </is>
      </c>
      <c r="B1013" s="2" t="inlineStr">
        <is>
          <t>Кухонные весы</t>
        </is>
      </c>
      <c r="C1013" s="2">
        <v>765845742</v>
      </c>
      <c r="D1013" s="2" t="inlineStr">
        <is>
          <t>192723</t>
        </is>
      </c>
      <c r="E1013" s="2" t="inlineStr">
        <is>
          <t>2048427842450</t>
        </is>
      </c>
      <c r="F1013" s="2">
        <v>10</v>
      </c>
      <c r="G1013" s="2">
        <v>11</v>
      </c>
      <c r="H1013" s="2">
        <v>315</v>
      </c>
      <c r="I1013" s="2" t="inlineStr">
        <is>
          <t>6687</t>
        </is>
      </c>
      <c r="J1013" s="4"/>
      <c r="K1013" s="2">
        <v>80</v>
      </c>
      <c r="L1013" s="6"/>
      <c r="M1013" s="2" t="str">
        <f>IF(J1013="",ROUND(I1013*(1-IF(ISBLANK(L1013),K1013,L1013)/100),2),ROUND(J1013*(1-IF(ISBLANK(L1013),K1013,L1013)/100),2))</f>
      </c>
      <c r="N1013" s="7" t="str">
        <f>IF(NOT(AND(J1013="",L1013="")),IF(OR(AND(L1013&lt;&gt;"",NOT(ISNUMBER(L1013))),IFERROR(MOD(L1013,1),1)&gt;0,AND(ISNUMBER(L1013),OR(L1013&lt;0,L1013&gt;95))),"Введите целое число от 0 до 95",IF(OR(AND(J1013&lt;&gt;"",NOT(ISNUMBER(J1013))),IFERROR(MOD(J1013,1),1)&gt;0,AND(ISNUMBER(J1013),OR(J1013&lt;50,J1013&gt;20000000))),"Введите целое число от 50 до 20000000",IF(NOT(ABS(IFERROR(VALUE(LEFT(M1013,FIND("-",M1013)-1)),M1013)*100-(2500+2000000000)/2)&lt;=ABS(2500-2000000000)/2),"Цена со скидкой должна быть от 25 до 20000000",IF(AND(IFERROR(VALUE(LEFT(M1013,FIND("-",M1013)-1)),M1013)*150&lt;=133739,IFERROR(VALUE(LEFT(M1013,FIND("-",M1013)-1)),M1013)*200&gt;133739),"Вы уменьшили цену в несколько раз, товар попадет в карантин цен",IF(IFERROR(VALUE(LEFT(M1013,FIND("-",M1013)-1)),M1013)*200&lt;=133739,"Не сохранили изменения, чтобы защитить от ошибки — новые цены меньше текущих более чем в 2 раза. Снижайте их постепенно",IF(AND(IFERROR(VALUE(I1013),0)=0,ISNUMBER(J1013),OR(J1013&lt;214,ABS(IFERROR(VALUE(LEFT(M1013,FIND("-",M1013)-1)),M1013))*100&lt;21400)),"Проверьте цену товара. Большинство товаров в выбранной категории стоят дороже 214","")))))),"")</f>
      </c>
    </row>
    <row r="1014">
      <c r="A1014" s="2" t="inlineStr">
        <is>
          <t/>
        </is>
      </c>
      <c r="B1014" s="2" t="inlineStr">
        <is>
          <t>Кухонные весы</t>
        </is>
      </c>
      <c r="C1014" s="2">
        <v>765845745</v>
      </c>
      <c r="D1014" s="2" t="inlineStr">
        <is>
          <t>192135</t>
        </is>
      </c>
      <c r="E1014" s="2" t="inlineStr">
        <is>
          <t>2048427842511</t>
        </is>
      </c>
      <c r="F1014" s="2">
        <v>4</v>
      </c>
      <c r="G1014" s="2">
        <v>7</v>
      </c>
      <c r="H1014" s="2">
        <v>999</v>
      </c>
      <c r="I1014" s="2" t="inlineStr">
        <is>
          <t>6833</t>
        </is>
      </c>
      <c r="J1014" s="4"/>
      <c r="K1014" s="2">
        <v>80</v>
      </c>
      <c r="L1014" s="6"/>
      <c r="M1014" s="2" t="str">
        <f>IF(J1014="",ROUND(I1014*(1-IF(ISBLANK(L1014),K1014,L1014)/100),2),ROUND(J1014*(1-IF(ISBLANK(L1014),K1014,L1014)/100),2))</f>
      </c>
      <c r="N1014" s="7" t="str">
        <f>IF(NOT(AND(J1014="",L1014="")),IF(OR(AND(L1014&lt;&gt;"",NOT(ISNUMBER(L1014))),IFERROR(MOD(L1014,1),1)&gt;0,AND(ISNUMBER(L1014),OR(L1014&lt;0,L1014&gt;95))),"Введите целое число от 0 до 95",IF(OR(AND(J1014&lt;&gt;"",NOT(ISNUMBER(J1014))),IFERROR(MOD(J1014,1),1)&gt;0,AND(ISNUMBER(J1014),OR(J1014&lt;50,J1014&gt;20000000))),"Введите целое число от 50 до 20000000",IF(NOT(ABS(IFERROR(VALUE(LEFT(M1014,FIND("-",M1014)-1)),M1014)*100-(2500+2000000000)/2)&lt;=ABS(2500-2000000000)/2),"Цена со скидкой должна быть от 25 до 20000000",IF(AND(IFERROR(VALUE(LEFT(M1014,FIND("-",M1014)-1)),M1014)*150&lt;=136659,IFERROR(VALUE(LEFT(M1014,FIND("-",M1014)-1)),M1014)*200&gt;136659),"Вы уменьшили цену в несколько раз, товар попадет в карантин цен",IF(IFERROR(VALUE(LEFT(M1014,FIND("-",M1014)-1)),M1014)*200&lt;=136659,"Не сохранили изменения, чтобы защитить от ошибки — новые цены меньше текущих более чем в 2 раза. Снижайте их постепенно",IF(AND(IFERROR(VALUE(I1014),0)=0,ISNUMBER(J1014),OR(J1014&lt;214,ABS(IFERROR(VALUE(LEFT(M1014,FIND("-",M1014)-1)),M1014))*100&lt;21400)),"Проверьте цену товара. Большинство товаров в выбранной категории стоят дороже 214","")))))),"")</f>
      </c>
    </row>
    <row r="1015">
      <c r="A1015" s="2" t="inlineStr">
        <is>
          <t/>
        </is>
      </c>
      <c r="B1015" s="2" t="inlineStr">
        <is>
          <t>Кухонные весы</t>
        </is>
      </c>
      <c r="C1015" s="2">
        <v>765845740</v>
      </c>
      <c r="D1015" s="2" t="inlineStr">
        <is>
          <t>192334</t>
        </is>
      </c>
      <c r="E1015" s="2" t="inlineStr">
        <is>
          <t>2048427842405</t>
        </is>
      </c>
      <c r="F1015" s="2">
        <v>0</v>
      </c>
      <c r="G1015" s="2">
        <v>9</v>
      </c>
      <c r="H1015" s="2" t="inlineStr">
        <is>
          <t/>
        </is>
      </c>
      <c r="I1015" s="2" t="inlineStr">
        <is>
          <t>5032</t>
        </is>
      </c>
      <c r="J1015" s="4"/>
      <c r="K1015" s="2">
        <v>78</v>
      </c>
      <c r="L1015" s="6"/>
      <c r="M1015" s="2" t="str">
        <f>IF(J1015="",ROUND(I1015*(1-IF(ISBLANK(L1015),K1015,L1015)/100),2),ROUND(J1015*(1-IF(ISBLANK(L1015),K1015,L1015)/100),2))</f>
      </c>
      <c r="N1015" s="7" t="str">
        <f>IF(NOT(AND(J1015="",L1015="")),IF(OR(AND(L1015&lt;&gt;"",NOT(ISNUMBER(L1015))),IFERROR(MOD(L1015,1),1)&gt;0,AND(ISNUMBER(L1015),OR(L1015&lt;0,L1015&gt;95))),"Введите целое число от 0 до 95",IF(OR(AND(J1015&lt;&gt;"",NOT(ISNUMBER(J1015))),IFERROR(MOD(J1015,1),1)&gt;0,AND(ISNUMBER(J1015),OR(J1015&lt;50,J1015&gt;20000000))),"Введите целое число от 50 до 20000000",IF(NOT(ABS(IFERROR(VALUE(LEFT(M1015,FIND("-",M1015)-1)),M1015)*100-(2500+2000000000)/2)&lt;=ABS(2500-2000000000)/2),"Цена со скидкой должна быть от 25 до 20000000",IF(AND(IFERROR(VALUE(LEFT(M1015,FIND("-",M1015)-1)),M1015)*150&lt;=110704,IFERROR(VALUE(LEFT(M1015,FIND("-",M1015)-1)),M1015)*200&gt;110704),"Вы уменьшили цену в несколько раз, товар попадет в карантин цен",IF(IFERROR(VALUE(LEFT(M1015,FIND("-",M1015)-1)),M1015)*200&lt;=110704,"Не сохранили изменения, чтобы защитить от ошибки — новые цены меньше текущих более чем в 2 раза. Снижайте их постепенно",IF(AND(IFERROR(VALUE(I1015),0)=0,ISNUMBER(J1015),OR(J1015&lt;214,ABS(IFERROR(VALUE(LEFT(M1015,FIND("-",M1015)-1)),M1015))*100&lt;21400)),"Проверьте цену товара. Большинство товаров в выбранной категории стоят дороже 214","")))))),"")</f>
      </c>
    </row>
    <row r="1016">
      <c r="A1016" s="2" t="inlineStr">
        <is>
          <t/>
        </is>
      </c>
      <c r="B1016" s="2" t="inlineStr">
        <is>
          <t>Кухонные весы</t>
        </is>
      </c>
      <c r="C1016" s="2">
        <v>765845736</v>
      </c>
      <c r="D1016" s="2" t="inlineStr">
        <is>
          <t>192707</t>
        </is>
      </c>
      <c r="E1016" s="2" t="inlineStr">
        <is>
          <t>2048427842320</t>
        </is>
      </c>
      <c r="F1016" s="2">
        <v>1</v>
      </c>
      <c r="G1016" s="2">
        <v>20</v>
      </c>
      <c r="H1016" s="2">
        <v>999</v>
      </c>
      <c r="I1016" s="2" t="inlineStr">
        <is>
          <t>7031</t>
        </is>
      </c>
      <c r="J1016" s="4"/>
      <c r="K1016" s="2">
        <v>81</v>
      </c>
      <c r="L1016" s="6"/>
      <c r="M1016" s="2" t="str">
        <f>IF(J1016="",ROUND(I1016*(1-IF(ISBLANK(L1016),K1016,L1016)/100),2),ROUND(J1016*(1-IF(ISBLANK(L1016),K1016,L1016)/100),2))</f>
      </c>
      <c r="N1016" s="7" t="str">
        <f>IF(NOT(AND(J1016="",L1016="")),IF(OR(AND(L1016&lt;&gt;"",NOT(ISNUMBER(L1016))),IFERROR(MOD(L1016,1),1)&gt;0,AND(ISNUMBER(L1016),OR(L1016&lt;0,L1016&gt;95))),"Введите целое число от 0 до 95",IF(OR(AND(J1016&lt;&gt;"",NOT(ISNUMBER(J1016))),IFERROR(MOD(J1016,1),1)&gt;0,AND(ISNUMBER(J1016),OR(J1016&lt;50,J1016&gt;20000000))),"Введите целое число от 50 до 20000000",IF(NOT(ABS(IFERROR(VALUE(LEFT(M1016,FIND("-",M1016)-1)),M1016)*100-(2500+2000000000)/2)&lt;=ABS(2500-2000000000)/2),"Цена со скидкой должна быть от 25 до 20000000",IF(AND(IFERROR(VALUE(LEFT(M1016,FIND("-",M1016)-1)),M1016)*150&lt;=133588,IFERROR(VALUE(LEFT(M1016,FIND("-",M1016)-1)),M1016)*200&gt;133588),"Вы уменьшили цену в несколько раз, товар попадет в карантин цен",IF(IFERROR(VALUE(LEFT(M1016,FIND("-",M1016)-1)),M1016)*200&lt;=133588,"Не сохранили изменения, чтобы защитить от ошибки — новые цены меньше текущих более чем в 2 раза. Снижайте их постепенно",IF(AND(IFERROR(VALUE(I1016),0)=0,ISNUMBER(J1016),OR(J1016&lt;214,ABS(IFERROR(VALUE(LEFT(M1016,FIND("-",M1016)-1)),M1016))*100&lt;21400)),"Проверьте цену товара. Большинство товаров в выбранной категории стоят дороже 214","")))))),"")</f>
      </c>
    </row>
    <row r="1017">
      <c r="A1017" s="2" t="inlineStr">
        <is>
          <t/>
        </is>
      </c>
      <c r="B1017" s="2" t="inlineStr">
        <is>
          <t>Кухонные весы</t>
        </is>
      </c>
      <c r="C1017" s="2">
        <v>765845744</v>
      </c>
      <c r="D1017" s="2" t="inlineStr">
        <is>
          <t>192106</t>
        </is>
      </c>
      <c r="E1017" s="2" t="inlineStr">
        <is>
          <t>2048427842504</t>
        </is>
      </c>
      <c r="F1017" s="2">
        <v>4</v>
      </c>
      <c r="G1017" s="2">
        <v>0</v>
      </c>
      <c r="H1017" s="2">
        <v>999</v>
      </c>
      <c r="I1017" s="2" t="inlineStr">
        <is>
          <t>6833</t>
        </is>
      </c>
      <c r="J1017" s="4"/>
      <c r="K1017" s="2">
        <v>80</v>
      </c>
      <c r="L1017" s="6"/>
      <c r="M1017" s="2" t="str">
        <f>IF(J1017="",ROUND(I1017*(1-IF(ISBLANK(L1017),K1017,L1017)/100),2),ROUND(J1017*(1-IF(ISBLANK(L1017),K1017,L1017)/100),2))</f>
      </c>
      <c r="N1017" s="7" t="str">
        <f>IF(NOT(AND(J1017="",L1017="")),IF(OR(AND(L1017&lt;&gt;"",NOT(ISNUMBER(L1017))),IFERROR(MOD(L1017,1),1)&gt;0,AND(ISNUMBER(L1017),OR(L1017&lt;0,L1017&gt;95))),"Введите целое число от 0 до 95",IF(OR(AND(J1017&lt;&gt;"",NOT(ISNUMBER(J1017))),IFERROR(MOD(J1017,1),1)&gt;0,AND(ISNUMBER(J1017),OR(J1017&lt;50,J1017&gt;20000000))),"Введите целое число от 50 до 20000000",IF(NOT(ABS(IFERROR(VALUE(LEFT(M1017,FIND("-",M1017)-1)),M1017)*100-(2500+2000000000)/2)&lt;=ABS(2500-2000000000)/2),"Цена со скидкой должна быть от 25 до 20000000",IF(AND(IFERROR(VALUE(LEFT(M1017,FIND("-",M1017)-1)),M1017)*150&lt;=136659,IFERROR(VALUE(LEFT(M1017,FIND("-",M1017)-1)),M1017)*200&gt;136659),"Вы уменьшили цену в несколько раз, товар попадет в карантин цен",IF(IFERROR(VALUE(LEFT(M1017,FIND("-",M1017)-1)),M1017)*200&lt;=136659,"Не сохранили изменения, чтобы защитить от ошибки — новые цены меньше текущих более чем в 2 раза. Снижайте их постепенно",IF(AND(IFERROR(VALUE(I1017),0)=0,ISNUMBER(J1017),OR(J1017&lt;214,ABS(IFERROR(VALUE(LEFT(M1017,FIND("-",M1017)-1)),M1017))*100&lt;21400)),"Проверьте цену товара. Большинство товаров в выбранной категории стоят дороже 214","")))))),"")</f>
      </c>
    </row>
    <row r="1018">
      <c r="A1018" s="2" t="inlineStr">
        <is>
          <t/>
        </is>
      </c>
      <c r="B1018" s="2" t="inlineStr">
        <is>
          <t>Кухонные весы</t>
        </is>
      </c>
      <c r="C1018" s="2">
        <v>765845743</v>
      </c>
      <c r="D1018" s="2" t="inlineStr">
        <is>
          <t>192717</t>
        </is>
      </c>
      <c r="E1018" s="2" t="inlineStr">
        <is>
          <t>2048427842481</t>
        </is>
      </c>
      <c r="F1018" s="2">
        <v>2</v>
      </c>
      <c r="G1018" s="2">
        <v>0</v>
      </c>
      <c r="H1018" s="2">
        <v>999</v>
      </c>
      <c r="I1018" s="2" t="inlineStr">
        <is>
          <t>5800</t>
        </is>
      </c>
      <c r="J1018" s="4"/>
      <c r="K1018" s="2">
        <v>81</v>
      </c>
      <c r="L1018" s="6"/>
      <c r="M1018" s="2" t="str">
        <f>IF(J1018="",ROUND(I1018*(1-IF(ISBLANK(L1018),K1018,L1018)/100),2),ROUND(J1018*(1-IF(ISBLANK(L1018),K1018,L1018)/100),2))</f>
      </c>
      <c r="N1018" s="7" t="str">
        <f>IF(NOT(AND(J1018="",L1018="")),IF(OR(AND(L1018&lt;&gt;"",NOT(ISNUMBER(L1018))),IFERROR(MOD(L1018,1),1)&gt;0,AND(ISNUMBER(L1018),OR(L1018&lt;0,L1018&gt;95))),"Введите целое число от 0 до 95",IF(OR(AND(J1018&lt;&gt;"",NOT(ISNUMBER(J1018))),IFERROR(MOD(J1018,1),1)&gt;0,AND(ISNUMBER(J1018),OR(J1018&lt;50,J1018&gt;20000000))),"Введите целое число от 50 до 20000000",IF(NOT(ABS(IFERROR(VALUE(LEFT(M1018,FIND("-",M1018)-1)),M1018)*100-(2500+2000000000)/2)&lt;=ABS(2500-2000000000)/2),"Цена со скидкой должна быть от 25 до 20000000",IF(AND(IFERROR(VALUE(LEFT(M1018,FIND("-",M1018)-1)),M1018)*150&lt;=110199,IFERROR(VALUE(LEFT(M1018,FIND("-",M1018)-1)),M1018)*200&gt;110199),"Вы уменьшили цену в несколько раз, товар попадет в карантин цен",IF(IFERROR(VALUE(LEFT(M1018,FIND("-",M1018)-1)),M1018)*200&lt;=110199,"Не сохранили изменения, чтобы защитить от ошибки — новые цены меньше текущих более чем в 2 раза. Снижайте их постепенно",IF(AND(IFERROR(VALUE(I1018),0)=0,ISNUMBER(J1018),OR(J1018&lt;214,ABS(IFERROR(VALUE(LEFT(M1018,FIND("-",M1018)-1)),M1018))*100&lt;21400)),"Проверьте цену товара. Большинство товаров в выбранной категории стоят дороже 214","")))))),"")</f>
      </c>
    </row>
    <row r="1019">
      <c r="A1019" s="2" t="inlineStr">
        <is>
          <t/>
        </is>
      </c>
      <c r="B1019" s="2" t="inlineStr">
        <is>
          <t>Кухонные весы</t>
        </is>
      </c>
      <c r="C1019" s="2">
        <v>765845735</v>
      </c>
      <c r="D1019" s="2" t="inlineStr">
        <is>
          <t>192105</t>
        </is>
      </c>
      <c r="E1019" s="2" t="inlineStr">
        <is>
          <t>2048427842276</t>
        </is>
      </c>
      <c r="F1019" s="2">
        <v>4</v>
      </c>
      <c r="G1019" s="2">
        <v>1</v>
      </c>
      <c r="H1019" s="2">
        <v>999</v>
      </c>
      <c r="I1019" s="2" t="inlineStr">
        <is>
          <t>6833</t>
        </is>
      </c>
      <c r="J1019" s="4"/>
      <c r="K1019" s="2">
        <v>80</v>
      </c>
      <c r="L1019" s="6"/>
      <c r="M1019" s="2" t="str">
        <f>IF(J1019="",ROUND(I1019*(1-IF(ISBLANK(L1019),K1019,L1019)/100),2),ROUND(J1019*(1-IF(ISBLANK(L1019),K1019,L1019)/100),2))</f>
      </c>
      <c r="N1019" s="7" t="str">
        <f>IF(NOT(AND(J1019="",L1019="")),IF(OR(AND(L1019&lt;&gt;"",NOT(ISNUMBER(L1019))),IFERROR(MOD(L1019,1),1)&gt;0,AND(ISNUMBER(L1019),OR(L1019&lt;0,L1019&gt;95))),"Введите целое число от 0 до 95",IF(OR(AND(J1019&lt;&gt;"",NOT(ISNUMBER(J1019))),IFERROR(MOD(J1019,1),1)&gt;0,AND(ISNUMBER(J1019),OR(J1019&lt;50,J1019&gt;20000000))),"Введите целое число от 50 до 20000000",IF(NOT(ABS(IFERROR(VALUE(LEFT(M1019,FIND("-",M1019)-1)),M1019)*100-(2500+2000000000)/2)&lt;=ABS(2500-2000000000)/2),"Цена со скидкой должна быть от 25 до 20000000",IF(AND(IFERROR(VALUE(LEFT(M1019,FIND("-",M1019)-1)),M1019)*150&lt;=136659,IFERROR(VALUE(LEFT(M1019,FIND("-",M1019)-1)),M1019)*200&gt;136659),"Вы уменьшили цену в несколько раз, товар попадет в карантин цен",IF(IFERROR(VALUE(LEFT(M1019,FIND("-",M1019)-1)),M1019)*200&lt;=136659,"Не сохранили изменения, чтобы защитить от ошибки — новые цены меньше текущих более чем в 2 раза. Снижайте их постепенно",IF(AND(IFERROR(VALUE(I1019),0)=0,ISNUMBER(J1019),OR(J1019&lt;214,ABS(IFERROR(VALUE(LEFT(M1019,FIND("-",M1019)-1)),M1019))*100&lt;21400)),"Проверьте цену товара. Большинство товаров в выбранной категории стоят дороже 214","")))))),"")</f>
      </c>
    </row>
    <row r="1020">
      <c r="A1020" s="2" t="inlineStr">
        <is>
          <t/>
        </is>
      </c>
      <c r="B1020" s="2" t="inlineStr">
        <is>
          <t>Кухонные весы</t>
        </is>
      </c>
      <c r="C1020" s="2">
        <v>765845738</v>
      </c>
      <c r="D1020" s="2" t="inlineStr">
        <is>
          <t>192709</t>
        </is>
      </c>
      <c r="E1020" s="2" t="inlineStr">
        <is>
          <t>2048427842368</t>
        </is>
      </c>
      <c r="F1020" s="2">
        <v>4</v>
      </c>
      <c r="G1020" s="2">
        <v>0</v>
      </c>
      <c r="H1020" s="2">
        <v>999</v>
      </c>
      <c r="I1020" s="2" t="inlineStr">
        <is>
          <t>6913</t>
        </is>
      </c>
      <c r="J1020" s="4"/>
      <c r="K1020" s="2">
        <v>80</v>
      </c>
      <c r="L1020" s="6"/>
      <c r="M1020" s="2" t="str">
        <f>IF(J1020="",ROUND(I1020*(1-IF(ISBLANK(L1020),K1020,L1020)/100),2),ROUND(J1020*(1-IF(ISBLANK(L1020),K1020,L1020)/100),2))</f>
      </c>
      <c r="N1020" s="7" t="str">
        <f>IF(NOT(AND(J1020="",L1020="")),IF(OR(AND(L1020&lt;&gt;"",NOT(ISNUMBER(L1020))),IFERROR(MOD(L1020,1),1)&gt;0,AND(ISNUMBER(L1020),OR(L1020&lt;0,L1020&gt;95))),"Введите целое число от 0 до 95",IF(OR(AND(J1020&lt;&gt;"",NOT(ISNUMBER(J1020))),IFERROR(MOD(J1020,1),1)&gt;0,AND(ISNUMBER(J1020),OR(J1020&lt;50,J1020&gt;20000000))),"Введите целое число от 50 до 20000000",IF(NOT(ABS(IFERROR(VALUE(LEFT(M1020,FIND("-",M1020)-1)),M1020)*100-(2500+2000000000)/2)&lt;=ABS(2500-2000000000)/2),"Цена со скидкой должна быть от 25 до 20000000",IF(AND(IFERROR(VALUE(LEFT(M1020,FIND("-",M1020)-1)),M1020)*150&lt;=138259,IFERROR(VALUE(LEFT(M1020,FIND("-",M1020)-1)),M1020)*200&gt;138259),"Вы уменьшили цену в несколько раз, товар попадет в карантин цен",IF(IFERROR(VALUE(LEFT(M1020,FIND("-",M1020)-1)),M1020)*200&lt;=138259,"Не сохранили изменения, чтобы защитить от ошибки — новые цены меньше текущих более чем в 2 раза. Снижайте их постепенно",IF(AND(IFERROR(VALUE(I1020),0)=0,ISNUMBER(J1020),OR(J1020&lt;214,ABS(IFERROR(VALUE(LEFT(M1020,FIND("-",M1020)-1)),M1020))*100&lt;21400)),"Проверьте цену товара. Большинство товаров в выбранной категории стоят дороже 214","")))))),"")</f>
      </c>
    </row>
    <row r="1021">
      <c r="A1021" s="2" t="inlineStr">
        <is>
          <t/>
        </is>
      </c>
      <c r="B1021" s="2" t="inlineStr">
        <is>
          <t>Разделочные доски</t>
        </is>
      </c>
      <c r="C1021" s="2">
        <v>765854682</v>
      </c>
      <c r="D1021" s="2" t="inlineStr">
        <is>
          <t>93455</t>
        </is>
      </c>
      <c r="E1021" s="2" t="inlineStr">
        <is>
          <t>2048427915178</t>
        </is>
      </c>
      <c r="F1021" s="2">
        <v>15</v>
      </c>
      <c r="G1021" s="2">
        <v>14</v>
      </c>
      <c r="H1021" s="2">
        <v>999</v>
      </c>
      <c r="I1021" s="2" t="inlineStr">
        <is>
          <t>4570</t>
        </is>
      </c>
      <c r="J1021" s="4"/>
      <c r="K1021" s="2">
        <v>81</v>
      </c>
      <c r="L1021" s="6"/>
      <c r="M1021" s="2" t="str">
        <f>IF(J1021="",ROUND(I1021*(1-IF(ISBLANK(L1021),K1021,L1021)/100),2),ROUND(J1021*(1-IF(ISBLANK(L1021),K1021,L1021)/100),2))</f>
      </c>
      <c r="N1021" s="7" t="str">
        <f>IF(NOT(AND(J1021="",L1021="")),IF(OR(AND(L1021&lt;&gt;"",NOT(ISNUMBER(L1021))),IFERROR(MOD(L1021,1),1)&gt;0,AND(ISNUMBER(L1021),OR(L1021&lt;0,L1021&gt;95))),"Введите целое число от 0 до 95",IF(OR(AND(J1021&lt;&gt;"",NOT(ISNUMBER(J1021))),IFERROR(MOD(J1021,1),1)&gt;0,AND(ISNUMBER(J1021),OR(J1021&lt;50,J1021&gt;20000000))),"Введите целое число от 50 до 20000000",IF(NOT(ABS(IFERROR(VALUE(LEFT(M1021,FIND("-",M1021)-1)),M1021)*100-(2500+2000000000)/2)&lt;=ABS(2500-2000000000)/2),"Цена со скидкой должна быть от 25 до 20000000",IF(AND(IFERROR(VALUE(LEFT(M1021,FIND("-",M1021)-1)),M1021)*150&lt;=86829,IFERROR(VALUE(LEFT(M1021,FIND("-",M1021)-1)),M1021)*200&gt;86829),"Вы уменьшили цену в несколько раз, товар попадет в карантин цен",IF(IFERROR(VALUE(LEFT(M1021,FIND("-",M1021)-1)),M1021)*200&lt;=86829,"Не сохранили изменения, чтобы защитить от ошибки — новые цены меньше текущих более чем в 2 раза. Снижайте их постепенно",IF(AND(IFERROR(VALUE(I1021),0)=0,ISNUMBER(J1021),OR(J1021&lt;341,ABS(IFERROR(VALUE(LEFT(M1021,FIND("-",M1021)-1)),M1021))*100&lt;34100)),"Проверьте цену товара. Большинство товаров в выбранной категории стоят дороже 341","")))))),"")</f>
      </c>
    </row>
    <row r="1022">
      <c r="A1022" s="2" t="inlineStr">
        <is>
          <t/>
        </is>
      </c>
      <c r="B1022" s="2" t="inlineStr">
        <is>
          <t>Разделочные доски</t>
        </is>
      </c>
      <c r="C1022" s="2">
        <v>765854677</v>
      </c>
      <c r="D1022" s="2" t="inlineStr">
        <is>
          <t>93639</t>
        </is>
      </c>
      <c r="E1022" s="2" t="inlineStr">
        <is>
          <t>2048427915048</t>
        </is>
      </c>
      <c r="F1022" s="2">
        <v>4</v>
      </c>
      <c r="G1022" s="2">
        <v>44</v>
      </c>
      <c r="H1022" s="2">
        <v>72</v>
      </c>
      <c r="I1022" s="2" t="inlineStr">
        <is>
          <t>4828</t>
        </is>
      </c>
      <c r="J1022" s="4"/>
      <c r="K1022" s="2">
        <v>80</v>
      </c>
      <c r="L1022" s="6"/>
      <c r="M1022" s="2" t="str">
        <f>IF(J1022="",ROUND(I1022*(1-IF(ISBLANK(L1022),K1022,L1022)/100),2),ROUND(J1022*(1-IF(ISBLANK(L1022),K1022,L1022)/100),2))</f>
      </c>
      <c r="N1022" s="7" t="str">
        <f>IF(NOT(AND(J1022="",L1022="")),IF(OR(AND(L1022&lt;&gt;"",NOT(ISNUMBER(L1022))),IFERROR(MOD(L1022,1),1)&gt;0,AND(ISNUMBER(L1022),OR(L1022&lt;0,L1022&gt;95))),"Введите целое число от 0 до 95",IF(OR(AND(J1022&lt;&gt;"",NOT(ISNUMBER(J1022))),IFERROR(MOD(J1022,1),1)&gt;0,AND(ISNUMBER(J1022),OR(J1022&lt;50,J1022&gt;20000000))),"Введите целое число от 50 до 20000000",IF(NOT(ABS(IFERROR(VALUE(LEFT(M1022,FIND("-",M1022)-1)),M1022)*100-(2500+2000000000)/2)&lt;=ABS(2500-2000000000)/2),"Цена со скидкой должна быть от 25 до 20000000",IF(AND(IFERROR(VALUE(LEFT(M1022,FIND("-",M1022)-1)),M1022)*150&lt;=96559,IFERROR(VALUE(LEFT(M1022,FIND("-",M1022)-1)),M1022)*200&gt;96559),"Вы уменьшили цену в несколько раз, товар попадет в карантин цен",IF(IFERROR(VALUE(LEFT(M1022,FIND("-",M1022)-1)),M1022)*200&lt;=96559,"Не сохранили изменения, чтобы защитить от ошибки — новые цены меньше текущих более чем в 2 раза. Снижайте их постепенно",IF(AND(IFERROR(VALUE(I1022),0)=0,ISNUMBER(J1022),OR(J1022&lt;341,ABS(IFERROR(VALUE(LEFT(M1022,FIND("-",M1022)-1)),M1022))*100&lt;34100)),"Проверьте цену товара. Большинство товаров в выбранной категории стоят дороже 341","")))))),"")</f>
      </c>
    </row>
    <row r="1023">
      <c r="A1023" s="2" t="inlineStr">
        <is>
          <t/>
        </is>
      </c>
      <c r="B1023" s="2" t="inlineStr">
        <is>
          <t>Разделочные доски</t>
        </is>
      </c>
      <c r="C1023" s="2">
        <v>765854687</v>
      </c>
      <c r="D1023" s="2" t="inlineStr">
        <is>
          <t>457451</t>
        </is>
      </c>
      <c r="E1023" s="2" t="inlineStr">
        <is>
          <t>2048427915291</t>
        </is>
      </c>
      <c r="F1023" s="2">
        <v>5</v>
      </c>
      <c r="G1023" s="2">
        <v>0</v>
      </c>
      <c r="H1023" s="2">
        <v>999</v>
      </c>
      <c r="I1023" s="2" t="inlineStr">
        <is>
          <t>5511</t>
        </is>
      </c>
      <c r="J1023" s="4"/>
      <c r="K1023" s="2">
        <v>79</v>
      </c>
      <c r="L1023" s="6"/>
      <c r="M1023" s="2" t="str">
        <f>IF(J1023="",ROUND(I1023*(1-IF(ISBLANK(L1023),K1023,L1023)/100),2),ROUND(J1023*(1-IF(ISBLANK(L1023),K1023,L1023)/100),2))</f>
      </c>
      <c r="N1023" s="7" t="str">
        <f>IF(NOT(AND(J1023="",L1023="")),IF(OR(AND(L1023&lt;&gt;"",NOT(ISNUMBER(L1023))),IFERROR(MOD(L1023,1),1)&gt;0,AND(ISNUMBER(L1023),OR(L1023&lt;0,L1023&gt;95))),"Введите целое число от 0 до 95",IF(OR(AND(J1023&lt;&gt;"",NOT(ISNUMBER(J1023))),IFERROR(MOD(J1023,1),1)&gt;0,AND(ISNUMBER(J1023),OR(J1023&lt;50,J1023&gt;20000000))),"Введите целое число от 50 до 20000000",IF(NOT(ABS(IFERROR(VALUE(LEFT(M1023,FIND("-",M1023)-1)),M1023)*100-(2500+2000000000)/2)&lt;=ABS(2500-2000000000)/2),"Цена со скидкой должна быть от 25 до 20000000",IF(AND(IFERROR(VALUE(LEFT(M1023,FIND("-",M1023)-1)),M1023)*150&lt;=115730,IFERROR(VALUE(LEFT(M1023,FIND("-",M1023)-1)),M1023)*200&gt;115730),"Вы уменьшили цену в несколько раз, товар попадет в карантин цен",IF(IFERROR(VALUE(LEFT(M1023,FIND("-",M1023)-1)),M1023)*200&lt;=115730,"Не сохранили изменения, чтобы защитить от ошибки — новые цены меньше текущих более чем в 2 раза. Снижайте их постепенно",IF(AND(IFERROR(VALUE(I1023),0)=0,ISNUMBER(J1023),OR(J1023&lt;341,ABS(IFERROR(VALUE(LEFT(M1023,FIND("-",M1023)-1)),M1023))*100&lt;34100)),"Проверьте цену товара. Большинство товаров в выбранной категории стоят дороже 341","")))))),"")</f>
      </c>
    </row>
    <row r="1024">
      <c r="A1024" s="2" t="inlineStr">
        <is>
          <t/>
        </is>
      </c>
      <c r="B1024" s="2" t="inlineStr">
        <is>
          <t>Кухонные весы</t>
        </is>
      </c>
      <c r="C1024" s="2">
        <v>765845741</v>
      </c>
      <c r="D1024" s="2" t="inlineStr">
        <is>
          <t>190228</t>
        </is>
      </c>
      <c r="E1024" s="2" t="inlineStr">
        <is>
          <t>2048427842429</t>
        </is>
      </c>
      <c r="F1024" s="2">
        <v>0</v>
      </c>
      <c r="G1024" s="2">
        <v>2</v>
      </c>
      <c r="H1024" s="2" t="inlineStr">
        <is>
          <t/>
        </is>
      </c>
      <c r="I1024" s="2" t="inlineStr">
        <is>
          <t>4921</t>
        </is>
      </c>
      <c r="J1024" s="4"/>
      <c r="K1024" s="2">
        <v>78</v>
      </c>
      <c r="L1024" s="6"/>
      <c r="M1024" s="2" t="str">
        <f>IF(J1024="",ROUND(I1024*(1-IF(ISBLANK(L1024),K1024,L1024)/100),2),ROUND(J1024*(1-IF(ISBLANK(L1024),K1024,L1024)/100),2))</f>
      </c>
      <c r="N1024" s="7" t="str">
        <f>IF(NOT(AND(J1024="",L1024="")),IF(OR(AND(L1024&lt;&gt;"",NOT(ISNUMBER(L1024))),IFERROR(MOD(L1024,1),1)&gt;0,AND(ISNUMBER(L1024),OR(L1024&lt;0,L1024&gt;95))),"Введите целое число от 0 до 95",IF(OR(AND(J1024&lt;&gt;"",NOT(ISNUMBER(J1024))),IFERROR(MOD(J1024,1),1)&gt;0,AND(ISNUMBER(J1024),OR(J1024&lt;50,J1024&gt;20000000))),"Введите целое число от 50 до 20000000",IF(NOT(ABS(IFERROR(VALUE(LEFT(M1024,FIND("-",M1024)-1)),M1024)*100-(2500+2000000000)/2)&lt;=ABS(2500-2000000000)/2),"Цена со скидкой должна быть от 25 до 20000000",IF(AND(IFERROR(VALUE(LEFT(M1024,FIND("-",M1024)-1)),M1024)*150&lt;=108261,IFERROR(VALUE(LEFT(M1024,FIND("-",M1024)-1)),M1024)*200&gt;108261),"Вы уменьшили цену в несколько раз, товар попадет в карантин цен",IF(IFERROR(VALUE(LEFT(M1024,FIND("-",M1024)-1)),M1024)*200&lt;=108261,"Не сохранили изменения, чтобы защитить от ошибки — новые цены меньше текущих более чем в 2 раза. Снижайте их постепенно",IF(AND(IFERROR(VALUE(I1024),0)=0,ISNUMBER(J1024),OR(J1024&lt;214,ABS(IFERROR(VALUE(LEFT(M1024,FIND("-",M1024)-1)),M1024))*100&lt;21400)),"Проверьте цену товара. Большинство товаров в выбранной категории стоят дороже 214","")))))),"")</f>
      </c>
    </row>
    <row r="1025">
      <c r="A1025" s="2" t="inlineStr">
        <is>
          <t/>
        </is>
      </c>
      <c r="B1025" s="2" t="inlineStr">
        <is>
          <t>Кухонные весы</t>
        </is>
      </c>
      <c r="C1025" s="2">
        <v>765845737</v>
      </c>
      <c r="D1025" s="2" t="inlineStr">
        <is>
          <t>192708</t>
        </is>
      </c>
      <c r="E1025" s="2" t="inlineStr">
        <is>
          <t>2048427842344</t>
        </is>
      </c>
      <c r="F1025" s="2">
        <v>0</v>
      </c>
      <c r="G1025" s="2">
        <v>9</v>
      </c>
      <c r="H1025" s="2" t="inlineStr">
        <is>
          <t/>
        </is>
      </c>
      <c r="I1025" s="2" t="inlineStr">
        <is>
          <t>7031</t>
        </is>
      </c>
      <c r="J1025" s="4"/>
      <c r="K1025" s="2">
        <v>78</v>
      </c>
      <c r="L1025" s="6"/>
      <c r="M1025" s="2" t="str">
        <f>IF(J1025="",ROUND(I1025*(1-IF(ISBLANK(L1025),K1025,L1025)/100),2),ROUND(J1025*(1-IF(ISBLANK(L1025),K1025,L1025)/100),2))</f>
      </c>
      <c r="N1025" s="7" t="str">
        <f>IF(NOT(AND(J1025="",L1025="")),IF(OR(AND(L1025&lt;&gt;"",NOT(ISNUMBER(L1025))),IFERROR(MOD(L1025,1),1)&gt;0,AND(ISNUMBER(L1025),OR(L1025&lt;0,L1025&gt;95))),"Введите целое число от 0 до 95",IF(OR(AND(J1025&lt;&gt;"",NOT(ISNUMBER(J1025))),IFERROR(MOD(J1025,1),1)&gt;0,AND(ISNUMBER(J1025),OR(J1025&lt;50,J1025&gt;20000000))),"Введите целое число от 50 до 20000000",IF(NOT(ABS(IFERROR(VALUE(LEFT(M1025,FIND("-",M1025)-1)),M1025)*100-(2500+2000000000)/2)&lt;=ABS(2500-2000000000)/2),"Цена со скидкой должна быть от 25 до 20000000",IF(AND(IFERROR(VALUE(LEFT(M1025,FIND("-",M1025)-1)),M1025)*150&lt;=154681,IFERROR(VALUE(LEFT(M1025,FIND("-",M1025)-1)),M1025)*200&gt;154681),"Вы уменьшили цену в несколько раз, товар попадет в карантин цен",IF(IFERROR(VALUE(LEFT(M1025,FIND("-",M1025)-1)),M1025)*200&lt;=154681,"Не сохранили изменения, чтобы защитить от ошибки — новые цены меньше текущих более чем в 2 раза. Снижайте их постепенно",IF(AND(IFERROR(VALUE(I1025),0)=0,ISNUMBER(J1025),OR(J1025&lt;214,ABS(IFERROR(VALUE(LEFT(M1025,FIND("-",M1025)-1)),M1025))*100&lt;21400)),"Проверьте цену товара. Большинство товаров в выбранной категории стоят дороже 214","")))))),"")</f>
      </c>
    </row>
    <row r="1026">
      <c r="A1026" s="2" t="inlineStr">
        <is>
          <t/>
        </is>
      </c>
      <c r="B1026" s="2" t="inlineStr">
        <is>
          <t>Разделочные доски</t>
        </is>
      </c>
      <c r="C1026" s="2">
        <v>765854685</v>
      </c>
      <c r="D1026" s="2" t="inlineStr">
        <is>
          <t>93824</t>
        </is>
      </c>
      <c r="E1026" s="2" t="inlineStr">
        <is>
          <t>2048427915222</t>
        </is>
      </c>
      <c r="F1026" s="2">
        <v>11</v>
      </c>
      <c r="G1026" s="2">
        <v>11</v>
      </c>
      <c r="H1026" s="2">
        <v>999</v>
      </c>
      <c r="I1026" s="2" t="inlineStr">
        <is>
          <t>5007</t>
        </is>
      </c>
      <c r="J1026" s="4"/>
      <c r="K1026" s="2">
        <v>79</v>
      </c>
      <c r="L1026" s="6"/>
      <c r="M1026" s="2" t="str">
        <f>IF(J1026="",ROUND(I1026*(1-IF(ISBLANK(L1026),K1026,L1026)/100),2),ROUND(J1026*(1-IF(ISBLANK(L1026),K1026,L1026)/100),2))</f>
      </c>
      <c r="N1026" s="7" t="str">
        <f>IF(NOT(AND(J1026="",L1026="")),IF(OR(AND(L1026&lt;&gt;"",NOT(ISNUMBER(L1026))),IFERROR(MOD(L1026,1),1)&gt;0,AND(ISNUMBER(L1026),OR(L1026&lt;0,L1026&gt;95))),"Введите целое число от 0 до 95",IF(OR(AND(J1026&lt;&gt;"",NOT(ISNUMBER(J1026))),IFERROR(MOD(J1026,1),1)&gt;0,AND(ISNUMBER(J1026),OR(J1026&lt;50,J1026&gt;20000000))),"Введите целое число от 50 до 20000000",IF(NOT(ABS(IFERROR(VALUE(LEFT(M1026,FIND("-",M1026)-1)),M1026)*100-(2500+2000000000)/2)&lt;=ABS(2500-2000000000)/2),"Цена со скидкой должна быть от 25 до 20000000",IF(AND(IFERROR(VALUE(LEFT(M1026,FIND("-",M1026)-1)),M1026)*150&lt;=105146,IFERROR(VALUE(LEFT(M1026,FIND("-",M1026)-1)),M1026)*200&gt;105146),"Вы уменьшили цену в несколько раз, товар попадет в карантин цен",IF(IFERROR(VALUE(LEFT(M1026,FIND("-",M1026)-1)),M1026)*200&lt;=105146,"Не сохранили изменения, чтобы защитить от ошибки — новые цены меньше текущих более чем в 2 раза. Снижайте их постепенно",IF(AND(IFERROR(VALUE(I1026),0)=0,ISNUMBER(J1026),OR(J1026&lt;341,ABS(IFERROR(VALUE(LEFT(M1026,FIND("-",M1026)-1)),M1026))*100&lt;34100)),"Проверьте цену товара. Большинство товаров в выбранной категории стоят дороже 341","")))))),"")</f>
      </c>
    </row>
    <row r="1027">
      <c r="A1027" s="2" t="inlineStr">
        <is>
          <t/>
        </is>
      </c>
      <c r="B1027" s="2" t="inlineStr">
        <is>
          <t>Разделочные доски</t>
        </is>
      </c>
      <c r="C1027" s="2">
        <v>765854691</v>
      </c>
      <c r="D1027" s="2" t="inlineStr">
        <is>
          <t>456620</t>
        </is>
      </c>
      <c r="E1027" s="2" t="inlineStr">
        <is>
          <t>2048427915376</t>
        </is>
      </c>
      <c r="F1027" s="2">
        <v>0</v>
      </c>
      <c r="G1027" s="2">
        <v>0</v>
      </c>
      <c r="H1027" s="2" t="inlineStr">
        <is>
          <t/>
        </is>
      </c>
      <c r="I1027" s="2" t="inlineStr">
        <is>
          <t>2889</t>
        </is>
      </c>
      <c r="J1027" s="4"/>
      <c r="K1027" s="2">
        <v>65</v>
      </c>
      <c r="L1027" s="6"/>
      <c r="M1027" s="2" t="str">
        <f>IF(J1027="",ROUND(I1027*(1-IF(ISBLANK(L1027),K1027,L1027)/100),2),ROUND(J1027*(1-IF(ISBLANK(L1027),K1027,L1027)/100),2))</f>
      </c>
      <c r="N1027" s="7" t="str">
        <f>IF(NOT(AND(J1027="",L1027="")),IF(OR(AND(L1027&lt;&gt;"",NOT(ISNUMBER(L1027))),IFERROR(MOD(L1027,1),1)&gt;0,AND(ISNUMBER(L1027),OR(L1027&lt;0,L1027&gt;95))),"Введите целое число от 0 до 95",IF(OR(AND(J1027&lt;&gt;"",NOT(ISNUMBER(J1027))),IFERROR(MOD(J1027,1),1)&gt;0,AND(ISNUMBER(J1027),OR(J1027&lt;50,J1027&gt;20000000))),"Введите целое число от 50 до 20000000",IF(NOT(ABS(IFERROR(VALUE(LEFT(M1027,FIND("-",M1027)-1)),M1027)*100-(2500+2000000000)/2)&lt;=ABS(2500-2000000000)/2),"Цена со скидкой должна быть от 25 до 20000000",IF(AND(IFERROR(VALUE(LEFT(M1027,FIND("-",M1027)-1)),M1027)*150&lt;=101115,IFERROR(VALUE(LEFT(M1027,FIND("-",M1027)-1)),M1027)*200&gt;101115),"Вы уменьшили цену в несколько раз, товар попадет в карантин цен",IF(IFERROR(VALUE(LEFT(M1027,FIND("-",M1027)-1)),M1027)*200&lt;=101115,"Не сохранили изменения, чтобы защитить от ошибки — новые цены меньше текущих более чем в 2 раза. Снижайте их постепенно",IF(AND(IFERROR(VALUE(I1027),0)=0,ISNUMBER(J1027),OR(J1027&lt;341,ABS(IFERROR(VALUE(LEFT(M1027,FIND("-",M1027)-1)),M1027))*100&lt;34100)),"Проверьте цену товара. Большинство товаров в выбранной категории стоят дороже 341","")))))),"")</f>
      </c>
    </row>
    <row r="1028">
      <c r="A1028" s="2" t="inlineStr">
        <is>
          <t/>
        </is>
      </c>
      <c r="B1028" s="2" t="inlineStr">
        <is>
          <t>Разделочные доски</t>
        </is>
      </c>
      <c r="C1028" s="2">
        <v>765854676</v>
      </c>
      <c r="D1028" s="2" t="inlineStr">
        <is>
          <t>93017</t>
        </is>
      </c>
      <c r="E1028" s="2" t="inlineStr">
        <is>
          <t>2048427915017</t>
        </is>
      </c>
      <c r="F1028" s="2">
        <v>6</v>
      </c>
      <c r="G1028" s="2">
        <v>0</v>
      </c>
      <c r="H1028" s="2">
        <v>999</v>
      </c>
      <c r="I1028" s="2" t="inlineStr">
        <is>
          <t>6143</t>
        </is>
      </c>
      <c r="J1028" s="4"/>
      <c r="K1028" s="2">
        <v>80</v>
      </c>
      <c r="L1028" s="6"/>
      <c r="M1028" s="2" t="str">
        <f>IF(J1028="",ROUND(I1028*(1-IF(ISBLANK(L1028),K1028,L1028)/100),2),ROUND(J1028*(1-IF(ISBLANK(L1028),K1028,L1028)/100),2))</f>
      </c>
      <c r="N1028" s="7" t="str">
        <f>IF(NOT(AND(J1028="",L1028="")),IF(OR(AND(L1028&lt;&gt;"",NOT(ISNUMBER(L1028))),IFERROR(MOD(L1028,1),1)&gt;0,AND(ISNUMBER(L1028),OR(L1028&lt;0,L1028&gt;95))),"Введите целое число от 0 до 95",IF(OR(AND(J1028&lt;&gt;"",NOT(ISNUMBER(J1028))),IFERROR(MOD(J1028,1),1)&gt;0,AND(ISNUMBER(J1028),OR(J1028&lt;50,J1028&gt;20000000))),"Введите целое число от 50 до 20000000",IF(NOT(ABS(IFERROR(VALUE(LEFT(M1028,FIND("-",M1028)-1)),M1028)*100-(2500+2000000000)/2)&lt;=ABS(2500-2000000000)/2),"Цена со скидкой должна быть от 25 до 20000000",IF(AND(IFERROR(VALUE(LEFT(M1028,FIND("-",M1028)-1)),M1028)*150&lt;=122859,IFERROR(VALUE(LEFT(M1028,FIND("-",M1028)-1)),M1028)*200&gt;122859),"Вы уменьшили цену в несколько раз, товар попадет в карантин цен",IF(IFERROR(VALUE(LEFT(M1028,FIND("-",M1028)-1)),M1028)*200&lt;=122859,"Не сохранили изменения, чтобы защитить от ошибки — новые цены меньше текущих более чем в 2 раза. Снижайте их постепенно",IF(AND(IFERROR(VALUE(I1028),0)=0,ISNUMBER(J1028),OR(J1028&lt;341,ABS(IFERROR(VALUE(LEFT(M1028,FIND("-",M1028)-1)),M1028))*100&lt;34100)),"Проверьте цену товара. Большинство товаров в выбранной категории стоят дороже 341","")))))),"")</f>
      </c>
    </row>
    <row r="1029">
      <c r="A1029" s="2" t="inlineStr">
        <is>
          <t/>
        </is>
      </c>
      <c r="B1029" s="2" t="inlineStr">
        <is>
          <t>Разделочные доски</t>
        </is>
      </c>
      <c r="C1029" s="2">
        <v>765854688</v>
      </c>
      <c r="D1029" s="2" t="inlineStr">
        <is>
          <t>40711</t>
        </is>
      </c>
      <c r="E1029" s="2" t="inlineStr">
        <is>
          <t>2048427915314</t>
        </is>
      </c>
      <c r="F1029" s="2">
        <v>9</v>
      </c>
      <c r="G1029" s="2">
        <v>51</v>
      </c>
      <c r="H1029" s="2">
        <v>999</v>
      </c>
      <c r="I1029" s="2" t="inlineStr">
        <is>
          <t>6200</t>
        </is>
      </c>
      <c r="J1029" s="4"/>
      <c r="K1029" s="2">
        <v>80</v>
      </c>
      <c r="L1029" s="6"/>
      <c r="M1029" s="2" t="str">
        <f>IF(J1029="",ROUND(I1029*(1-IF(ISBLANK(L1029),K1029,L1029)/100),2),ROUND(J1029*(1-IF(ISBLANK(L1029),K1029,L1029)/100),2))</f>
      </c>
      <c r="N1029" s="7" t="str">
        <f>IF(NOT(AND(J1029="",L1029="")),IF(OR(AND(L1029&lt;&gt;"",NOT(ISNUMBER(L1029))),IFERROR(MOD(L1029,1),1)&gt;0,AND(ISNUMBER(L1029),OR(L1029&lt;0,L1029&gt;95))),"Введите целое число от 0 до 95",IF(OR(AND(J1029&lt;&gt;"",NOT(ISNUMBER(J1029))),IFERROR(MOD(J1029,1),1)&gt;0,AND(ISNUMBER(J1029),OR(J1029&lt;50,J1029&gt;20000000))),"Введите целое число от 50 до 20000000",IF(NOT(ABS(IFERROR(VALUE(LEFT(M1029,FIND("-",M1029)-1)),M1029)*100-(2500+2000000000)/2)&lt;=ABS(2500-2000000000)/2),"Цена со скидкой должна быть от 25 до 20000000",IF(AND(IFERROR(VALUE(LEFT(M1029,FIND("-",M1029)-1)),M1029)*150&lt;=123999,IFERROR(VALUE(LEFT(M1029,FIND("-",M1029)-1)),M1029)*200&gt;123999),"Вы уменьшили цену в несколько раз, товар попадет в карантин цен",IF(IFERROR(VALUE(LEFT(M1029,FIND("-",M1029)-1)),M1029)*200&lt;=123999,"Не сохранили изменения, чтобы защитить от ошибки — новые цены меньше текущих более чем в 2 раза. Снижайте их постепенно",IF(AND(IFERROR(VALUE(I1029),0)=0,ISNUMBER(J1029),OR(J1029&lt;341,ABS(IFERROR(VALUE(LEFT(M1029,FIND("-",M1029)-1)),M1029))*100&lt;34100)),"Проверьте цену товара. Большинство товаров в выбранной категории стоят дороже 341","")))))),"")</f>
      </c>
    </row>
    <row r="1030">
      <c r="A1030" s="2" t="inlineStr">
        <is>
          <t/>
        </is>
      </c>
      <c r="B1030" s="2" t="inlineStr">
        <is>
          <t>Разделочные доски</t>
        </is>
      </c>
      <c r="C1030" s="2">
        <v>765854680</v>
      </c>
      <c r="D1030" s="2" t="inlineStr">
        <is>
          <t>93453</t>
        </is>
      </c>
      <c r="E1030" s="2" t="inlineStr">
        <is>
          <t>2048427915093</t>
        </is>
      </c>
      <c r="F1030" s="2">
        <v>13</v>
      </c>
      <c r="G1030" s="2">
        <v>3</v>
      </c>
      <c r="H1030" s="2">
        <v>999</v>
      </c>
      <c r="I1030" s="2" t="inlineStr">
        <is>
          <t>4953</t>
        </is>
      </c>
      <c r="J1030" s="4"/>
      <c r="K1030" s="2">
        <v>81</v>
      </c>
      <c r="L1030" s="6"/>
      <c r="M1030" s="2" t="str">
        <f>IF(J1030="",ROUND(I1030*(1-IF(ISBLANK(L1030),K1030,L1030)/100),2),ROUND(J1030*(1-IF(ISBLANK(L1030),K1030,L1030)/100),2))</f>
      </c>
      <c r="N1030" s="7" t="str">
        <f>IF(NOT(AND(J1030="",L1030="")),IF(OR(AND(L1030&lt;&gt;"",NOT(ISNUMBER(L1030))),IFERROR(MOD(L1030,1),1)&gt;0,AND(ISNUMBER(L1030),OR(L1030&lt;0,L1030&gt;95))),"Введите целое число от 0 до 95",IF(OR(AND(J1030&lt;&gt;"",NOT(ISNUMBER(J1030))),IFERROR(MOD(J1030,1),1)&gt;0,AND(ISNUMBER(J1030),OR(J1030&lt;50,J1030&gt;20000000))),"Введите целое число от 50 до 20000000",IF(NOT(ABS(IFERROR(VALUE(LEFT(M1030,FIND("-",M1030)-1)),M1030)*100-(2500+2000000000)/2)&lt;=ABS(2500-2000000000)/2),"Цена со скидкой должна быть от 25 до 20000000",IF(AND(IFERROR(VALUE(LEFT(M1030,FIND("-",M1030)-1)),M1030)*150&lt;=94106,IFERROR(VALUE(LEFT(M1030,FIND("-",M1030)-1)),M1030)*200&gt;94106),"Вы уменьшили цену в несколько раз, товар попадет в карантин цен",IF(IFERROR(VALUE(LEFT(M1030,FIND("-",M1030)-1)),M1030)*200&lt;=94106,"Не сохранили изменения, чтобы защитить от ошибки — новые цены меньше текущих более чем в 2 раза. Снижайте их постепенно",IF(AND(IFERROR(VALUE(I1030),0)=0,ISNUMBER(J1030),OR(J1030&lt;341,ABS(IFERROR(VALUE(LEFT(M1030,FIND("-",M1030)-1)),M1030))*100&lt;34100)),"Проверьте цену товара. Большинство товаров в выбранной категории стоят дороже 341","")))))),"")</f>
      </c>
    </row>
    <row r="1031">
      <c r="A1031" s="2" t="inlineStr">
        <is>
          <t/>
        </is>
      </c>
      <c r="B1031" s="2" t="inlineStr">
        <is>
          <t>Помпы для воды</t>
        </is>
      </c>
      <c r="C1031" s="2">
        <v>765860713</v>
      </c>
      <c r="D1031" s="2" t="inlineStr">
        <is>
          <t>511748</t>
        </is>
      </c>
      <c r="E1031" s="2" t="inlineStr">
        <is>
          <t>2048427970221</t>
        </is>
      </c>
      <c r="F1031" s="2">
        <v>4</v>
      </c>
      <c r="G1031" s="2">
        <v>0</v>
      </c>
      <c r="H1031" s="2">
        <v>999</v>
      </c>
      <c r="I1031" s="2" t="inlineStr">
        <is>
          <t>3868</t>
        </is>
      </c>
      <c r="J1031" s="4"/>
      <c r="K1031" s="2">
        <v>80</v>
      </c>
      <c r="L1031" s="6"/>
      <c r="M1031" s="2" t="str">
        <f>IF(J1031="",ROUND(I1031*(1-IF(ISBLANK(L1031),K1031,L1031)/100),2),ROUND(J1031*(1-IF(ISBLANK(L1031),K1031,L1031)/100),2))</f>
      </c>
      <c r="N1031" s="7" t="str">
        <f>IF(NOT(AND(J1031="",L1031="")),IF(OR(AND(L1031&lt;&gt;"",NOT(ISNUMBER(L1031))),IFERROR(MOD(L1031,1),1)&gt;0,AND(ISNUMBER(L1031),OR(L1031&lt;0,L1031&gt;95))),"Введите целое число от 0 до 95",IF(OR(AND(J1031&lt;&gt;"",NOT(ISNUMBER(J1031))),IFERROR(MOD(J1031,1),1)&gt;0,AND(ISNUMBER(J1031),OR(J1031&lt;50,J1031&gt;20000000))),"Введите целое число от 50 до 20000000",IF(NOT(ABS(IFERROR(VALUE(LEFT(M1031,FIND("-",M1031)-1)),M1031)*100-(2500+2000000000)/2)&lt;=ABS(2500-2000000000)/2),"Цена со скидкой должна быть от 25 до 20000000",IF(AND(IFERROR(VALUE(LEFT(M1031,FIND("-",M1031)-1)),M1031)*150&lt;=77359,IFERROR(VALUE(LEFT(M1031,FIND("-",M1031)-1)),M1031)*200&gt;77359),"Вы уменьшили цену в несколько раз, товар попадет в карантин цен",IF(IFERROR(VALUE(LEFT(M1031,FIND("-",M1031)-1)),M1031)*200&lt;=77359,"Не сохранили изменения, чтобы защитить от ошибки — новые цены меньше текущих более чем в 2 раза. Снижайте их постепенно",IF(AND(IFERROR(VALUE(I1031),0)=0,ISNUMBER(J1031),OR(J1031&lt;314,ABS(IFERROR(VALUE(LEFT(M1031,FIND("-",M1031)-1)),M1031))*100&lt;31400)),"Проверьте цену товара. Большинство товаров в выбранной категории стоят дороже 314","")))))),"")</f>
      </c>
    </row>
    <row r="1032">
      <c r="A1032" s="2" t="inlineStr">
        <is>
          <t/>
        </is>
      </c>
      <c r="B1032" s="2" t="inlineStr">
        <is>
          <t>Помпы для воды</t>
        </is>
      </c>
      <c r="C1032" s="2">
        <v>765860712</v>
      </c>
      <c r="D1032" s="2" t="inlineStr">
        <is>
          <t>192271</t>
        </is>
      </c>
      <c r="E1032" s="2" t="inlineStr">
        <is>
          <t>2048427970207</t>
        </is>
      </c>
      <c r="F1032" s="2">
        <v>5</v>
      </c>
      <c r="G1032" s="2">
        <v>0</v>
      </c>
      <c r="H1032" s="2">
        <v>999</v>
      </c>
      <c r="I1032" s="2" t="inlineStr">
        <is>
          <t>5140</t>
        </is>
      </c>
      <c r="J1032" s="4"/>
      <c r="K1032" s="2">
        <v>80</v>
      </c>
      <c r="L1032" s="6"/>
      <c r="M1032" s="2" t="str">
        <f>IF(J1032="",ROUND(I1032*(1-IF(ISBLANK(L1032),K1032,L1032)/100),2),ROUND(J1032*(1-IF(ISBLANK(L1032),K1032,L1032)/100),2))</f>
      </c>
      <c r="N1032" s="7" t="str">
        <f>IF(NOT(AND(J1032="",L1032="")),IF(OR(AND(L1032&lt;&gt;"",NOT(ISNUMBER(L1032))),IFERROR(MOD(L1032,1),1)&gt;0,AND(ISNUMBER(L1032),OR(L1032&lt;0,L1032&gt;95))),"Введите целое число от 0 до 95",IF(OR(AND(J1032&lt;&gt;"",NOT(ISNUMBER(J1032))),IFERROR(MOD(J1032,1),1)&gt;0,AND(ISNUMBER(J1032),OR(J1032&lt;50,J1032&gt;20000000))),"Введите целое число от 50 до 20000000",IF(NOT(ABS(IFERROR(VALUE(LEFT(M1032,FIND("-",M1032)-1)),M1032)*100-(2500+2000000000)/2)&lt;=ABS(2500-2000000000)/2),"Цена со скидкой должна быть от 25 до 20000000",IF(AND(IFERROR(VALUE(LEFT(M1032,FIND("-",M1032)-1)),M1032)*150&lt;=102799,IFERROR(VALUE(LEFT(M1032,FIND("-",M1032)-1)),M1032)*200&gt;102799),"Вы уменьшили цену в несколько раз, товар попадет в карантин цен",IF(IFERROR(VALUE(LEFT(M1032,FIND("-",M1032)-1)),M1032)*200&lt;=102799,"Не сохранили изменения, чтобы защитить от ошибки — новые цены меньше текущих более чем в 2 раза. Снижайте их постепенно",IF(AND(IFERROR(VALUE(I1032),0)=0,ISNUMBER(J1032),OR(J1032&lt;314,ABS(IFERROR(VALUE(LEFT(M1032,FIND("-",M1032)-1)),M1032))*100&lt;31400)),"Проверьте цену товара. Большинство товаров в выбранной категории стоят дороже 314","")))))),"")</f>
      </c>
    </row>
    <row r="1033">
      <c r="A1033" s="2" t="inlineStr">
        <is>
          <t/>
        </is>
      </c>
      <c r="B1033" s="2" t="inlineStr">
        <is>
          <t>Разделочные доски</t>
        </is>
      </c>
      <c r="C1033" s="2">
        <v>765854690</v>
      </c>
      <c r="D1033" s="2" t="inlineStr">
        <is>
          <t>458029</t>
        </is>
      </c>
      <c r="E1033" s="2" t="inlineStr">
        <is>
          <t>2048427915352</t>
        </is>
      </c>
      <c r="F1033" s="2">
        <v>5</v>
      </c>
      <c r="G1033" s="2">
        <v>6</v>
      </c>
      <c r="H1033" s="2">
        <v>999</v>
      </c>
      <c r="I1033" s="2" t="inlineStr">
        <is>
          <t>8137</t>
        </is>
      </c>
      <c r="J1033" s="4"/>
      <c r="K1033" s="2">
        <v>79</v>
      </c>
      <c r="L1033" s="6"/>
      <c r="M1033" s="2" t="str">
        <f>IF(J1033="",ROUND(I1033*(1-IF(ISBLANK(L1033),K1033,L1033)/100),2),ROUND(J1033*(1-IF(ISBLANK(L1033),K1033,L1033)/100),2))</f>
      </c>
      <c r="N1033" s="7" t="str">
        <f>IF(NOT(AND(J1033="",L1033="")),IF(OR(AND(L1033&lt;&gt;"",NOT(ISNUMBER(L1033))),IFERROR(MOD(L1033,1),1)&gt;0,AND(ISNUMBER(L1033),OR(L1033&lt;0,L1033&gt;95))),"Введите целое число от 0 до 95",IF(OR(AND(J1033&lt;&gt;"",NOT(ISNUMBER(J1033))),IFERROR(MOD(J1033,1),1)&gt;0,AND(ISNUMBER(J1033),OR(J1033&lt;50,J1033&gt;20000000))),"Введите целое число от 50 до 20000000",IF(NOT(ABS(IFERROR(VALUE(LEFT(M1033,FIND("-",M1033)-1)),M1033)*100-(2500+2000000000)/2)&lt;=ABS(2500-2000000000)/2),"Цена со скидкой должна быть от 25 до 20000000",IF(AND(IFERROR(VALUE(LEFT(M1033,FIND("-",M1033)-1)),M1033)*150&lt;=170876,IFERROR(VALUE(LEFT(M1033,FIND("-",M1033)-1)),M1033)*200&gt;170876),"Вы уменьшили цену в несколько раз, товар попадет в карантин цен",IF(IFERROR(VALUE(LEFT(M1033,FIND("-",M1033)-1)),M1033)*200&lt;=170876,"Не сохранили изменения, чтобы защитить от ошибки — новые цены меньше текущих более чем в 2 раза. Снижайте их постепенно",IF(AND(IFERROR(VALUE(I1033),0)=0,ISNUMBER(J1033),OR(J1033&lt;341,ABS(IFERROR(VALUE(LEFT(M1033,FIND("-",M1033)-1)),M1033))*100&lt;34100)),"Проверьте цену товара. Большинство товаров в выбранной категории стоят дороже 341","")))))),"")</f>
      </c>
    </row>
    <row r="1034">
      <c r="A1034" s="2" t="inlineStr">
        <is>
          <t/>
        </is>
      </c>
      <c r="B1034" s="2" t="inlineStr">
        <is>
          <t>Помпы для воды</t>
        </is>
      </c>
      <c r="C1034" s="2">
        <v>765860711</v>
      </c>
      <c r="D1034" s="2" t="inlineStr">
        <is>
          <t>192299</t>
        </is>
      </c>
      <c r="E1034" s="2" t="inlineStr">
        <is>
          <t>2048427970191</t>
        </is>
      </c>
      <c r="F1034" s="2">
        <v>4</v>
      </c>
      <c r="G1034" s="2">
        <v>13</v>
      </c>
      <c r="H1034" s="2">
        <v>999</v>
      </c>
      <c r="I1034" s="2" t="inlineStr">
        <is>
          <t>5140</t>
        </is>
      </c>
      <c r="J1034" s="4"/>
      <c r="K1034" s="2">
        <v>80</v>
      </c>
      <c r="L1034" s="6"/>
      <c r="M1034" s="2" t="str">
        <f>IF(J1034="",ROUND(I1034*(1-IF(ISBLANK(L1034),K1034,L1034)/100),2),ROUND(J1034*(1-IF(ISBLANK(L1034),K1034,L1034)/100),2))</f>
      </c>
      <c r="N1034" s="7" t="str">
        <f>IF(NOT(AND(J1034="",L1034="")),IF(OR(AND(L1034&lt;&gt;"",NOT(ISNUMBER(L1034))),IFERROR(MOD(L1034,1),1)&gt;0,AND(ISNUMBER(L1034),OR(L1034&lt;0,L1034&gt;95))),"Введите целое число от 0 до 95",IF(OR(AND(J1034&lt;&gt;"",NOT(ISNUMBER(J1034))),IFERROR(MOD(J1034,1),1)&gt;0,AND(ISNUMBER(J1034),OR(J1034&lt;50,J1034&gt;20000000))),"Введите целое число от 50 до 20000000",IF(NOT(ABS(IFERROR(VALUE(LEFT(M1034,FIND("-",M1034)-1)),M1034)*100-(2500+2000000000)/2)&lt;=ABS(2500-2000000000)/2),"Цена со скидкой должна быть от 25 до 20000000",IF(AND(IFERROR(VALUE(LEFT(M1034,FIND("-",M1034)-1)),M1034)*150&lt;=102799,IFERROR(VALUE(LEFT(M1034,FIND("-",M1034)-1)),M1034)*200&gt;102799),"Вы уменьшили цену в несколько раз, товар попадет в карантин цен",IF(IFERROR(VALUE(LEFT(M1034,FIND("-",M1034)-1)),M1034)*200&lt;=102799,"Не сохранили изменения, чтобы защитить от ошибки — новые цены меньше текущих более чем в 2 раза. Снижайте их постепенно",IF(AND(IFERROR(VALUE(I1034),0)=0,ISNUMBER(J1034),OR(J1034&lt;314,ABS(IFERROR(VALUE(LEFT(M1034,FIND("-",M1034)-1)),M1034))*100&lt;31400)),"Проверьте цену товара. Большинство товаров в выбранной категории стоят дороже 314","")))))),"")</f>
      </c>
    </row>
    <row r="1035">
      <c r="A1035" s="2" t="inlineStr">
        <is>
          <t/>
        </is>
      </c>
      <c r="B1035" s="2" t="inlineStr">
        <is>
          <t>Скатерти</t>
        </is>
      </c>
      <c r="C1035" s="2">
        <v>765876549</v>
      </c>
      <c r="D1035" s="2" t="inlineStr">
        <is>
          <t>454233</t>
        </is>
      </c>
      <c r="E1035" s="2" t="inlineStr">
        <is>
          <t>2048428202383</t>
        </is>
      </c>
      <c r="F1035" s="2" t="inlineStr">
        <is>
          <t/>
        </is>
      </c>
      <c r="G1035" s="2" t="inlineStr">
        <is>
          <t/>
        </is>
      </c>
      <c r="H1035" s="2" t="inlineStr">
        <is>
          <t/>
        </is>
      </c>
      <c r="I1035" s="2" t="inlineStr">
        <is>
          <t>3683</t>
        </is>
      </c>
      <c r="J1035" s="4"/>
      <c r="K1035" s="2">
        <v>65</v>
      </c>
      <c r="L1035" s="6"/>
      <c r="M1035" s="2" t="str">
        <f>IF(J1035="",ROUND(I1035*(1-IF(ISBLANK(L1035),K1035,L1035)/100),2),ROUND(J1035*(1-IF(ISBLANK(L1035),K1035,L1035)/100),2))</f>
      </c>
      <c r="N1035" s="7" t="str">
        <f>IF(NOT(AND(J1035="",L1035="")),IF(OR(AND(L1035&lt;&gt;"",NOT(ISNUMBER(L1035))),IFERROR(MOD(L1035,1),1)&gt;0,AND(ISNUMBER(L1035),OR(L1035&lt;0,L1035&gt;95))),"Введите целое число от 0 до 95",IF(OR(AND(J1035&lt;&gt;"",NOT(ISNUMBER(J1035))),IFERROR(MOD(J1035,1),1)&gt;0,AND(ISNUMBER(J1035),OR(J1035&lt;50,J1035&gt;20000000))),"Введите целое число от 50 до 20000000",IF(NOT(ABS(IFERROR(VALUE(LEFT(M1035,FIND("-",M1035)-1)),M1035)*100-(2500+2000000000)/2)&lt;=ABS(2500-2000000000)/2),"Цена со скидкой должна быть от 25 до 20000000",IF(AND(IFERROR(VALUE(LEFT(M1035,FIND("-",M1035)-1)),M1035)*150&lt;=128905,IFERROR(VALUE(LEFT(M1035,FIND("-",M1035)-1)),M1035)*200&gt;128905),"Вы уменьшили цену в несколько раз, товар попадет в карантин цен",IF(IFERROR(VALUE(LEFT(M1035,FIND("-",M1035)-1)),M1035)*200&lt;=128905,"Не сохранили изменения, чтобы защитить от ошибки — новые цены меньше текущих более чем в 2 раза. Снижайте их постепенно",IF(AND(IFERROR(VALUE(I1035),0)=0,ISNUMBER(J1035),OR(J1035&lt;385,ABS(IFERROR(VALUE(LEFT(M1035,FIND("-",M1035)-1)),M1035))*100&lt;38500)),"Проверьте цену товара. Большинство товаров в выбранной категории стоят дороже 385","")))))),"")</f>
      </c>
    </row>
    <row r="1036">
      <c r="A1036" s="2" t="inlineStr">
        <is>
          <t/>
        </is>
      </c>
      <c r="B1036" s="2" t="inlineStr">
        <is>
          <t>Терки</t>
        </is>
      </c>
      <c r="C1036" s="2">
        <v>765866639</v>
      </c>
      <c r="D1036" s="2" t="inlineStr">
        <is>
          <t>522001</t>
        </is>
      </c>
      <c r="E1036" s="2" t="inlineStr">
        <is>
          <t>2048428026576</t>
        </is>
      </c>
      <c r="F1036" s="2">
        <v>10</v>
      </c>
      <c r="G1036" s="2">
        <v>11</v>
      </c>
      <c r="H1036" s="2">
        <v>999</v>
      </c>
      <c r="I1036" s="2" t="inlineStr">
        <is>
          <t>3400</t>
        </is>
      </c>
      <c r="J1036" s="4"/>
      <c r="K1036" s="2">
        <v>80</v>
      </c>
      <c r="L1036" s="6"/>
      <c r="M1036" s="2" t="str">
        <f>IF(J1036="",ROUND(I1036*(1-IF(ISBLANK(L1036),K1036,L1036)/100),2),ROUND(J1036*(1-IF(ISBLANK(L1036),K1036,L1036)/100),2))</f>
      </c>
      <c r="N1036" s="7" t="str">
        <f>IF(NOT(AND(J1036="",L1036="")),IF(OR(AND(L1036&lt;&gt;"",NOT(ISNUMBER(L1036))),IFERROR(MOD(L1036,1),1)&gt;0,AND(ISNUMBER(L1036),OR(L1036&lt;0,L1036&gt;95))),"Введите целое число от 0 до 95",IF(OR(AND(J1036&lt;&gt;"",NOT(ISNUMBER(J1036))),IFERROR(MOD(J1036,1),1)&gt;0,AND(ISNUMBER(J1036),OR(J1036&lt;50,J1036&gt;20000000))),"Введите целое число от 50 до 20000000",IF(NOT(ABS(IFERROR(VALUE(LEFT(M1036,FIND("-",M1036)-1)),M1036)*100-(2500+2000000000)/2)&lt;=ABS(2500-2000000000)/2),"Цена со скидкой должна быть от 25 до 20000000",IF(AND(IFERROR(VALUE(LEFT(M1036,FIND("-",M1036)-1)),M1036)*150&lt;=67999,IFERROR(VALUE(LEFT(M1036,FIND("-",M1036)-1)),M1036)*200&gt;67999),"Вы уменьшили цену в несколько раз, товар попадет в карантин цен",IF(IFERROR(VALUE(LEFT(M1036,FIND("-",M1036)-1)),M1036)*200&lt;=67999,"Не сохранили изменения, чтобы защитить от ошибки — новые цены меньше текущих более чем в 2 раза. Снижайте их постепенно",IF(AND(IFERROR(VALUE(I1036),0)=0,ISNUMBER(J1036),OR(J1036&lt;261,ABS(IFERROR(VALUE(LEFT(M1036,FIND("-",M1036)-1)),M1036))*100&lt;26100)),"Проверьте цену товара. Большинство товаров в выбранной категории стоят дороже 261","")))))),"")</f>
      </c>
    </row>
    <row r="1037">
      <c r="A1037" s="2" t="inlineStr">
        <is>
          <t/>
        </is>
      </c>
      <c r="B1037" s="2" t="inlineStr">
        <is>
          <t>Скатерти</t>
        </is>
      </c>
      <c r="C1037" s="2">
        <v>765876548</v>
      </c>
      <c r="D1037" s="2" t="inlineStr">
        <is>
          <t>401294</t>
        </is>
      </c>
      <c r="E1037" s="2" t="inlineStr">
        <is>
          <t>2048428202352</t>
        </is>
      </c>
      <c r="F1037" s="2" t="inlineStr">
        <is>
          <t/>
        </is>
      </c>
      <c r="G1037" s="2" t="inlineStr">
        <is>
          <t/>
        </is>
      </c>
      <c r="H1037" s="2" t="inlineStr">
        <is>
          <t/>
        </is>
      </c>
      <c r="I1037" s="2" t="inlineStr">
        <is>
          <t>4756</t>
        </is>
      </c>
      <c r="J1037" s="4"/>
      <c r="K1037" s="2">
        <v>65</v>
      </c>
      <c r="L1037" s="6"/>
      <c r="M1037" s="2" t="str">
        <f>IF(J1037="",ROUND(I1037*(1-IF(ISBLANK(L1037),K1037,L1037)/100),2),ROUND(J1037*(1-IF(ISBLANK(L1037),K1037,L1037)/100),2))</f>
      </c>
      <c r="N1037" s="7" t="str">
        <f>IF(NOT(AND(J1037="",L1037="")),IF(OR(AND(L1037&lt;&gt;"",NOT(ISNUMBER(L1037))),IFERROR(MOD(L1037,1),1)&gt;0,AND(ISNUMBER(L1037),OR(L1037&lt;0,L1037&gt;95))),"Введите целое число от 0 до 95",IF(OR(AND(J1037&lt;&gt;"",NOT(ISNUMBER(J1037))),IFERROR(MOD(J1037,1),1)&gt;0,AND(ISNUMBER(J1037),OR(J1037&lt;50,J1037&gt;20000000))),"Введите целое число от 50 до 20000000",IF(NOT(ABS(IFERROR(VALUE(LEFT(M1037,FIND("-",M1037)-1)),M1037)*100-(2500+2000000000)/2)&lt;=ABS(2500-2000000000)/2),"Цена со скидкой должна быть от 25 до 20000000",IF(AND(IFERROR(VALUE(LEFT(M1037,FIND("-",M1037)-1)),M1037)*150&lt;=166460,IFERROR(VALUE(LEFT(M1037,FIND("-",M1037)-1)),M1037)*200&gt;166460),"Вы уменьшили цену в несколько раз, товар попадет в карантин цен",IF(IFERROR(VALUE(LEFT(M1037,FIND("-",M1037)-1)),M1037)*200&lt;=166460,"Не сохранили изменения, чтобы защитить от ошибки — новые цены меньше текущих более чем в 2 раза. Снижайте их постепенно",IF(AND(IFERROR(VALUE(I1037),0)=0,ISNUMBER(J1037),OR(J1037&lt;385,ABS(IFERROR(VALUE(LEFT(M1037,FIND("-",M1037)-1)),M1037))*100&lt;38500)),"Проверьте цену товара. Большинство товаров в выбранной категории стоят дороже 385","")))))),"")</f>
      </c>
    </row>
    <row r="1038">
      <c r="A1038" s="2" t="inlineStr">
        <is>
          <t/>
        </is>
      </c>
      <c r="B1038" s="2" t="inlineStr">
        <is>
          <t>Скатерти</t>
        </is>
      </c>
      <c r="C1038" s="2">
        <v>765876550</v>
      </c>
      <c r="D1038" s="2" t="inlineStr">
        <is>
          <t>435447</t>
        </is>
      </c>
      <c r="E1038" s="2" t="inlineStr">
        <is>
          <t>2048428202390</t>
        </is>
      </c>
      <c r="F1038" s="2" t="inlineStr">
        <is>
          <t/>
        </is>
      </c>
      <c r="G1038" s="2" t="inlineStr">
        <is>
          <t/>
        </is>
      </c>
      <c r="H1038" s="2" t="inlineStr">
        <is>
          <t/>
        </is>
      </c>
      <c r="I1038" s="2" t="inlineStr">
        <is>
          <t>3680</t>
        </is>
      </c>
      <c r="J1038" s="4"/>
      <c r="K1038" s="2">
        <v>65</v>
      </c>
      <c r="L1038" s="6"/>
      <c r="M1038" s="2" t="str">
        <f>IF(J1038="",ROUND(I1038*(1-IF(ISBLANK(L1038),K1038,L1038)/100),2),ROUND(J1038*(1-IF(ISBLANK(L1038),K1038,L1038)/100),2))</f>
      </c>
      <c r="N1038" s="7" t="str">
        <f>IF(NOT(AND(J1038="",L1038="")),IF(OR(AND(L1038&lt;&gt;"",NOT(ISNUMBER(L1038))),IFERROR(MOD(L1038,1),1)&gt;0,AND(ISNUMBER(L1038),OR(L1038&lt;0,L1038&gt;95))),"Введите целое число от 0 до 95",IF(OR(AND(J1038&lt;&gt;"",NOT(ISNUMBER(J1038))),IFERROR(MOD(J1038,1),1)&gt;0,AND(ISNUMBER(J1038),OR(J1038&lt;50,J1038&gt;20000000))),"Введите целое число от 50 до 20000000",IF(NOT(ABS(IFERROR(VALUE(LEFT(M1038,FIND("-",M1038)-1)),M1038)*100-(2500+2000000000)/2)&lt;=ABS(2500-2000000000)/2),"Цена со скидкой должна быть от 25 до 20000000",IF(AND(IFERROR(VALUE(LEFT(M1038,FIND("-",M1038)-1)),M1038)*150&lt;=128800,IFERROR(VALUE(LEFT(M1038,FIND("-",M1038)-1)),M1038)*200&gt;128800),"Вы уменьшили цену в несколько раз, товар попадет в карантин цен",IF(IFERROR(VALUE(LEFT(M1038,FIND("-",M1038)-1)),M1038)*200&lt;=128800,"Не сохранили изменения, чтобы защитить от ошибки — новые цены меньше текущих более чем в 2 раза. Снижайте их постепенно",IF(AND(IFERROR(VALUE(I1038),0)=0,ISNUMBER(J1038),OR(J1038&lt;385,ABS(IFERROR(VALUE(LEFT(M1038,FIND("-",M1038)-1)),M1038))*100&lt;38500)),"Проверьте цену товара. Большинство товаров в выбранной категории стоят дороже 385","")))))),"")</f>
      </c>
    </row>
    <row r="1039">
      <c r="A1039" s="2" t="inlineStr">
        <is>
          <t/>
        </is>
      </c>
      <c r="B1039" s="2" t="inlineStr">
        <is>
          <t>Ножи кухонные</t>
        </is>
      </c>
      <c r="C1039" s="2">
        <v>765872393</v>
      </c>
      <c r="D1039" s="2" t="inlineStr">
        <is>
          <t>820873</t>
        </is>
      </c>
      <c r="E1039" s="2" t="inlineStr">
        <is>
          <t>2048428045799</t>
        </is>
      </c>
      <c r="F1039" s="2">
        <v>0</v>
      </c>
      <c r="G1039" s="2">
        <v>0</v>
      </c>
      <c r="H1039" s="2" t="inlineStr">
        <is>
          <t/>
        </is>
      </c>
      <c r="I1039" s="2" t="inlineStr">
        <is>
          <t>25972</t>
        </is>
      </c>
      <c r="J1039" s="4"/>
      <c r="K1039" s="2">
        <v>65</v>
      </c>
      <c r="L1039" s="6"/>
      <c r="M1039" s="2" t="str">
        <f>IF(J1039="",ROUND(I1039*(1-IF(ISBLANK(L1039),K1039,L1039)/100),2),ROUND(J1039*(1-IF(ISBLANK(L1039),K1039,L1039)/100),2))</f>
      </c>
      <c r="N1039" s="7" t="str">
        <f>IF(NOT(AND(J1039="",L1039="")),IF(OR(AND(L1039&lt;&gt;"",NOT(ISNUMBER(L1039))),IFERROR(MOD(L1039,1),1)&gt;0,AND(ISNUMBER(L1039),OR(L1039&lt;0,L1039&gt;95))),"Введите целое число от 0 до 95",IF(OR(AND(J1039&lt;&gt;"",NOT(ISNUMBER(J1039))),IFERROR(MOD(J1039,1),1)&gt;0,AND(ISNUMBER(J1039),OR(J1039&lt;50,J1039&gt;20000000))),"Введите целое число от 50 до 20000000",IF(NOT(ABS(IFERROR(VALUE(LEFT(M1039,FIND("-",M1039)-1)),M1039)*100-(2500+2000000000)/2)&lt;=ABS(2500-2000000000)/2),"Цена со скидкой должна быть от 25 до 20000000",IF(AND(IFERROR(VALUE(LEFT(M1039,FIND("-",M1039)-1)),M1039)*150&lt;=909019,IFERROR(VALUE(LEFT(M1039,FIND("-",M1039)-1)),M1039)*200&gt;909019),"Вы уменьшили цену в несколько раз, товар попадет в карантин цен",IF(IFERROR(VALUE(LEFT(M1039,FIND("-",M1039)-1)),M1039)*200&lt;=909019,"Не сохранили изменения, чтобы защитить от ошибки — новые цены меньше текущих более чем в 2 раза. Снижайте их постепенно",IF(AND(IFERROR(VALUE(I1039),0)=0,ISNUMBER(J1039),OR(J1039&lt;318,ABS(IFERROR(VALUE(LEFT(M1039,FIND("-",M1039)-1)),M1039))*100&lt;31800)),"Проверьте цену товара. Большинство товаров в выбранной категории стоят дороже 318","")))))),"")</f>
      </c>
    </row>
    <row r="1040">
      <c r="A1040" s="2" t="inlineStr">
        <is>
          <t/>
        </is>
      </c>
      <c r="B1040" s="2" t="inlineStr">
        <is>
          <t>Часы настенные</t>
        </is>
      </c>
      <c r="C1040" s="2">
        <v>765920477</v>
      </c>
      <c r="D1040" s="2" t="inlineStr">
        <is>
          <t>00743</t>
        </is>
      </c>
      <c r="E1040" s="2" t="inlineStr">
        <is>
          <t>2048428673596</t>
        </is>
      </c>
      <c r="F1040" s="2" t="inlineStr">
        <is>
          <t/>
        </is>
      </c>
      <c r="G1040" s="2" t="inlineStr">
        <is>
          <t/>
        </is>
      </c>
      <c r="H1040" s="2" t="inlineStr">
        <is>
          <t/>
        </is>
      </c>
      <c r="I1040" s="2" t="inlineStr">
        <is>
          <t>0</t>
        </is>
      </c>
      <c r="J1040" s="4"/>
      <c r="K1040" s="2">
        <v>0</v>
      </c>
      <c r="L1040" s="6"/>
      <c r="M1040" s="2" t="str">
        <f>IF(J1040="",ROUND(I1040*(1-IF(ISBLANK(L1040),K1040,L1040)/100),2),ROUND(J1040*(1-IF(ISBLANK(L1040),K1040,L1040)/100),2))</f>
      </c>
      <c r="N1040" s="7" t="str">
        <f>IF(NOT(AND(J1040="",L1040="")),IF(OR(AND(L1040&lt;&gt;"",NOT(ISNUMBER(L1040))),IFERROR(MOD(L1040,1),1)&gt;0,AND(ISNUMBER(L1040),OR(L1040&lt;0,L1040&gt;95))),"Введите целое число от 0 до 95",IF(OR(AND(J1040&lt;&gt;"",NOT(ISNUMBER(J1040))),IFERROR(MOD(J1040,1),1)&gt;0,AND(ISNUMBER(J1040),OR(J1040&lt;50,J1040&gt;20000000))),"Введите целое число от 50 до 20000000",IF(NOT(ABS(IFERROR(VALUE(LEFT(M1040,FIND("-",M1040)-1)),M1040)*100-(2500+2000000000)/2)&lt;=ABS(2500-2000000000)/2),"Цена со скидкой должна быть от 25 до 20000000",IF(AND(IFERROR(VALUE(LEFT(M1040,FIND("-",M1040)-1)),M1040)*150&lt;=0,IFERROR(VALUE(LEFT(M1040,FIND("-",M1040)-1)),M1040)*200&gt;0),"Вы уменьшили цену в несколько раз, товар попадет в карантин цен",IF(IFERROR(VALUE(LEFT(M1040,FIND("-",M1040)-1)),M1040)*200&lt;=0,"Не сохранили изменения, чтобы защитить от ошибки — новые цены меньше текущих более чем в 2 раза. Снижайте их постепенно",IF(AND(IFERROR(VALUE(I1040),0)=0,ISNUMBER(J1040),OR(J1040&lt;481,ABS(IFERROR(VALUE(LEFT(M1040,FIND("-",M1040)-1)),M1040))*100&lt;48100)),"Проверьте цену товара. Большинство товаров в выбранной категории стоят дороже 481","")))))),"")</f>
      </c>
    </row>
    <row r="1041">
      <c r="A1041" s="2" t="inlineStr">
        <is>
          <t/>
        </is>
      </c>
      <c r="B1041" s="2" t="inlineStr">
        <is>
          <t>Скатерти</t>
        </is>
      </c>
      <c r="C1041" s="2">
        <v>765876551</v>
      </c>
      <c r="D1041" s="2" t="inlineStr">
        <is>
          <t>431996</t>
        </is>
      </c>
      <c r="E1041" s="2" t="inlineStr">
        <is>
          <t>2048428202413</t>
        </is>
      </c>
      <c r="F1041" s="2">
        <v>0</v>
      </c>
      <c r="G1041" s="2">
        <v>0</v>
      </c>
      <c r="H1041" s="2" t="inlineStr">
        <is>
          <t/>
        </is>
      </c>
      <c r="I1041" s="2" t="inlineStr">
        <is>
          <t>5657</t>
        </is>
      </c>
      <c r="J1041" s="4"/>
      <c r="K1041" s="2">
        <v>65</v>
      </c>
      <c r="L1041" s="6"/>
      <c r="M1041" s="2" t="str">
        <f>IF(J1041="",ROUND(I1041*(1-IF(ISBLANK(L1041),K1041,L1041)/100),2),ROUND(J1041*(1-IF(ISBLANK(L1041),K1041,L1041)/100),2))</f>
      </c>
      <c r="N1041" s="7" t="str">
        <f>IF(NOT(AND(J1041="",L1041="")),IF(OR(AND(L1041&lt;&gt;"",NOT(ISNUMBER(L1041))),IFERROR(MOD(L1041,1),1)&gt;0,AND(ISNUMBER(L1041),OR(L1041&lt;0,L1041&gt;95))),"Введите целое число от 0 до 95",IF(OR(AND(J1041&lt;&gt;"",NOT(ISNUMBER(J1041))),IFERROR(MOD(J1041,1),1)&gt;0,AND(ISNUMBER(J1041),OR(J1041&lt;50,J1041&gt;20000000))),"Введите целое число от 50 до 20000000",IF(NOT(ABS(IFERROR(VALUE(LEFT(M1041,FIND("-",M1041)-1)),M1041)*100-(2500+2000000000)/2)&lt;=ABS(2500-2000000000)/2),"Цена со скидкой должна быть от 25 до 20000000",IF(AND(IFERROR(VALUE(LEFT(M1041,FIND("-",M1041)-1)),M1041)*150&lt;=197994,IFERROR(VALUE(LEFT(M1041,FIND("-",M1041)-1)),M1041)*200&gt;197994),"Вы уменьшили цену в несколько раз, товар попадет в карантин цен",IF(IFERROR(VALUE(LEFT(M1041,FIND("-",M1041)-1)),M1041)*200&lt;=197994,"Не сохранили изменения, чтобы защитить от ошибки — новые цены меньше текущих более чем в 2 раза. Снижайте их постепенно",IF(AND(IFERROR(VALUE(I1041),0)=0,ISNUMBER(J1041),OR(J1041&lt;385,ABS(IFERROR(VALUE(LEFT(M1041,FIND("-",M1041)-1)),M1041))*100&lt;38500)),"Проверьте цену товара. Большинство товаров в выбранной категории стоят дороже 385","")))))),"")</f>
      </c>
    </row>
    <row r="1042">
      <c r="A1042" s="2" t="inlineStr">
        <is>
          <t/>
        </is>
      </c>
      <c r="B1042" s="2" t="inlineStr">
        <is>
          <t>Часы настенные</t>
        </is>
      </c>
      <c r="C1042" s="2">
        <v>765919350</v>
      </c>
      <c r="D1042" s="2" t="inlineStr">
        <is>
          <t>660492</t>
        </is>
      </c>
      <c r="E1042" s="2" t="inlineStr">
        <is>
          <t>2048428667366</t>
        </is>
      </c>
      <c r="F1042" s="2">
        <v>0</v>
      </c>
      <c r="G1042" s="2">
        <v>2</v>
      </c>
      <c r="H1042" s="2" t="inlineStr">
        <is>
          <t/>
        </is>
      </c>
      <c r="I1042" s="2" t="inlineStr">
        <is>
          <t>9930</t>
        </is>
      </c>
      <c r="J1042" s="4"/>
      <c r="K1042" s="2">
        <v>78</v>
      </c>
      <c r="L1042" s="6"/>
      <c r="M1042" s="2" t="str">
        <f>IF(J1042="",ROUND(I1042*(1-IF(ISBLANK(L1042),K1042,L1042)/100),2),ROUND(J1042*(1-IF(ISBLANK(L1042),K1042,L1042)/100),2))</f>
      </c>
      <c r="N1042" s="7" t="str">
        <f>IF(NOT(AND(J1042="",L1042="")),IF(OR(AND(L1042&lt;&gt;"",NOT(ISNUMBER(L1042))),IFERROR(MOD(L1042,1),1)&gt;0,AND(ISNUMBER(L1042),OR(L1042&lt;0,L1042&gt;95))),"Введите целое число от 0 до 95",IF(OR(AND(J1042&lt;&gt;"",NOT(ISNUMBER(J1042))),IFERROR(MOD(J1042,1),1)&gt;0,AND(ISNUMBER(J1042),OR(J1042&lt;50,J1042&gt;20000000))),"Введите целое число от 50 до 20000000",IF(NOT(ABS(IFERROR(VALUE(LEFT(M1042,FIND("-",M1042)-1)),M1042)*100-(2500+2000000000)/2)&lt;=ABS(2500-2000000000)/2),"Цена со скидкой должна быть от 25 до 20000000",IF(AND(IFERROR(VALUE(LEFT(M1042,FIND("-",M1042)-1)),M1042)*150&lt;=218460,IFERROR(VALUE(LEFT(M1042,FIND("-",M1042)-1)),M1042)*200&gt;218460),"Вы уменьшили цену в несколько раз, товар попадет в карантин цен",IF(IFERROR(VALUE(LEFT(M1042,FIND("-",M1042)-1)),M1042)*200&lt;=218460,"Не сохранили изменения, чтобы защитить от ошибки — новые цены меньше текущих более чем в 2 раза. Снижайте их постепенно",IF(AND(IFERROR(VALUE(I1042),0)=0,ISNUMBER(J1042),OR(J1042&lt;481,ABS(IFERROR(VALUE(LEFT(M1042,FIND("-",M1042)-1)),M1042))*100&lt;48100)),"Проверьте цену товара. Большинство товаров в выбранной категории стоят дороже 481","")))))),"")</f>
      </c>
    </row>
    <row r="1043">
      <c r="A1043" s="2" t="inlineStr">
        <is>
          <t/>
        </is>
      </c>
      <c r="B1043" s="2" t="inlineStr">
        <is>
          <t>Скатерти</t>
        </is>
      </c>
      <c r="C1043" s="2">
        <v>765876553</v>
      </c>
      <c r="D1043" s="2" t="inlineStr">
        <is>
          <t>431055</t>
        </is>
      </c>
      <c r="E1043" s="2" t="inlineStr">
        <is>
          <t>2048428202437</t>
        </is>
      </c>
      <c r="F1043" s="2">
        <v>0</v>
      </c>
      <c r="G1043" s="2">
        <v>0</v>
      </c>
      <c r="H1043" s="2" t="inlineStr">
        <is>
          <t/>
        </is>
      </c>
      <c r="I1043" s="2" t="inlineStr">
        <is>
          <t>6056</t>
        </is>
      </c>
      <c r="J1043" s="4"/>
      <c r="K1043" s="2">
        <v>69</v>
      </c>
      <c r="L1043" s="6"/>
      <c r="M1043" s="2" t="str">
        <f>IF(J1043="",ROUND(I1043*(1-IF(ISBLANK(L1043),K1043,L1043)/100),2),ROUND(J1043*(1-IF(ISBLANK(L1043),K1043,L1043)/100),2))</f>
      </c>
      <c r="N1043" s="7" t="str">
        <f>IF(NOT(AND(J1043="",L1043="")),IF(OR(AND(L1043&lt;&gt;"",NOT(ISNUMBER(L1043))),IFERROR(MOD(L1043,1),1)&gt;0,AND(ISNUMBER(L1043),OR(L1043&lt;0,L1043&gt;95))),"Введите целое число от 0 до 95",IF(OR(AND(J1043&lt;&gt;"",NOT(ISNUMBER(J1043))),IFERROR(MOD(J1043,1),1)&gt;0,AND(ISNUMBER(J1043),OR(J1043&lt;50,J1043&gt;20000000))),"Введите целое число от 50 до 20000000",IF(NOT(ABS(IFERROR(VALUE(LEFT(M1043,FIND("-",M1043)-1)),M1043)*100-(2500+2000000000)/2)&lt;=ABS(2500-2000000000)/2),"Цена со скидкой должна быть от 25 до 20000000",IF(AND(IFERROR(VALUE(LEFT(M1043,FIND("-",M1043)-1)),M1043)*150&lt;=187736,IFERROR(VALUE(LEFT(M1043,FIND("-",M1043)-1)),M1043)*200&gt;187736),"Вы уменьшили цену в несколько раз, товар попадет в карантин цен",IF(IFERROR(VALUE(LEFT(M1043,FIND("-",M1043)-1)),M1043)*200&lt;=187736,"Не сохранили изменения, чтобы защитить от ошибки — новые цены меньше текущих более чем в 2 раза. Снижайте их постепенно",IF(AND(IFERROR(VALUE(I1043),0)=0,ISNUMBER(J1043),OR(J1043&lt;385,ABS(IFERROR(VALUE(LEFT(M1043,FIND("-",M1043)-1)),M1043))*100&lt;38500)),"Проверьте цену товара. Большинство товаров в выбранной категории стоят дороже 385","")))))),"")</f>
      </c>
    </row>
    <row r="1044">
      <c r="A1044" s="2" t="inlineStr">
        <is>
          <t/>
        </is>
      </c>
      <c r="B1044" s="2" t="inlineStr">
        <is>
          <t>Часы настенные</t>
        </is>
      </c>
      <c r="C1044" s="2">
        <v>765920467</v>
      </c>
      <c r="D1044" s="2" t="inlineStr">
        <is>
          <t>45108</t>
        </is>
      </c>
      <c r="E1044" s="2" t="inlineStr">
        <is>
          <t>2048428673480</t>
        </is>
      </c>
      <c r="F1044" s="2">
        <v>0</v>
      </c>
      <c r="G1044" s="2">
        <v>18</v>
      </c>
      <c r="H1044" s="2" t="inlineStr">
        <is>
          <t/>
        </is>
      </c>
      <c r="I1044" s="2" t="inlineStr">
        <is>
          <t>7267</t>
        </is>
      </c>
      <c r="J1044" s="4"/>
      <c r="K1044" s="2">
        <v>78</v>
      </c>
      <c r="L1044" s="6"/>
      <c r="M1044" s="2" t="str">
        <f>IF(J1044="",ROUND(I1044*(1-IF(ISBLANK(L1044),K1044,L1044)/100),2),ROUND(J1044*(1-IF(ISBLANK(L1044),K1044,L1044)/100),2))</f>
      </c>
      <c r="N1044" s="7" t="str">
        <f>IF(NOT(AND(J1044="",L1044="")),IF(OR(AND(L1044&lt;&gt;"",NOT(ISNUMBER(L1044))),IFERROR(MOD(L1044,1),1)&gt;0,AND(ISNUMBER(L1044),OR(L1044&lt;0,L1044&gt;95))),"Введите целое число от 0 до 95",IF(OR(AND(J1044&lt;&gt;"",NOT(ISNUMBER(J1044))),IFERROR(MOD(J1044,1),1)&gt;0,AND(ISNUMBER(J1044),OR(J1044&lt;50,J1044&gt;20000000))),"Введите целое число от 50 до 20000000",IF(NOT(ABS(IFERROR(VALUE(LEFT(M1044,FIND("-",M1044)-1)),M1044)*100-(2500+2000000000)/2)&lt;=ABS(2500-2000000000)/2),"Цена со скидкой должна быть от 25 до 20000000",IF(AND(IFERROR(VALUE(LEFT(M1044,FIND("-",M1044)-1)),M1044)*150&lt;=159873,IFERROR(VALUE(LEFT(M1044,FIND("-",M1044)-1)),M1044)*200&gt;159873),"Вы уменьшили цену в несколько раз, товар попадет в карантин цен",IF(IFERROR(VALUE(LEFT(M1044,FIND("-",M1044)-1)),M1044)*200&lt;=159873,"Не сохранили изменения, чтобы защитить от ошибки — новые цены меньше текущих более чем в 2 раза. Снижайте их постепенно",IF(AND(IFERROR(VALUE(I1044),0)=0,ISNUMBER(J1044),OR(J1044&lt;481,ABS(IFERROR(VALUE(LEFT(M1044,FIND("-",M1044)-1)),M1044))*100&lt;48100)),"Проверьте цену товара. Большинство товаров в выбранной категории стоят дороже 481","")))))),"")</f>
      </c>
    </row>
    <row r="1045">
      <c r="A1045" s="2" t="inlineStr">
        <is>
          <t>Luxaro</t>
        </is>
      </c>
      <c r="B1045" s="2" t="inlineStr">
        <is>
          <t>Подставки кухонные</t>
        </is>
      </c>
      <c r="C1045" s="2">
        <v>765898356</v>
      </c>
      <c r="D1045" s="2" t="inlineStr">
        <is>
          <t>283190</t>
        </is>
      </c>
      <c r="E1045" s="2" t="inlineStr">
        <is>
          <t>2048428536396</t>
        </is>
      </c>
      <c r="F1045" s="2" t="inlineStr">
        <is>
          <t/>
        </is>
      </c>
      <c r="G1045" s="2" t="inlineStr">
        <is>
          <t/>
        </is>
      </c>
      <c r="H1045" s="2" t="inlineStr">
        <is>
          <t/>
        </is>
      </c>
      <c r="I1045" s="2" t="inlineStr">
        <is>
          <t>6444</t>
        </is>
      </c>
      <c r="J1045" s="4"/>
      <c r="K1045" s="2">
        <v>65</v>
      </c>
      <c r="L1045" s="6"/>
      <c r="M1045" s="2" t="str">
        <f>IF(J1045="",ROUND(I1045*(1-IF(ISBLANK(L1045),K1045,L1045)/100),2),ROUND(J1045*(1-IF(ISBLANK(L1045),K1045,L1045)/100),2))</f>
      </c>
      <c r="N1045" s="7" t="str">
        <f>IF(NOT(AND(J1045="",L1045="")),IF(OR(AND(L1045&lt;&gt;"",NOT(ISNUMBER(L1045))),IFERROR(MOD(L1045,1),1)&gt;0,AND(ISNUMBER(L1045),OR(L1045&lt;0,L1045&gt;95))),"Введите целое число от 0 до 95",IF(OR(AND(J1045&lt;&gt;"",NOT(ISNUMBER(J1045))),IFERROR(MOD(J1045,1),1)&gt;0,AND(ISNUMBER(J1045),OR(J1045&lt;50,J1045&gt;20000000))),"Введите целое число от 50 до 20000000",IF(NOT(ABS(IFERROR(VALUE(LEFT(M1045,FIND("-",M1045)-1)),M1045)*100-(2500+2000000000)/2)&lt;=ABS(2500-2000000000)/2),"Цена со скидкой должна быть от 25 до 20000000",IF(AND(IFERROR(VALUE(LEFT(M1045,FIND("-",M1045)-1)),M1045)*150&lt;=225539,IFERROR(VALUE(LEFT(M1045,FIND("-",M1045)-1)),M1045)*200&gt;225539),"Вы уменьшили цену в несколько раз, товар попадет в карантин цен",IF(IFERROR(VALUE(LEFT(M1045,FIND("-",M1045)-1)),M1045)*200&lt;=225539,"Не сохранили изменения, чтобы защитить от ошибки — новые цены меньше текущих более чем в 2 раза. Снижайте их постепенно",IF(AND(IFERROR(VALUE(I1045),0)=0,ISNUMBER(J1045),OR(J1045&lt;411,ABS(IFERROR(VALUE(LEFT(M1045,FIND("-",M1045)-1)),M1045))*100&lt;41100)),"Проверьте цену товара. Большинство товаров в выбранной категории стоят дороже 411","")))))),"")</f>
      </c>
    </row>
    <row r="1046">
      <c r="A1046" s="2" t="inlineStr">
        <is>
          <t/>
        </is>
      </c>
      <c r="B1046" s="2" t="inlineStr">
        <is>
          <t>Часы настенные</t>
        </is>
      </c>
      <c r="C1046" s="2">
        <v>765919345</v>
      </c>
      <c r="D1046" s="2" t="inlineStr">
        <is>
          <t>660494</t>
        </is>
      </c>
      <c r="E1046" s="2" t="inlineStr">
        <is>
          <t>2048428667298</t>
        </is>
      </c>
      <c r="F1046" s="2">
        <v>0</v>
      </c>
      <c r="G1046" s="2">
        <v>1</v>
      </c>
      <c r="H1046" s="2" t="inlineStr">
        <is>
          <t/>
        </is>
      </c>
      <c r="I1046" s="2" t="inlineStr">
        <is>
          <t>10006</t>
        </is>
      </c>
      <c r="J1046" s="4"/>
      <c r="K1046" s="2">
        <v>78</v>
      </c>
      <c r="L1046" s="6"/>
      <c r="M1046" s="2" t="str">
        <f>IF(J1046="",ROUND(I1046*(1-IF(ISBLANK(L1046),K1046,L1046)/100),2),ROUND(J1046*(1-IF(ISBLANK(L1046),K1046,L1046)/100),2))</f>
      </c>
      <c r="N1046" s="7" t="str">
        <f>IF(NOT(AND(J1046="",L1046="")),IF(OR(AND(L1046&lt;&gt;"",NOT(ISNUMBER(L1046))),IFERROR(MOD(L1046,1),1)&gt;0,AND(ISNUMBER(L1046),OR(L1046&lt;0,L1046&gt;95))),"Введите целое число от 0 до 95",IF(OR(AND(J1046&lt;&gt;"",NOT(ISNUMBER(J1046))),IFERROR(MOD(J1046,1),1)&gt;0,AND(ISNUMBER(J1046),OR(J1046&lt;50,J1046&gt;20000000))),"Введите целое число от 50 до 20000000",IF(NOT(ABS(IFERROR(VALUE(LEFT(M1046,FIND("-",M1046)-1)),M1046)*100-(2500+2000000000)/2)&lt;=ABS(2500-2000000000)/2),"Цена со скидкой должна быть от 25 до 20000000",IF(AND(IFERROR(VALUE(LEFT(M1046,FIND("-",M1046)-1)),M1046)*150&lt;=220131,IFERROR(VALUE(LEFT(M1046,FIND("-",M1046)-1)),M1046)*200&gt;220131),"Вы уменьшили цену в несколько раз, товар попадет в карантин цен",IF(IFERROR(VALUE(LEFT(M1046,FIND("-",M1046)-1)),M1046)*200&lt;=220131,"Не сохранили изменения, чтобы защитить от ошибки — новые цены меньше текущих более чем в 2 раза. Снижайте их постепенно",IF(AND(IFERROR(VALUE(I1046),0)=0,ISNUMBER(J1046),OR(J1046&lt;481,ABS(IFERROR(VALUE(LEFT(M1046,FIND("-",M1046)-1)),M1046))*100&lt;48100)),"Проверьте цену товара. Большинство товаров в выбранной категории стоят дороже 481","")))))),"")</f>
      </c>
    </row>
    <row r="1047">
      <c r="A1047" s="2" t="inlineStr">
        <is>
          <t/>
        </is>
      </c>
      <c r="B1047" s="2" t="inlineStr">
        <is>
          <t>Часы настенные</t>
        </is>
      </c>
      <c r="C1047" s="2">
        <v>765920475</v>
      </c>
      <c r="D1047" s="2" t="inlineStr">
        <is>
          <t>51085</t>
        </is>
      </c>
      <c r="E1047" s="2" t="inlineStr">
        <is>
          <t>2048428673572</t>
        </is>
      </c>
      <c r="F1047" s="2">
        <v>0</v>
      </c>
      <c r="G1047" s="2">
        <v>8</v>
      </c>
      <c r="H1047" s="2" t="inlineStr">
        <is>
          <t/>
        </is>
      </c>
      <c r="I1047" s="2" t="inlineStr">
        <is>
          <t>6404</t>
        </is>
      </c>
      <c r="J1047" s="4"/>
      <c r="K1047" s="2">
        <v>75</v>
      </c>
      <c r="L1047" s="6"/>
      <c r="M1047" s="2" t="str">
        <f>IF(J1047="",ROUND(I1047*(1-IF(ISBLANK(L1047),K1047,L1047)/100),2),ROUND(J1047*(1-IF(ISBLANK(L1047),K1047,L1047)/100),2))</f>
      </c>
      <c r="N1047" s="7" t="str">
        <f>IF(NOT(AND(J1047="",L1047="")),IF(OR(AND(L1047&lt;&gt;"",NOT(ISNUMBER(L1047))),IFERROR(MOD(L1047,1),1)&gt;0,AND(ISNUMBER(L1047),OR(L1047&lt;0,L1047&gt;95))),"Введите целое число от 0 до 95",IF(OR(AND(J1047&lt;&gt;"",NOT(ISNUMBER(J1047))),IFERROR(MOD(J1047,1),1)&gt;0,AND(ISNUMBER(J1047),OR(J1047&lt;50,J1047&gt;20000000))),"Введите целое число от 50 до 20000000",IF(NOT(ABS(IFERROR(VALUE(LEFT(M1047,FIND("-",M1047)-1)),M1047)*100-(2500+2000000000)/2)&lt;=ABS(2500-2000000000)/2),"Цена со скидкой должна быть от 25 до 20000000",IF(AND(IFERROR(VALUE(LEFT(M1047,FIND("-",M1047)-1)),M1047)*150&lt;=160100,IFERROR(VALUE(LEFT(M1047,FIND("-",M1047)-1)),M1047)*200&gt;160100),"Вы уменьшили цену в несколько раз, товар попадет в карантин цен",IF(IFERROR(VALUE(LEFT(M1047,FIND("-",M1047)-1)),M1047)*200&lt;=160100,"Не сохранили изменения, чтобы защитить от ошибки — новые цены меньше текущих более чем в 2 раза. Снижайте их постепенно",IF(AND(IFERROR(VALUE(I1047),0)=0,ISNUMBER(J1047),OR(J1047&lt;481,ABS(IFERROR(VALUE(LEFT(M1047,FIND("-",M1047)-1)),M1047))*100&lt;48100)),"Проверьте цену товара. Большинство товаров в выбранной категории стоят дороже 481","")))))),"")</f>
      </c>
    </row>
    <row r="1048">
      <c r="A1048" s="2" t="inlineStr">
        <is>
          <t/>
        </is>
      </c>
      <c r="B1048" s="2" t="inlineStr">
        <is>
          <t>Часы настенные</t>
        </is>
      </c>
      <c r="C1048" s="2">
        <v>765920480</v>
      </c>
      <c r="D1048" s="2" t="inlineStr">
        <is>
          <t>660398</t>
        </is>
      </c>
      <c r="E1048" s="2" t="inlineStr">
        <is>
          <t>2048428673626</t>
        </is>
      </c>
      <c r="F1048" s="2">
        <v>0</v>
      </c>
      <c r="G1048" s="2">
        <v>0</v>
      </c>
      <c r="H1048" s="2" t="inlineStr">
        <is>
          <t/>
        </is>
      </c>
      <c r="I1048" s="2" t="inlineStr">
        <is>
          <t>7064</t>
        </is>
      </c>
      <c r="J1048" s="4"/>
      <c r="K1048" s="2">
        <v>65</v>
      </c>
      <c r="L1048" s="6"/>
      <c r="M1048" s="2" t="str">
        <f>IF(J1048="",ROUND(I1048*(1-IF(ISBLANK(L1048),K1048,L1048)/100),2),ROUND(J1048*(1-IF(ISBLANK(L1048),K1048,L1048)/100),2))</f>
      </c>
      <c r="N1048" s="7" t="str">
        <f>IF(NOT(AND(J1048="",L1048="")),IF(OR(AND(L1048&lt;&gt;"",NOT(ISNUMBER(L1048))),IFERROR(MOD(L1048,1),1)&gt;0,AND(ISNUMBER(L1048),OR(L1048&lt;0,L1048&gt;95))),"Введите целое число от 0 до 95",IF(OR(AND(J1048&lt;&gt;"",NOT(ISNUMBER(J1048))),IFERROR(MOD(J1048,1),1)&gt;0,AND(ISNUMBER(J1048),OR(J1048&lt;50,J1048&gt;20000000))),"Введите целое число от 50 до 20000000",IF(NOT(ABS(IFERROR(VALUE(LEFT(M1048,FIND("-",M1048)-1)),M1048)*100-(2500+2000000000)/2)&lt;=ABS(2500-2000000000)/2),"Цена со скидкой должна быть от 25 до 20000000",IF(AND(IFERROR(VALUE(LEFT(M1048,FIND("-",M1048)-1)),M1048)*150&lt;=247239,IFERROR(VALUE(LEFT(M1048,FIND("-",M1048)-1)),M1048)*200&gt;247239),"Вы уменьшили цену в несколько раз, товар попадет в карантин цен",IF(IFERROR(VALUE(LEFT(M1048,FIND("-",M1048)-1)),M1048)*200&lt;=247239,"Не сохранили изменения, чтобы защитить от ошибки — новые цены меньше текущих более чем в 2 раза. Снижайте их постепенно",IF(AND(IFERROR(VALUE(I1048),0)=0,ISNUMBER(J1048),OR(J1048&lt;481,ABS(IFERROR(VALUE(LEFT(M1048,FIND("-",M1048)-1)),M1048))*100&lt;48100)),"Проверьте цену товара. Большинство товаров в выбранной категории стоят дороже 481","")))))),"")</f>
      </c>
    </row>
    <row r="1049">
      <c r="A1049" s="2" t="inlineStr">
        <is>
          <t/>
        </is>
      </c>
      <c r="B1049" s="2" t="inlineStr">
        <is>
          <t>Часы настенные</t>
        </is>
      </c>
      <c r="C1049" s="2">
        <v>765919357</v>
      </c>
      <c r="D1049" s="2" t="inlineStr">
        <is>
          <t>660497</t>
        </is>
      </c>
      <c r="E1049" s="2" t="inlineStr">
        <is>
          <t>2048428667434</t>
        </is>
      </c>
      <c r="F1049" s="2">
        <v>0</v>
      </c>
      <c r="G1049" s="2">
        <v>3</v>
      </c>
      <c r="H1049" s="2" t="inlineStr">
        <is>
          <t/>
        </is>
      </c>
      <c r="I1049" s="2" t="inlineStr">
        <is>
          <t>10124</t>
        </is>
      </c>
      <c r="J1049" s="4"/>
      <c r="K1049" s="2">
        <v>78</v>
      </c>
      <c r="L1049" s="6"/>
      <c r="M1049" s="2" t="str">
        <f>IF(J1049="",ROUND(I1049*(1-IF(ISBLANK(L1049),K1049,L1049)/100),2),ROUND(J1049*(1-IF(ISBLANK(L1049),K1049,L1049)/100),2))</f>
      </c>
      <c r="N1049" s="7" t="str">
        <f>IF(NOT(AND(J1049="",L1049="")),IF(OR(AND(L1049&lt;&gt;"",NOT(ISNUMBER(L1049))),IFERROR(MOD(L1049,1),1)&gt;0,AND(ISNUMBER(L1049),OR(L1049&lt;0,L1049&gt;95))),"Введите целое число от 0 до 95",IF(OR(AND(J1049&lt;&gt;"",NOT(ISNUMBER(J1049))),IFERROR(MOD(J1049,1),1)&gt;0,AND(ISNUMBER(J1049),OR(J1049&lt;50,J1049&gt;20000000))),"Введите целое число от 50 до 20000000",IF(NOT(ABS(IFERROR(VALUE(LEFT(M1049,FIND("-",M1049)-1)),M1049)*100-(2500+2000000000)/2)&lt;=ABS(2500-2000000000)/2),"Цена со скидкой должна быть от 25 до 20000000",IF(AND(IFERROR(VALUE(LEFT(M1049,FIND("-",M1049)-1)),M1049)*150&lt;=222727,IFERROR(VALUE(LEFT(M1049,FIND("-",M1049)-1)),M1049)*200&gt;222727),"Вы уменьшили цену в несколько раз, товар попадет в карантин цен",IF(IFERROR(VALUE(LEFT(M1049,FIND("-",M1049)-1)),M1049)*200&lt;=222727,"Не сохранили изменения, чтобы защитить от ошибки — новые цены меньше текущих более чем в 2 раза. Снижайте их постепенно",IF(AND(IFERROR(VALUE(I1049),0)=0,ISNUMBER(J1049),OR(J1049&lt;481,ABS(IFERROR(VALUE(LEFT(M1049,FIND("-",M1049)-1)),M1049))*100&lt;48100)),"Проверьте цену товара. Большинство товаров в выбранной категории стоят дороже 481","")))))),"")</f>
      </c>
    </row>
    <row r="1050">
      <c r="A1050" s="2" t="inlineStr">
        <is>
          <t/>
        </is>
      </c>
      <c r="B1050" s="2" t="inlineStr">
        <is>
          <t>Часы настенные</t>
        </is>
      </c>
      <c r="C1050" s="2">
        <v>765920474</v>
      </c>
      <c r="D1050" s="2" t="inlineStr">
        <is>
          <t>66026</t>
        </is>
      </c>
      <c r="E1050" s="2" t="inlineStr">
        <is>
          <t>2048428673565</t>
        </is>
      </c>
      <c r="F1050" s="2">
        <v>0</v>
      </c>
      <c r="G1050" s="2">
        <v>0</v>
      </c>
      <c r="H1050" s="2" t="inlineStr">
        <is>
          <t/>
        </is>
      </c>
      <c r="I1050" s="2" t="inlineStr">
        <is>
          <t>6072</t>
        </is>
      </c>
      <c r="J1050" s="4"/>
      <c r="K1050" s="2">
        <v>65</v>
      </c>
      <c r="L1050" s="6"/>
      <c r="M1050" s="2" t="str">
        <f>IF(J1050="",ROUND(I1050*(1-IF(ISBLANK(L1050),K1050,L1050)/100),2),ROUND(J1050*(1-IF(ISBLANK(L1050),K1050,L1050)/100),2))</f>
      </c>
      <c r="N1050" s="7" t="str">
        <f>IF(NOT(AND(J1050="",L1050="")),IF(OR(AND(L1050&lt;&gt;"",NOT(ISNUMBER(L1050))),IFERROR(MOD(L1050,1),1)&gt;0,AND(ISNUMBER(L1050),OR(L1050&lt;0,L1050&gt;95))),"Введите целое число от 0 до 95",IF(OR(AND(J1050&lt;&gt;"",NOT(ISNUMBER(J1050))),IFERROR(MOD(J1050,1),1)&gt;0,AND(ISNUMBER(J1050),OR(J1050&lt;50,J1050&gt;20000000))),"Введите целое число от 50 до 20000000",IF(NOT(ABS(IFERROR(VALUE(LEFT(M1050,FIND("-",M1050)-1)),M1050)*100-(2500+2000000000)/2)&lt;=ABS(2500-2000000000)/2),"Цена со скидкой должна быть от 25 до 20000000",IF(AND(IFERROR(VALUE(LEFT(M1050,FIND("-",M1050)-1)),M1050)*150&lt;=212519,IFERROR(VALUE(LEFT(M1050,FIND("-",M1050)-1)),M1050)*200&gt;212519),"Вы уменьшили цену в несколько раз, товар попадет в карантин цен",IF(IFERROR(VALUE(LEFT(M1050,FIND("-",M1050)-1)),M1050)*200&lt;=212519,"Не сохранили изменения, чтобы защитить от ошибки — новые цены меньше текущих более чем в 2 раза. Снижайте их постепенно",IF(AND(IFERROR(VALUE(I1050),0)=0,ISNUMBER(J1050),OR(J1050&lt;481,ABS(IFERROR(VALUE(LEFT(M1050,FIND("-",M1050)-1)),M1050))*100&lt;48100)),"Проверьте цену товара. Большинство товаров в выбранной категории стоят дороже 481","")))))),"")</f>
      </c>
    </row>
    <row r="1051">
      <c r="A1051" s="2" t="inlineStr">
        <is>
          <t/>
        </is>
      </c>
      <c r="B1051" s="2" t="inlineStr">
        <is>
          <t>Часы настенные</t>
        </is>
      </c>
      <c r="C1051" s="2">
        <v>765920469</v>
      </c>
      <c r="D1051" s="2" t="inlineStr">
        <is>
          <t>51084</t>
        </is>
      </c>
      <c r="E1051" s="2" t="inlineStr">
        <is>
          <t>2048428673510</t>
        </is>
      </c>
      <c r="F1051" s="2">
        <v>0</v>
      </c>
      <c r="G1051" s="2">
        <v>4</v>
      </c>
      <c r="H1051" s="2" t="inlineStr">
        <is>
          <t/>
        </is>
      </c>
      <c r="I1051" s="2" t="inlineStr">
        <is>
          <t>6168</t>
        </is>
      </c>
      <c r="J1051" s="4"/>
      <c r="K1051" s="2">
        <v>78</v>
      </c>
      <c r="L1051" s="6"/>
      <c r="M1051" s="2" t="str">
        <f>IF(J1051="",ROUND(I1051*(1-IF(ISBLANK(L1051),K1051,L1051)/100),2),ROUND(J1051*(1-IF(ISBLANK(L1051),K1051,L1051)/100),2))</f>
      </c>
      <c r="N1051" s="7" t="str">
        <f>IF(NOT(AND(J1051="",L1051="")),IF(OR(AND(L1051&lt;&gt;"",NOT(ISNUMBER(L1051))),IFERROR(MOD(L1051,1),1)&gt;0,AND(ISNUMBER(L1051),OR(L1051&lt;0,L1051&gt;95))),"Введите целое число от 0 до 95",IF(OR(AND(J1051&lt;&gt;"",NOT(ISNUMBER(J1051))),IFERROR(MOD(J1051,1),1)&gt;0,AND(ISNUMBER(J1051),OR(J1051&lt;50,J1051&gt;20000000))),"Введите целое число от 50 до 20000000",IF(NOT(ABS(IFERROR(VALUE(LEFT(M1051,FIND("-",M1051)-1)),M1051)*100-(2500+2000000000)/2)&lt;=ABS(2500-2000000000)/2),"Цена со скидкой должна быть от 25 до 20000000",IF(AND(IFERROR(VALUE(LEFT(M1051,FIND("-",M1051)-1)),M1051)*150&lt;=135695,IFERROR(VALUE(LEFT(M1051,FIND("-",M1051)-1)),M1051)*200&gt;135695),"Вы уменьшили цену в несколько раз, товар попадет в карантин цен",IF(IFERROR(VALUE(LEFT(M1051,FIND("-",M1051)-1)),M1051)*200&lt;=135695,"Не сохранили изменения, чтобы защитить от ошибки — новые цены меньше текущих более чем в 2 раза. Снижайте их постепенно",IF(AND(IFERROR(VALUE(I1051),0)=0,ISNUMBER(J1051),OR(J1051&lt;481,ABS(IFERROR(VALUE(LEFT(M1051,FIND("-",M1051)-1)),M1051))*100&lt;48100)),"Проверьте цену товара. Большинство товаров в выбранной категории стоят дороже 481","")))))),"")</f>
      </c>
    </row>
    <row r="1052">
      <c r="A1052" s="2" t="inlineStr">
        <is>
          <t/>
        </is>
      </c>
      <c r="B1052" s="2" t="inlineStr">
        <is>
          <t>Часы настенные</t>
        </is>
      </c>
      <c r="C1052" s="2">
        <v>765920473</v>
      </c>
      <c r="D1052" s="2" t="inlineStr">
        <is>
          <t>17919</t>
        </is>
      </c>
      <c r="E1052" s="2" t="inlineStr">
        <is>
          <t>2048428673558</t>
        </is>
      </c>
      <c r="F1052" s="2">
        <v>0</v>
      </c>
      <c r="G1052" s="2">
        <v>0</v>
      </c>
      <c r="H1052" s="2" t="inlineStr">
        <is>
          <t/>
        </is>
      </c>
      <c r="I1052" s="2" t="inlineStr">
        <is>
          <t>7974</t>
        </is>
      </c>
      <c r="J1052" s="4"/>
      <c r="K1052" s="2">
        <v>65</v>
      </c>
      <c r="L1052" s="6"/>
      <c r="M1052" s="2" t="str">
        <f>IF(J1052="",ROUND(I1052*(1-IF(ISBLANK(L1052),K1052,L1052)/100),2),ROUND(J1052*(1-IF(ISBLANK(L1052),K1052,L1052)/100),2))</f>
      </c>
      <c r="N1052" s="7" t="str">
        <f>IF(NOT(AND(J1052="",L1052="")),IF(OR(AND(L1052&lt;&gt;"",NOT(ISNUMBER(L1052))),IFERROR(MOD(L1052,1),1)&gt;0,AND(ISNUMBER(L1052),OR(L1052&lt;0,L1052&gt;95))),"Введите целое число от 0 до 95",IF(OR(AND(J1052&lt;&gt;"",NOT(ISNUMBER(J1052))),IFERROR(MOD(J1052,1),1)&gt;0,AND(ISNUMBER(J1052),OR(J1052&lt;50,J1052&gt;20000000))),"Введите целое число от 50 до 20000000",IF(NOT(ABS(IFERROR(VALUE(LEFT(M1052,FIND("-",M1052)-1)),M1052)*100-(2500+2000000000)/2)&lt;=ABS(2500-2000000000)/2),"Цена со скидкой должна быть от 25 до 20000000",IF(AND(IFERROR(VALUE(LEFT(M1052,FIND("-",M1052)-1)),M1052)*150&lt;=279089,IFERROR(VALUE(LEFT(M1052,FIND("-",M1052)-1)),M1052)*200&gt;279089),"Вы уменьшили цену в несколько раз, товар попадет в карантин цен",IF(IFERROR(VALUE(LEFT(M1052,FIND("-",M1052)-1)),M1052)*200&lt;=279089,"Не сохранили изменения, чтобы защитить от ошибки — новые цены меньше текущих более чем в 2 раза. Снижайте их постепенно",IF(AND(IFERROR(VALUE(I1052),0)=0,ISNUMBER(J1052),OR(J1052&lt;481,ABS(IFERROR(VALUE(LEFT(M1052,FIND("-",M1052)-1)),M1052))*100&lt;48100)),"Проверьте цену товара. Большинство товаров в выбранной категории стоят дороже 481","")))))),"")</f>
      </c>
    </row>
    <row r="1053">
      <c r="A1053" s="2" t="inlineStr">
        <is>
          <t/>
        </is>
      </c>
      <c r="B1053" s="2" t="inlineStr">
        <is>
          <t>Часы настенные</t>
        </is>
      </c>
      <c r="C1053" s="2">
        <v>765920460</v>
      </c>
      <c r="D1053" s="2" t="inlineStr">
        <is>
          <t>66952</t>
        </is>
      </c>
      <c r="E1053" s="2" t="inlineStr">
        <is>
          <t>2048428673411</t>
        </is>
      </c>
      <c r="F1053" s="2">
        <v>0</v>
      </c>
      <c r="G1053" s="2">
        <v>14</v>
      </c>
      <c r="H1053" s="2" t="inlineStr">
        <is>
          <t/>
        </is>
      </c>
      <c r="I1053" s="2" t="inlineStr">
        <is>
          <t>8476</t>
        </is>
      </c>
      <c r="J1053" s="4"/>
      <c r="K1053" s="2">
        <v>78</v>
      </c>
      <c r="L1053" s="6"/>
      <c r="M1053" s="2" t="str">
        <f>IF(J1053="",ROUND(I1053*(1-IF(ISBLANK(L1053),K1053,L1053)/100),2),ROUND(J1053*(1-IF(ISBLANK(L1053),K1053,L1053)/100),2))</f>
      </c>
      <c r="N1053" s="7" t="str">
        <f>IF(NOT(AND(J1053="",L1053="")),IF(OR(AND(L1053&lt;&gt;"",NOT(ISNUMBER(L1053))),IFERROR(MOD(L1053,1),1)&gt;0,AND(ISNUMBER(L1053),OR(L1053&lt;0,L1053&gt;95))),"Введите целое число от 0 до 95",IF(OR(AND(J1053&lt;&gt;"",NOT(ISNUMBER(J1053))),IFERROR(MOD(J1053,1),1)&gt;0,AND(ISNUMBER(J1053),OR(J1053&lt;50,J1053&gt;20000000))),"Введите целое число от 50 до 20000000",IF(NOT(ABS(IFERROR(VALUE(LEFT(M1053,FIND("-",M1053)-1)),M1053)*100-(2500+2000000000)/2)&lt;=ABS(2500-2000000000)/2),"Цена со скидкой должна быть от 25 до 20000000",IF(AND(IFERROR(VALUE(LEFT(M1053,FIND("-",M1053)-1)),M1053)*150&lt;=186471,IFERROR(VALUE(LEFT(M1053,FIND("-",M1053)-1)),M1053)*200&gt;186471),"Вы уменьшили цену в несколько раз, товар попадет в карантин цен",IF(IFERROR(VALUE(LEFT(M1053,FIND("-",M1053)-1)),M1053)*200&lt;=186471,"Не сохранили изменения, чтобы защитить от ошибки — новые цены меньше текущих более чем в 2 раза. Снижайте их постепенно",IF(AND(IFERROR(VALUE(I1053),0)=0,ISNUMBER(J1053),OR(J1053&lt;481,ABS(IFERROR(VALUE(LEFT(M1053,FIND("-",M1053)-1)),M1053))*100&lt;48100)),"Проверьте цену товара. Большинство товаров в выбранной категории стоят дороже 481","")))))),"")</f>
      </c>
    </row>
    <row r="1054">
      <c r="A1054" s="2" t="inlineStr">
        <is>
          <t/>
        </is>
      </c>
      <c r="B1054" s="2" t="inlineStr">
        <is>
          <t>Часы настенные</t>
        </is>
      </c>
      <c r="C1054" s="2">
        <v>765920462</v>
      </c>
      <c r="D1054" s="2" t="inlineStr">
        <is>
          <t>660476</t>
        </is>
      </c>
      <c r="E1054" s="2" t="inlineStr">
        <is>
          <t>2048428673435</t>
        </is>
      </c>
      <c r="F1054" s="2">
        <v>0</v>
      </c>
      <c r="G1054" s="2">
        <v>3</v>
      </c>
      <c r="H1054" s="2" t="inlineStr">
        <is>
          <t/>
        </is>
      </c>
      <c r="I1054" s="2" t="inlineStr">
        <is>
          <t>15768</t>
        </is>
      </c>
      <c r="J1054" s="4"/>
      <c r="K1054" s="2">
        <v>78</v>
      </c>
      <c r="L1054" s="6"/>
      <c r="M1054" s="2" t="str">
        <f>IF(J1054="",ROUND(I1054*(1-IF(ISBLANK(L1054),K1054,L1054)/100),2),ROUND(J1054*(1-IF(ISBLANK(L1054),K1054,L1054)/100),2))</f>
      </c>
      <c r="N1054" s="7" t="str">
        <f>IF(NOT(AND(J1054="",L1054="")),IF(OR(AND(L1054&lt;&gt;"",NOT(ISNUMBER(L1054))),IFERROR(MOD(L1054,1),1)&gt;0,AND(ISNUMBER(L1054),OR(L1054&lt;0,L1054&gt;95))),"Введите целое число от 0 до 95",IF(OR(AND(J1054&lt;&gt;"",NOT(ISNUMBER(J1054))),IFERROR(MOD(J1054,1),1)&gt;0,AND(ISNUMBER(J1054),OR(J1054&lt;50,J1054&gt;20000000))),"Введите целое число от 50 до 20000000",IF(NOT(ABS(IFERROR(VALUE(LEFT(M1054,FIND("-",M1054)-1)),M1054)*100-(2500+2000000000)/2)&lt;=ABS(2500-2000000000)/2),"Цена со скидкой должна быть от 25 до 20000000",IF(AND(IFERROR(VALUE(LEFT(M1054,FIND("-",M1054)-1)),M1054)*150&lt;=346895,IFERROR(VALUE(LEFT(M1054,FIND("-",M1054)-1)),M1054)*200&gt;346895),"Вы уменьшили цену в несколько раз, товар попадет в карантин цен",IF(IFERROR(VALUE(LEFT(M1054,FIND("-",M1054)-1)),M1054)*200&lt;=346895,"Не сохранили изменения, чтобы защитить от ошибки — новые цены меньше текущих более чем в 2 раза. Снижайте их постепенно",IF(AND(IFERROR(VALUE(I1054),0)=0,ISNUMBER(J1054),OR(J1054&lt;481,ABS(IFERROR(VALUE(LEFT(M1054,FIND("-",M1054)-1)),M1054))*100&lt;48100)),"Проверьте цену товара. Большинство товаров в выбранной категории стоят дороже 481","")))))),"")</f>
      </c>
    </row>
    <row r="1055">
      <c r="A1055" s="2" t="inlineStr">
        <is>
          <t/>
        </is>
      </c>
      <c r="B1055" s="2" t="inlineStr">
        <is>
          <t>Часы настенные</t>
        </is>
      </c>
      <c r="C1055" s="2">
        <v>765920468</v>
      </c>
      <c r="D1055" s="2" t="inlineStr">
        <is>
          <t>51083</t>
        </is>
      </c>
      <c r="E1055" s="2" t="inlineStr">
        <is>
          <t>2048428673497</t>
        </is>
      </c>
      <c r="F1055" s="2">
        <v>0</v>
      </c>
      <c r="G1055" s="2">
        <v>9</v>
      </c>
      <c r="H1055" s="2" t="inlineStr">
        <is>
          <t/>
        </is>
      </c>
      <c r="I1055" s="2" t="inlineStr">
        <is>
          <t>6865</t>
        </is>
      </c>
      <c r="J1055" s="4"/>
      <c r="K1055" s="2">
        <v>69</v>
      </c>
      <c r="L1055" s="6"/>
      <c r="M1055" s="2" t="str">
        <f>IF(J1055="",ROUND(I1055*(1-IF(ISBLANK(L1055),K1055,L1055)/100),2),ROUND(J1055*(1-IF(ISBLANK(L1055),K1055,L1055)/100),2))</f>
      </c>
      <c r="N1055" s="7" t="str">
        <f>IF(NOT(AND(J1055="",L1055="")),IF(OR(AND(L1055&lt;&gt;"",NOT(ISNUMBER(L1055))),IFERROR(MOD(L1055,1),1)&gt;0,AND(ISNUMBER(L1055),OR(L1055&lt;0,L1055&gt;95))),"Введите целое число от 0 до 95",IF(OR(AND(J1055&lt;&gt;"",NOT(ISNUMBER(J1055))),IFERROR(MOD(J1055,1),1)&gt;0,AND(ISNUMBER(J1055),OR(J1055&lt;50,J1055&gt;20000000))),"Введите целое число от 50 до 20000000",IF(NOT(ABS(IFERROR(VALUE(LEFT(M1055,FIND("-",M1055)-1)),M1055)*100-(2500+2000000000)/2)&lt;=ABS(2500-2000000000)/2),"Цена со скидкой должна быть от 25 до 20000000",IF(AND(IFERROR(VALUE(LEFT(M1055,FIND("-",M1055)-1)),M1055)*150&lt;=212815,IFERROR(VALUE(LEFT(M1055,FIND("-",M1055)-1)),M1055)*200&gt;212815),"Вы уменьшили цену в несколько раз, товар попадет в карантин цен",IF(IFERROR(VALUE(LEFT(M1055,FIND("-",M1055)-1)),M1055)*200&lt;=212815,"Не сохранили изменения, чтобы защитить от ошибки — новые цены меньше текущих более чем в 2 раза. Снижайте их постепенно",IF(AND(IFERROR(VALUE(I1055),0)=0,ISNUMBER(J1055),OR(J1055&lt;481,ABS(IFERROR(VALUE(LEFT(M1055,FIND("-",M1055)-1)),M1055))*100&lt;48100)),"Проверьте цену товара. Большинство товаров в выбранной категории стоят дороже 481","")))))),"")</f>
      </c>
    </row>
    <row r="1056">
      <c r="A1056" s="2" t="inlineStr">
        <is>
          <t/>
        </is>
      </c>
      <c r="B1056" s="2" t="inlineStr">
        <is>
          <t>Часы настенные</t>
        </is>
      </c>
      <c r="C1056" s="2">
        <v>765920476</v>
      </c>
      <c r="D1056" s="2" t="inlineStr">
        <is>
          <t>660391</t>
        </is>
      </c>
      <c r="E1056" s="2" t="inlineStr">
        <is>
          <t>2048428673589</t>
        </is>
      </c>
      <c r="F1056" s="2">
        <v>0</v>
      </c>
      <c r="G1056" s="2">
        <v>0</v>
      </c>
      <c r="H1056" s="2" t="inlineStr">
        <is>
          <t/>
        </is>
      </c>
      <c r="I1056" s="2" t="inlineStr">
        <is>
          <t>8280</t>
        </is>
      </c>
      <c r="J1056" s="4"/>
      <c r="K1056" s="2">
        <v>78</v>
      </c>
      <c r="L1056" s="6"/>
      <c r="M1056" s="2" t="str">
        <f>IF(J1056="",ROUND(I1056*(1-IF(ISBLANK(L1056),K1056,L1056)/100),2),ROUND(J1056*(1-IF(ISBLANK(L1056),K1056,L1056)/100),2))</f>
      </c>
      <c r="N1056" s="7" t="str">
        <f>IF(NOT(AND(J1056="",L1056="")),IF(OR(AND(L1056&lt;&gt;"",NOT(ISNUMBER(L1056))),IFERROR(MOD(L1056,1),1)&gt;0,AND(ISNUMBER(L1056),OR(L1056&lt;0,L1056&gt;95))),"Введите целое число от 0 до 95",IF(OR(AND(J1056&lt;&gt;"",NOT(ISNUMBER(J1056))),IFERROR(MOD(J1056,1),1)&gt;0,AND(ISNUMBER(J1056),OR(J1056&lt;50,J1056&gt;20000000))),"Введите целое число от 50 до 20000000",IF(NOT(ABS(IFERROR(VALUE(LEFT(M1056,FIND("-",M1056)-1)),M1056)*100-(2500+2000000000)/2)&lt;=ABS(2500-2000000000)/2),"Цена со скидкой должна быть от 25 до 20000000",IF(AND(IFERROR(VALUE(LEFT(M1056,FIND("-",M1056)-1)),M1056)*150&lt;=182159,IFERROR(VALUE(LEFT(M1056,FIND("-",M1056)-1)),M1056)*200&gt;182159),"Вы уменьшили цену в несколько раз, товар попадет в карантин цен",IF(IFERROR(VALUE(LEFT(M1056,FIND("-",M1056)-1)),M1056)*200&lt;=182159,"Не сохранили изменения, чтобы защитить от ошибки — новые цены меньше текущих более чем в 2 раза. Снижайте их постепенно",IF(AND(IFERROR(VALUE(I1056),0)=0,ISNUMBER(J1056),OR(J1056&lt;481,ABS(IFERROR(VALUE(LEFT(M1056,FIND("-",M1056)-1)),M1056))*100&lt;48100)),"Проверьте цену товара. Большинство товаров в выбранной категории стоят дороже 481","")))))),"")</f>
      </c>
    </row>
    <row r="1057">
      <c r="A1057" s="2" t="inlineStr">
        <is>
          <t/>
        </is>
      </c>
      <c r="B1057" s="2" t="inlineStr">
        <is>
          <t>Часы настенные</t>
        </is>
      </c>
      <c r="C1057" s="2">
        <v>765919352</v>
      </c>
      <c r="D1057" s="2" t="inlineStr">
        <is>
          <t>660501</t>
        </is>
      </c>
      <c r="E1057" s="2" t="inlineStr">
        <is>
          <t>2048428667380</t>
        </is>
      </c>
      <c r="F1057" s="2">
        <v>1</v>
      </c>
      <c r="G1057" s="2">
        <v>10</v>
      </c>
      <c r="H1057" s="2">
        <v>999</v>
      </c>
      <c r="I1057" s="2" t="inlineStr">
        <is>
          <t>11155</t>
        </is>
      </c>
      <c r="J1057" s="4"/>
      <c r="K1057" s="2">
        <v>78</v>
      </c>
      <c r="L1057" s="6"/>
      <c r="M1057" s="2" t="str">
        <f>IF(J1057="",ROUND(I1057*(1-IF(ISBLANK(L1057),K1057,L1057)/100),2),ROUND(J1057*(1-IF(ISBLANK(L1057),K1057,L1057)/100),2))</f>
      </c>
      <c r="N1057" s="7" t="str">
        <f>IF(NOT(AND(J1057="",L1057="")),IF(OR(AND(L1057&lt;&gt;"",NOT(ISNUMBER(L1057))),IFERROR(MOD(L1057,1),1)&gt;0,AND(ISNUMBER(L1057),OR(L1057&lt;0,L1057&gt;95))),"Введите целое число от 0 до 95",IF(OR(AND(J1057&lt;&gt;"",NOT(ISNUMBER(J1057))),IFERROR(MOD(J1057,1),1)&gt;0,AND(ISNUMBER(J1057),OR(J1057&lt;50,J1057&gt;20000000))),"Введите целое число от 50 до 20000000",IF(NOT(ABS(IFERROR(VALUE(LEFT(M1057,FIND("-",M1057)-1)),M1057)*100-(2500+2000000000)/2)&lt;=ABS(2500-2000000000)/2),"Цена со скидкой должна быть от 25 до 20000000",IF(AND(IFERROR(VALUE(LEFT(M1057,FIND("-",M1057)-1)),M1057)*150&lt;=245410,IFERROR(VALUE(LEFT(M1057,FIND("-",M1057)-1)),M1057)*200&gt;245410),"Вы уменьшили цену в несколько раз, товар попадет в карантин цен",IF(IFERROR(VALUE(LEFT(M1057,FIND("-",M1057)-1)),M1057)*200&lt;=245410,"Не сохранили изменения, чтобы защитить от ошибки — новые цены меньше текущих более чем в 2 раза. Снижайте их постепенно",IF(AND(IFERROR(VALUE(I1057),0)=0,ISNUMBER(J1057),OR(J1057&lt;481,ABS(IFERROR(VALUE(LEFT(M1057,FIND("-",M1057)-1)),M1057))*100&lt;48100)),"Проверьте цену товара. Большинство товаров в выбранной категории стоят дороже 481","")))))),"")</f>
      </c>
    </row>
    <row r="1058">
      <c r="A1058" s="2" t="inlineStr">
        <is>
          <t/>
        </is>
      </c>
      <c r="B1058" s="2" t="inlineStr">
        <is>
          <t>Часы настенные</t>
        </is>
      </c>
      <c r="C1058" s="2">
        <v>765919355</v>
      </c>
      <c r="D1058" s="2" t="inlineStr">
        <is>
          <t>660496</t>
        </is>
      </c>
      <c r="E1058" s="2" t="inlineStr">
        <is>
          <t>2048428667410</t>
        </is>
      </c>
      <c r="F1058" s="2">
        <v>0</v>
      </c>
      <c r="G1058" s="2">
        <v>0</v>
      </c>
      <c r="H1058" s="2" t="inlineStr">
        <is>
          <t/>
        </is>
      </c>
      <c r="I1058" s="2" t="inlineStr">
        <is>
          <t>10124</t>
        </is>
      </c>
      <c r="J1058" s="4"/>
      <c r="K1058" s="2">
        <v>69</v>
      </c>
      <c r="L1058" s="6"/>
      <c r="M1058" s="2" t="str">
        <f>IF(J1058="",ROUND(I1058*(1-IF(ISBLANK(L1058),K1058,L1058)/100),2),ROUND(J1058*(1-IF(ISBLANK(L1058),K1058,L1058)/100),2))</f>
      </c>
      <c r="N1058" s="7" t="str">
        <f>IF(NOT(AND(J1058="",L1058="")),IF(OR(AND(L1058&lt;&gt;"",NOT(ISNUMBER(L1058))),IFERROR(MOD(L1058,1),1)&gt;0,AND(ISNUMBER(L1058),OR(L1058&lt;0,L1058&gt;95))),"Введите целое число от 0 до 95",IF(OR(AND(J1058&lt;&gt;"",NOT(ISNUMBER(J1058))),IFERROR(MOD(J1058,1),1)&gt;0,AND(ISNUMBER(J1058),OR(J1058&lt;50,J1058&gt;20000000))),"Введите целое число от 50 до 20000000",IF(NOT(ABS(IFERROR(VALUE(LEFT(M1058,FIND("-",M1058)-1)),M1058)*100-(2500+2000000000)/2)&lt;=ABS(2500-2000000000)/2),"Цена со скидкой должна быть от 25 до 20000000",IF(AND(IFERROR(VALUE(LEFT(M1058,FIND("-",M1058)-1)),M1058)*150&lt;=313844,IFERROR(VALUE(LEFT(M1058,FIND("-",M1058)-1)),M1058)*200&gt;313844),"Вы уменьшили цену в несколько раз, товар попадет в карантин цен",IF(IFERROR(VALUE(LEFT(M1058,FIND("-",M1058)-1)),M1058)*200&lt;=313844,"Не сохранили изменения, чтобы защитить от ошибки — новые цены меньше текущих более чем в 2 раза. Снижайте их постепенно",IF(AND(IFERROR(VALUE(I1058),0)=0,ISNUMBER(J1058),OR(J1058&lt;481,ABS(IFERROR(VALUE(LEFT(M1058,FIND("-",M1058)-1)),M1058))*100&lt;48100)),"Проверьте цену товара. Большинство товаров в выбранной категории стоят дороже 481","")))))),"")</f>
      </c>
    </row>
    <row r="1059">
      <c r="A1059" s="2" t="inlineStr">
        <is>
          <t/>
        </is>
      </c>
      <c r="B1059" s="2" t="inlineStr">
        <is>
          <t>Часы настенные</t>
        </is>
      </c>
      <c r="C1059" s="2">
        <v>765919344</v>
      </c>
      <c r="D1059" s="2" t="inlineStr">
        <is>
          <t>660481</t>
        </is>
      </c>
      <c r="E1059" s="2" t="inlineStr">
        <is>
          <t>2048428667281</t>
        </is>
      </c>
      <c r="F1059" s="2" t="inlineStr">
        <is>
          <t/>
        </is>
      </c>
      <c r="G1059" s="2" t="inlineStr">
        <is>
          <t/>
        </is>
      </c>
      <c r="H1059" s="2" t="inlineStr">
        <is>
          <t/>
        </is>
      </c>
      <c r="I1059" s="2" t="inlineStr">
        <is>
          <t>8640</t>
        </is>
      </c>
      <c r="J1059" s="4"/>
      <c r="K1059" s="2">
        <v>65</v>
      </c>
      <c r="L1059" s="6"/>
      <c r="M1059" s="2" t="str">
        <f>IF(J1059="",ROUND(I1059*(1-IF(ISBLANK(L1059),K1059,L1059)/100),2),ROUND(J1059*(1-IF(ISBLANK(L1059),K1059,L1059)/100),2))</f>
      </c>
      <c r="N1059" s="7" t="str">
        <f>IF(NOT(AND(J1059="",L1059="")),IF(OR(AND(L1059&lt;&gt;"",NOT(ISNUMBER(L1059))),IFERROR(MOD(L1059,1),1)&gt;0,AND(ISNUMBER(L1059),OR(L1059&lt;0,L1059&gt;95))),"Введите целое число от 0 до 95",IF(OR(AND(J1059&lt;&gt;"",NOT(ISNUMBER(J1059))),IFERROR(MOD(J1059,1),1)&gt;0,AND(ISNUMBER(J1059),OR(J1059&lt;50,J1059&gt;20000000))),"Введите целое число от 50 до 20000000",IF(NOT(ABS(IFERROR(VALUE(LEFT(M1059,FIND("-",M1059)-1)),M1059)*100-(2500+2000000000)/2)&lt;=ABS(2500-2000000000)/2),"Цена со скидкой должна быть от 25 до 20000000",IF(AND(IFERROR(VALUE(LEFT(M1059,FIND("-",M1059)-1)),M1059)*150&lt;=302400,IFERROR(VALUE(LEFT(M1059,FIND("-",M1059)-1)),M1059)*200&gt;302400),"Вы уменьшили цену в несколько раз, товар попадет в карантин цен",IF(IFERROR(VALUE(LEFT(M1059,FIND("-",M1059)-1)),M1059)*200&lt;=302400,"Не сохранили изменения, чтобы защитить от ошибки — новые цены меньше текущих более чем в 2 раза. Снижайте их постепенно",IF(AND(IFERROR(VALUE(I1059),0)=0,ISNUMBER(J1059),OR(J1059&lt;481,ABS(IFERROR(VALUE(LEFT(M1059,FIND("-",M1059)-1)),M1059))*100&lt;48100)),"Проверьте цену товара. Большинство товаров в выбранной категории стоят дороже 481","")))))),"")</f>
      </c>
    </row>
    <row r="1060">
      <c r="A1060" s="2" t="inlineStr">
        <is>
          <t/>
        </is>
      </c>
      <c r="B1060" s="2" t="inlineStr">
        <is>
          <t>Часы настенные</t>
        </is>
      </c>
      <c r="C1060" s="2">
        <v>765919349</v>
      </c>
      <c r="D1060" s="2" t="inlineStr">
        <is>
          <t>660490</t>
        </is>
      </c>
      <c r="E1060" s="2" t="inlineStr">
        <is>
          <t>2048428667359</t>
        </is>
      </c>
      <c r="F1060" s="2">
        <v>6</v>
      </c>
      <c r="G1060" s="2">
        <v>0</v>
      </c>
      <c r="H1060" s="2">
        <v>999</v>
      </c>
      <c r="I1060" s="2" t="inlineStr">
        <is>
          <t>8258</t>
        </is>
      </c>
      <c r="J1060" s="4"/>
      <c r="K1060" s="2">
        <v>81</v>
      </c>
      <c r="L1060" s="6"/>
      <c r="M1060" s="2" t="str">
        <f>IF(J1060="",ROUND(I1060*(1-IF(ISBLANK(L1060),K1060,L1060)/100),2),ROUND(J1060*(1-IF(ISBLANK(L1060),K1060,L1060)/100),2))</f>
      </c>
      <c r="N1060" s="7" t="str">
        <f>IF(NOT(AND(J1060="",L1060="")),IF(OR(AND(L1060&lt;&gt;"",NOT(ISNUMBER(L1060))),IFERROR(MOD(L1060,1),1)&gt;0,AND(ISNUMBER(L1060),OR(L1060&lt;0,L1060&gt;95))),"Введите целое число от 0 до 95",IF(OR(AND(J1060&lt;&gt;"",NOT(ISNUMBER(J1060))),IFERROR(MOD(J1060,1),1)&gt;0,AND(ISNUMBER(J1060),OR(J1060&lt;50,J1060&gt;20000000))),"Введите целое число от 50 до 20000000",IF(NOT(ABS(IFERROR(VALUE(LEFT(M1060,FIND("-",M1060)-1)),M1060)*100-(2500+2000000000)/2)&lt;=ABS(2500-2000000000)/2),"Цена со скидкой должна быть от 25 до 20000000",IF(AND(IFERROR(VALUE(LEFT(M1060,FIND("-",M1060)-1)),M1060)*150&lt;=156901,IFERROR(VALUE(LEFT(M1060,FIND("-",M1060)-1)),M1060)*200&gt;156901),"Вы уменьшили цену в несколько раз, товар попадет в карантин цен",IF(IFERROR(VALUE(LEFT(M1060,FIND("-",M1060)-1)),M1060)*200&lt;=156901,"Не сохранили изменения, чтобы защитить от ошибки — новые цены меньше текущих более чем в 2 раза. Снижайте их постепенно",IF(AND(IFERROR(VALUE(I1060),0)=0,ISNUMBER(J1060),OR(J1060&lt;481,ABS(IFERROR(VALUE(LEFT(M1060,FIND("-",M1060)-1)),M1060))*100&lt;48100)),"Проверьте цену товара. Большинство товаров в выбранной категории стоят дороже 481","")))))),"")</f>
      </c>
    </row>
    <row r="1061">
      <c r="A1061" s="2" t="inlineStr">
        <is>
          <t/>
        </is>
      </c>
      <c r="B1061" s="2" t="inlineStr">
        <is>
          <t>Часы настенные</t>
        </is>
      </c>
      <c r="C1061" s="2">
        <v>765919348</v>
      </c>
      <c r="D1061" s="2" t="inlineStr">
        <is>
          <t>660528</t>
        </is>
      </c>
      <c r="E1061" s="2" t="inlineStr">
        <is>
          <t>2048428667342</t>
        </is>
      </c>
      <c r="F1061" s="2">
        <v>0</v>
      </c>
      <c r="G1061" s="2">
        <v>0</v>
      </c>
      <c r="H1061" s="2" t="inlineStr">
        <is>
          <t/>
        </is>
      </c>
      <c r="I1061" s="2" t="inlineStr">
        <is>
          <t>8913</t>
        </is>
      </c>
      <c r="J1061" s="4"/>
      <c r="K1061" s="2">
        <v>65</v>
      </c>
      <c r="L1061" s="6"/>
      <c r="M1061" s="2" t="str">
        <f>IF(J1061="",ROUND(I1061*(1-IF(ISBLANK(L1061),K1061,L1061)/100),2),ROUND(J1061*(1-IF(ISBLANK(L1061),K1061,L1061)/100),2))</f>
      </c>
      <c r="N1061" s="7" t="str">
        <f>IF(NOT(AND(J1061="",L1061="")),IF(OR(AND(L1061&lt;&gt;"",NOT(ISNUMBER(L1061))),IFERROR(MOD(L1061,1),1)&gt;0,AND(ISNUMBER(L1061),OR(L1061&lt;0,L1061&gt;95))),"Введите целое число от 0 до 95",IF(OR(AND(J1061&lt;&gt;"",NOT(ISNUMBER(J1061))),IFERROR(MOD(J1061,1),1)&gt;0,AND(ISNUMBER(J1061),OR(J1061&lt;50,J1061&gt;20000000))),"Введите целое число от 50 до 20000000",IF(NOT(ABS(IFERROR(VALUE(LEFT(M1061,FIND("-",M1061)-1)),M1061)*100-(2500+2000000000)/2)&lt;=ABS(2500-2000000000)/2),"Цена со скидкой должна быть от 25 до 20000000",IF(AND(IFERROR(VALUE(LEFT(M1061,FIND("-",M1061)-1)),M1061)*150&lt;=311955,IFERROR(VALUE(LEFT(M1061,FIND("-",M1061)-1)),M1061)*200&gt;311955),"Вы уменьшили цену в несколько раз, товар попадет в карантин цен",IF(IFERROR(VALUE(LEFT(M1061,FIND("-",M1061)-1)),M1061)*200&lt;=311955,"Не сохранили изменения, чтобы защитить от ошибки — новые цены меньше текущих более чем в 2 раза. Снижайте их постепенно",IF(AND(IFERROR(VALUE(I1061),0)=0,ISNUMBER(J1061),OR(J1061&lt;481,ABS(IFERROR(VALUE(LEFT(M1061,FIND("-",M1061)-1)),M1061))*100&lt;48100)),"Проверьте цену товара. Большинство товаров в выбранной категории стоят дороже 481","")))))),"")</f>
      </c>
    </row>
    <row r="1062">
      <c r="A1062" s="2" t="inlineStr">
        <is>
          <t/>
        </is>
      </c>
      <c r="B1062" s="2" t="inlineStr">
        <is>
          <t>Часы настенные</t>
        </is>
      </c>
      <c r="C1062" s="2">
        <v>765919343</v>
      </c>
      <c r="D1062" s="2" t="inlineStr">
        <is>
          <t>660479</t>
        </is>
      </c>
      <c r="E1062" s="2" t="inlineStr">
        <is>
          <t>2048428667274</t>
        </is>
      </c>
      <c r="F1062" s="2">
        <v>0</v>
      </c>
      <c r="G1062" s="2">
        <v>6</v>
      </c>
      <c r="H1062" s="2" t="inlineStr">
        <is>
          <t/>
        </is>
      </c>
      <c r="I1062" s="2" t="inlineStr">
        <is>
          <t>7157</t>
        </is>
      </c>
      <c r="J1062" s="4"/>
      <c r="K1062" s="2">
        <v>78</v>
      </c>
      <c r="L1062" s="6"/>
      <c r="M1062" s="2" t="str">
        <f>IF(J1062="",ROUND(I1062*(1-IF(ISBLANK(L1062),K1062,L1062)/100),2),ROUND(J1062*(1-IF(ISBLANK(L1062),K1062,L1062)/100),2))</f>
      </c>
      <c r="N1062" s="7" t="str">
        <f>IF(NOT(AND(J1062="",L1062="")),IF(OR(AND(L1062&lt;&gt;"",NOT(ISNUMBER(L1062))),IFERROR(MOD(L1062,1),1)&gt;0,AND(ISNUMBER(L1062),OR(L1062&lt;0,L1062&gt;95))),"Введите целое число от 0 до 95",IF(OR(AND(J1062&lt;&gt;"",NOT(ISNUMBER(J1062))),IFERROR(MOD(J1062,1),1)&gt;0,AND(ISNUMBER(J1062),OR(J1062&lt;50,J1062&gt;20000000))),"Введите целое число от 50 до 20000000",IF(NOT(ABS(IFERROR(VALUE(LEFT(M1062,FIND("-",M1062)-1)),M1062)*100-(2500+2000000000)/2)&lt;=ABS(2500-2000000000)/2),"Цена со скидкой должна быть от 25 до 20000000",IF(AND(IFERROR(VALUE(LEFT(M1062,FIND("-",M1062)-1)),M1062)*150&lt;=157453,IFERROR(VALUE(LEFT(M1062,FIND("-",M1062)-1)),M1062)*200&gt;157453),"Вы уменьшили цену в несколько раз, товар попадет в карантин цен",IF(IFERROR(VALUE(LEFT(M1062,FIND("-",M1062)-1)),M1062)*200&lt;=157453,"Не сохранили изменения, чтобы защитить от ошибки — новые цены меньше текущих более чем в 2 раза. Снижайте их постепенно",IF(AND(IFERROR(VALUE(I1062),0)=0,ISNUMBER(J1062),OR(J1062&lt;481,ABS(IFERROR(VALUE(LEFT(M1062,FIND("-",M1062)-1)),M1062))*100&lt;48100)),"Проверьте цену товара. Большинство товаров в выбранной категории стоят дороже 481","")))))),"")</f>
      </c>
    </row>
    <row r="1063">
      <c r="A1063" s="2" t="inlineStr">
        <is>
          <t/>
        </is>
      </c>
      <c r="B1063" s="2" t="inlineStr">
        <is>
          <t>Часы настенные</t>
        </is>
      </c>
      <c r="C1063" s="2">
        <v>765920472</v>
      </c>
      <c r="D1063" s="2" t="inlineStr">
        <is>
          <t>17939</t>
        </is>
      </c>
      <c r="E1063" s="2" t="inlineStr">
        <is>
          <t>2048428673541</t>
        </is>
      </c>
      <c r="F1063" s="2">
        <v>0</v>
      </c>
      <c r="G1063" s="2">
        <v>10</v>
      </c>
      <c r="H1063" s="2" t="inlineStr">
        <is>
          <t/>
        </is>
      </c>
      <c r="I1063" s="2" t="inlineStr">
        <is>
          <t>7120</t>
        </is>
      </c>
      <c r="J1063" s="4"/>
      <c r="K1063" s="2">
        <v>75</v>
      </c>
      <c r="L1063" s="6"/>
      <c r="M1063" s="2" t="str">
        <f>IF(J1063="",ROUND(I1063*(1-IF(ISBLANK(L1063),K1063,L1063)/100),2),ROUND(J1063*(1-IF(ISBLANK(L1063),K1063,L1063)/100),2))</f>
      </c>
      <c r="N1063" s="7" t="str">
        <f>IF(NOT(AND(J1063="",L1063="")),IF(OR(AND(L1063&lt;&gt;"",NOT(ISNUMBER(L1063))),IFERROR(MOD(L1063,1),1)&gt;0,AND(ISNUMBER(L1063),OR(L1063&lt;0,L1063&gt;95))),"Введите целое число от 0 до 95",IF(OR(AND(J1063&lt;&gt;"",NOT(ISNUMBER(J1063))),IFERROR(MOD(J1063,1),1)&gt;0,AND(ISNUMBER(J1063),OR(J1063&lt;50,J1063&gt;20000000))),"Введите целое число от 50 до 20000000",IF(NOT(ABS(IFERROR(VALUE(LEFT(M1063,FIND("-",M1063)-1)),M1063)*100-(2500+2000000000)/2)&lt;=ABS(2500-2000000000)/2),"Цена со скидкой должна быть от 25 до 20000000",IF(AND(IFERROR(VALUE(LEFT(M1063,FIND("-",M1063)-1)),M1063)*150&lt;=178000,IFERROR(VALUE(LEFT(M1063,FIND("-",M1063)-1)),M1063)*200&gt;178000),"Вы уменьшили цену в несколько раз, товар попадет в карантин цен",IF(IFERROR(VALUE(LEFT(M1063,FIND("-",M1063)-1)),M1063)*200&lt;=178000,"Не сохранили изменения, чтобы защитить от ошибки — новые цены меньше текущих более чем в 2 раза. Снижайте их постепенно",IF(AND(IFERROR(VALUE(I1063),0)=0,ISNUMBER(J1063),OR(J1063&lt;481,ABS(IFERROR(VALUE(LEFT(M1063,FIND("-",M1063)-1)),M1063))*100&lt;48100)),"Проверьте цену товара. Большинство товаров в выбранной категории стоят дороже 481","")))))),"")</f>
      </c>
    </row>
    <row r="1064">
      <c r="A1064" s="2" t="inlineStr">
        <is>
          <t/>
        </is>
      </c>
      <c r="B1064" s="2" t="inlineStr">
        <is>
          <t>Часы настенные</t>
        </is>
      </c>
      <c r="C1064" s="2">
        <v>765919354</v>
      </c>
      <c r="D1064" s="2" t="inlineStr">
        <is>
          <t>660495</t>
        </is>
      </c>
      <c r="E1064" s="2" t="inlineStr">
        <is>
          <t>2048428667403</t>
        </is>
      </c>
      <c r="F1064" s="2">
        <v>0</v>
      </c>
      <c r="G1064" s="2">
        <v>11</v>
      </c>
      <c r="H1064" s="2" t="inlineStr">
        <is>
          <t/>
        </is>
      </c>
      <c r="I1064" s="2" t="inlineStr">
        <is>
          <t>10445</t>
        </is>
      </c>
      <c r="J1064" s="4"/>
      <c r="K1064" s="2">
        <v>78</v>
      </c>
      <c r="L1064" s="6"/>
      <c r="M1064" s="2" t="str">
        <f>IF(J1064="",ROUND(I1064*(1-IF(ISBLANK(L1064),K1064,L1064)/100),2),ROUND(J1064*(1-IF(ISBLANK(L1064),K1064,L1064)/100),2))</f>
      </c>
      <c r="N1064" s="7" t="str">
        <f>IF(NOT(AND(J1064="",L1064="")),IF(OR(AND(L1064&lt;&gt;"",NOT(ISNUMBER(L1064))),IFERROR(MOD(L1064,1),1)&gt;0,AND(ISNUMBER(L1064),OR(L1064&lt;0,L1064&gt;95))),"Введите целое число от 0 до 95",IF(OR(AND(J1064&lt;&gt;"",NOT(ISNUMBER(J1064))),IFERROR(MOD(J1064,1),1)&gt;0,AND(ISNUMBER(J1064),OR(J1064&lt;50,J1064&gt;20000000))),"Введите целое число от 50 до 20000000",IF(NOT(ABS(IFERROR(VALUE(LEFT(M1064,FIND("-",M1064)-1)),M1064)*100-(2500+2000000000)/2)&lt;=ABS(2500-2000000000)/2),"Цена со скидкой должна быть от 25 до 20000000",IF(AND(IFERROR(VALUE(LEFT(M1064,FIND("-",M1064)-1)),M1064)*150&lt;=229789,IFERROR(VALUE(LEFT(M1064,FIND("-",M1064)-1)),M1064)*200&gt;229789),"Вы уменьшили цену в несколько раз, товар попадет в карантин цен",IF(IFERROR(VALUE(LEFT(M1064,FIND("-",M1064)-1)),M1064)*200&lt;=229789,"Не сохранили изменения, чтобы защитить от ошибки — новые цены меньше текущих более чем в 2 раза. Снижайте их постепенно",IF(AND(IFERROR(VALUE(I1064),0)=0,ISNUMBER(J1064),OR(J1064&lt;481,ABS(IFERROR(VALUE(LEFT(M1064,FIND("-",M1064)-1)),M1064))*100&lt;48100)),"Проверьте цену товара. Большинство товаров в выбранной категории стоят дороже 481","")))))),"")</f>
      </c>
    </row>
    <row r="1065">
      <c r="A1065" s="2" t="inlineStr">
        <is>
          <t/>
        </is>
      </c>
      <c r="B1065" s="2" t="inlineStr">
        <is>
          <t>Часы настенные</t>
        </is>
      </c>
      <c r="C1065" s="2">
        <v>765919359</v>
      </c>
      <c r="D1065" s="2" t="inlineStr">
        <is>
          <t>660498</t>
        </is>
      </c>
      <c r="E1065" s="2" t="inlineStr">
        <is>
          <t>2048428667465</t>
        </is>
      </c>
      <c r="F1065" s="2">
        <v>0</v>
      </c>
      <c r="G1065" s="2">
        <v>1</v>
      </c>
      <c r="H1065" s="2" t="inlineStr">
        <is>
          <t/>
        </is>
      </c>
      <c r="I1065" s="2" t="inlineStr">
        <is>
          <t>8370</t>
        </is>
      </c>
      <c r="J1065" s="4"/>
      <c r="K1065" s="2">
        <v>78</v>
      </c>
      <c r="L1065" s="6"/>
      <c r="M1065" s="2" t="str">
        <f>IF(J1065="",ROUND(I1065*(1-IF(ISBLANK(L1065),K1065,L1065)/100),2),ROUND(J1065*(1-IF(ISBLANK(L1065),K1065,L1065)/100),2))</f>
      </c>
      <c r="N1065" s="7" t="str">
        <f>IF(NOT(AND(J1065="",L1065="")),IF(OR(AND(L1065&lt;&gt;"",NOT(ISNUMBER(L1065))),IFERROR(MOD(L1065,1),1)&gt;0,AND(ISNUMBER(L1065),OR(L1065&lt;0,L1065&gt;95))),"Введите целое число от 0 до 95",IF(OR(AND(J1065&lt;&gt;"",NOT(ISNUMBER(J1065))),IFERROR(MOD(J1065,1),1)&gt;0,AND(ISNUMBER(J1065),OR(J1065&lt;50,J1065&gt;20000000))),"Введите целое число от 50 до 20000000",IF(NOT(ABS(IFERROR(VALUE(LEFT(M1065,FIND("-",M1065)-1)),M1065)*100-(2500+2000000000)/2)&lt;=ABS(2500-2000000000)/2),"Цена со скидкой должна быть от 25 до 20000000",IF(AND(IFERROR(VALUE(LEFT(M1065,FIND("-",M1065)-1)),M1065)*150&lt;=184140,IFERROR(VALUE(LEFT(M1065,FIND("-",M1065)-1)),M1065)*200&gt;184140),"Вы уменьшили цену в несколько раз, товар попадет в карантин цен",IF(IFERROR(VALUE(LEFT(M1065,FIND("-",M1065)-1)),M1065)*200&lt;=184140,"Не сохранили изменения, чтобы защитить от ошибки — новые цены меньше текущих более чем в 2 раза. Снижайте их постепенно",IF(AND(IFERROR(VALUE(I1065),0)=0,ISNUMBER(J1065),OR(J1065&lt;481,ABS(IFERROR(VALUE(LEFT(M1065,FIND("-",M1065)-1)),M1065))*100&lt;48100)),"Проверьте цену товара. Большинство товаров в выбранной категории стоят дороже 481","")))))),"")</f>
      </c>
    </row>
    <row r="1066">
      <c r="A1066" s="2" t="inlineStr">
        <is>
          <t/>
        </is>
      </c>
      <c r="B1066" s="2" t="inlineStr">
        <is>
          <t>Часы настенные</t>
        </is>
      </c>
      <c r="C1066" s="2">
        <v>765920461</v>
      </c>
      <c r="D1066" s="2" t="inlineStr">
        <is>
          <t>660475</t>
        </is>
      </c>
      <c r="E1066" s="2" t="inlineStr">
        <is>
          <t>2048428673428</t>
        </is>
      </c>
      <c r="F1066" s="2">
        <v>0</v>
      </c>
      <c r="G1066" s="2">
        <v>1</v>
      </c>
      <c r="H1066" s="2" t="inlineStr">
        <is>
          <t/>
        </is>
      </c>
      <c r="I1066" s="2" t="inlineStr">
        <is>
          <t>12137</t>
        </is>
      </c>
      <c r="J1066" s="4"/>
      <c r="K1066" s="2">
        <v>78</v>
      </c>
      <c r="L1066" s="6"/>
      <c r="M1066" s="2" t="str">
        <f>IF(J1066="",ROUND(I1066*(1-IF(ISBLANK(L1066),K1066,L1066)/100),2),ROUND(J1066*(1-IF(ISBLANK(L1066),K1066,L1066)/100),2))</f>
      </c>
      <c r="N1066" s="7" t="str">
        <f>IF(NOT(AND(J1066="",L1066="")),IF(OR(AND(L1066&lt;&gt;"",NOT(ISNUMBER(L1066))),IFERROR(MOD(L1066,1),1)&gt;0,AND(ISNUMBER(L1066),OR(L1066&lt;0,L1066&gt;95))),"Введите целое число от 0 до 95",IF(OR(AND(J1066&lt;&gt;"",NOT(ISNUMBER(J1066))),IFERROR(MOD(J1066,1),1)&gt;0,AND(ISNUMBER(J1066),OR(J1066&lt;50,J1066&gt;20000000))),"Введите целое число от 50 до 20000000",IF(NOT(ABS(IFERROR(VALUE(LEFT(M1066,FIND("-",M1066)-1)),M1066)*100-(2500+2000000000)/2)&lt;=ABS(2500-2000000000)/2),"Цена со скидкой должна быть от 25 до 20000000",IF(AND(IFERROR(VALUE(LEFT(M1066,FIND("-",M1066)-1)),M1066)*150&lt;=267014,IFERROR(VALUE(LEFT(M1066,FIND("-",M1066)-1)),M1066)*200&gt;267014),"Вы уменьшили цену в несколько раз, товар попадет в карантин цен",IF(IFERROR(VALUE(LEFT(M1066,FIND("-",M1066)-1)),M1066)*200&lt;=267014,"Не сохранили изменения, чтобы защитить от ошибки — новые цены меньше текущих более чем в 2 раза. Снижайте их постепенно",IF(AND(IFERROR(VALUE(I1066),0)=0,ISNUMBER(J1066),OR(J1066&lt;481,ABS(IFERROR(VALUE(LEFT(M1066,FIND("-",M1066)-1)),M1066))*100&lt;48100)),"Проверьте цену товара. Большинство товаров в выбранной категории стоят дороже 481","")))))),"")</f>
      </c>
    </row>
    <row r="1067">
      <c r="A1067" s="2" t="inlineStr">
        <is>
          <t/>
        </is>
      </c>
      <c r="B1067" s="2" t="inlineStr">
        <is>
          <t>Часы настенные</t>
        </is>
      </c>
      <c r="C1067" s="2">
        <v>765920470</v>
      </c>
      <c r="D1067" s="2" t="inlineStr">
        <is>
          <t>190252</t>
        </is>
      </c>
      <c r="E1067" s="2" t="inlineStr">
        <is>
          <t>2048428673527</t>
        </is>
      </c>
      <c r="F1067" s="2">
        <v>0</v>
      </c>
      <c r="G1067" s="2">
        <v>2</v>
      </c>
      <c r="H1067" s="2" t="inlineStr">
        <is>
          <t/>
        </is>
      </c>
      <c r="I1067" s="2" t="inlineStr">
        <is>
          <t>6888</t>
        </is>
      </c>
      <c r="J1067" s="4"/>
      <c r="K1067" s="2">
        <v>78</v>
      </c>
      <c r="L1067" s="6"/>
      <c r="M1067" s="2" t="str">
        <f>IF(J1067="",ROUND(I1067*(1-IF(ISBLANK(L1067),K1067,L1067)/100),2),ROUND(J1067*(1-IF(ISBLANK(L1067),K1067,L1067)/100),2))</f>
      </c>
      <c r="N1067" s="7" t="str">
        <f>IF(NOT(AND(J1067="",L1067="")),IF(OR(AND(L1067&lt;&gt;"",NOT(ISNUMBER(L1067))),IFERROR(MOD(L1067,1),1)&gt;0,AND(ISNUMBER(L1067),OR(L1067&lt;0,L1067&gt;95))),"Введите целое число от 0 до 95",IF(OR(AND(J1067&lt;&gt;"",NOT(ISNUMBER(J1067))),IFERROR(MOD(J1067,1),1)&gt;0,AND(ISNUMBER(J1067),OR(J1067&lt;50,J1067&gt;20000000))),"Введите целое число от 50 до 20000000",IF(NOT(ABS(IFERROR(VALUE(LEFT(M1067,FIND("-",M1067)-1)),M1067)*100-(2500+2000000000)/2)&lt;=ABS(2500-2000000000)/2),"Цена со скидкой должна быть от 25 до 20000000",IF(AND(IFERROR(VALUE(LEFT(M1067,FIND("-",M1067)-1)),M1067)*150&lt;=151536,IFERROR(VALUE(LEFT(M1067,FIND("-",M1067)-1)),M1067)*200&gt;151536),"Вы уменьшили цену в несколько раз, товар попадет в карантин цен",IF(IFERROR(VALUE(LEFT(M1067,FIND("-",M1067)-1)),M1067)*200&lt;=151536,"Не сохранили изменения, чтобы защитить от ошибки — новые цены меньше текущих более чем в 2 раза. Снижайте их постепенно",IF(AND(IFERROR(VALUE(I1067),0)=0,ISNUMBER(J1067),OR(J1067&lt;481,ABS(IFERROR(VALUE(LEFT(M1067,FIND("-",M1067)-1)),M1067))*100&lt;48100)),"Проверьте цену товара. Большинство товаров в выбранной категории стоят дороже 481","")))))),"")</f>
      </c>
    </row>
    <row r="1068">
      <c r="A1068" s="2" t="inlineStr">
        <is>
          <t/>
        </is>
      </c>
      <c r="B1068" s="2" t="inlineStr">
        <is>
          <t>Часы настенные</t>
        </is>
      </c>
      <c r="C1068" s="2">
        <v>765920459</v>
      </c>
      <c r="D1068" s="2" t="inlineStr">
        <is>
          <t>660514</t>
        </is>
      </c>
      <c r="E1068" s="2" t="inlineStr">
        <is>
          <t>2048428673404</t>
        </is>
      </c>
      <c r="F1068" s="2">
        <v>0</v>
      </c>
      <c r="G1068" s="2">
        <v>4</v>
      </c>
      <c r="H1068" s="2" t="inlineStr">
        <is>
          <t/>
        </is>
      </c>
      <c r="I1068" s="2" t="inlineStr">
        <is>
          <t>7548</t>
        </is>
      </c>
      <c r="J1068" s="4"/>
      <c r="K1068" s="2">
        <v>78</v>
      </c>
      <c r="L1068" s="6"/>
      <c r="M1068" s="2" t="str">
        <f>IF(J1068="",ROUND(I1068*(1-IF(ISBLANK(L1068),K1068,L1068)/100),2),ROUND(J1068*(1-IF(ISBLANK(L1068),K1068,L1068)/100),2))</f>
      </c>
      <c r="N1068" s="7" t="str">
        <f>IF(NOT(AND(J1068="",L1068="")),IF(OR(AND(L1068&lt;&gt;"",NOT(ISNUMBER(L1068))),IFERROR(MOD(L1068,1),1)&gt;0,AND(ISNUMBER(L1068),OR(L1068&lt;0,L1068&gt;95))),"Введите целое число от 0 до 95",IF(OR(AND(J1068&lt;&gt;"",NOT(ISNUMBER(J1068))),IFERROR(MOD(J1068,1),1)&gt;0,AND(ISNUMBER(J1068),OR(J1068&lt;50,J1068&gt;20000000))),"Введите целое число от 50 до 20000000",IF(NOT(ABS(IFERROR(VALUE(LEFT(M1068,FIND("-",M1068)-1)),M1068)*100-(2500+2000000000)/2)&lt;=ABS(2500-2000000000)/2),"Цена со скидкой должна быть от 25 до 20000000",IF(AND(IFERROR(VALUE(LEFT(M1068,FIND("-",M1068)-1)),M1068)*150&lt;=166055,IFERROR(VALUE(LEFT(M1068,FIND("-",M1068)-1)),M1068)*200&gt;166055),"Вы уменьшили цену в несколько раз, товар попадет в карантин цен",IF(IFERROR(VALUE(LEFT(M1068,FIND("-",M1068)-1)),M1068)*200&lt;=166055,"Не сохранили изменения, чтобы защитить от ошибки — новые цены меньше текущих более чем в 2 раза. Снижайте их постепенно",IF(AND(IFERROR(VALUE(I1068),0)=0,ISNUMBER(J1068),OR(J1068&lt;481,ABS(IFERROR(VALUE(LEFT(M1068,FIND("-",M1068)-1)),M1068))*100&lt;48100)),"Проверьте цену товара. Большинство товаров в выбранной категории стоят дороже 481","")))))),"")</f>
      </c>
    </row>
    <row r="1069">
      <c r="A1069" s="2" t="inlineStr">
        <is>
          <t/>
        </is>
      </c>
      <c r="B1069" s="2" t="inlineStr">
        <is>
          <t>Часы настенные</t>
        </is>
      </c>
      <c r="C1069" s="2">
        <v>765920481</v>
      </c>
      <c r="D1069" s="2" t="inlineStr">
        <is>
          <t>51086</t>
        </is>
      </c>
      <c r="E1069" s="2" t="inlineStr">
        <is>
          <t>2048428673633</t>
        </is>
      </c>
      <c r="F1069" s="2">
        <v>0</v>
      </c>
      <c r="G1069" s="2">
        <v>4</v>
      </c>
      <c r="H1069" s="2" t="inlineStr">
        <is>
          <t/>
        </is>
      </c>
      <c r="I1069" s="2" t="inlineStr">
        <is>
          <t>12712</t>
        </is>
      </c>
      <c r="J1069" s="4"/>
      <c r="K1069" s="2">
        <v>78</v>
      </c>
      <c r="L1069" s="6"/>
      <c r="M1069" s="2" t="str">
        <f>IF(J1069="",ROUND(I1069*(1-IF(ISBLANK(L1069),K1069,L1069)/100),2),ROUND(J1069*(1-IF(ISBLANK(L1069),K1069,L1069)/100),2))</f>
      </c>
      <c r="N1069" s="7" t="str">
        <f>IF(NOT(AND(J1069="",L1069="")),IF(OR(AND(L1069&lt;&gt;"",NOT(ISNUMBER(L1069))),IFERROR(MOD(L1069,1),1)&gt;0,AND(ISNUMBER(L1069),OR(L1069&lt;0,L1069&gt;95))),"Введите целое число от 0 до 95",IF(OR(AND(J1069&lt;&gt;"",NOT(ISNUMBER(J1069))),IFERROR(MOD(J1069,1),1)&gt;0,AND(ISNUMBER(J1069),OR(J1069&lt;50,J1069&gt;20000000))),"Введите целое число от 50 до 20000000",IF(NOT(ABS(IFERROR(VALUE(LEFT(M1069,FIND("-",M1069)-1)),M1069)*100-(2500+2000000000)/2)&lt;=ABS(2500-2000000000)/2),"Цена со скидкой должна быть от 25 до 20000000",IF(AND(IFERROR(VALUE(LEFT(M1069,FIND("-",M1069)-1)),M1069)*150&lt;=279664,IFERROR(VALUE(LEFT(M1069,FIND("-",M1069)-1)),M1069)*200&gt;279664),"Вы уменьшили цену в несколько раз, товар попадет в карантин цен",IF(IFERROR(VALUE(LEFT(M1069,FIND("-",M1069)-1)),M1069)*200&lt;=279664,"Не сохранили изменения, чтобы защитить от ошибки — новые цены меньше текущих более чем в 2 раза. Снижайте их постепенно",IF(AND(IFERROR(VALUE(I1069),0)=0,ISNUMBER(J1069),OR(J1069&lt;481,ABS(IFERROR(VALUE(LEFT(M1069,FIND("-",M1069)-1)),M1069))*100&lt;48100)),"Проверьте цену товара. Большинство товаров в выбранной категории стоят дороже 481","")))))),"")</f>
      </c>
    </row>
    <row r="1070">
      <c r="A1070" s="2" t="inlineStr">
        <is>
          <t/>
        </is>
      </c>
      <c r="B1070" s="2" t="inlineStr">
        <is>
          <t>Часы настенные</t>
        </is>
      </c>
      <c r="C1070" s="2">
        <v>765920484</v>
      </c>
      <c r="D1070" s="2" t="inlineStr">
        <is>
          <t>660484</t>
        </is>
      </c>
      <c r="E1070" s="2" t="inlineStr">
        <is>
          <t>2048428673664</t>
        </is>
      </c>
      <c r="F1070" s="2">
        <v>0</v>
      </c>
      <c r="G1070" s="2">
        <v>0</v>
      </c>
      <c r="H1070" s="2" t="inlineStr">
        <is>
          <t/>
        </is>
      </c>
      <c r="I1070" s="2" t="inlineStr">
        <is>
          <t>9761</t>
        </is>
      </c>
      <c r="J1070" s="4"/>
      <c r="K1070" s="2">
        <v>65</v>
      </c>
      <c r="L1070" s="6"/>
      <c r="M1070" s="2" t="str">
        <f>IF(J1070="",ROUND(I1070*(1-IF(ISBLANK(L1070),K1070,L1070)/100),2),ROUND(J1070*(1-IF(ISBLANK(L1070),K1070,L1070)/100),2))</f>
      </c>
      <c r="N1070" s="7" t="str">
        <f>IF(NOT(AND(J1070="",L1070="")),IF(OR(AND(L1070&lt;&gt;"",NOT(ISNUMBER(L1070))),IFERROR(MOD(L1070,1),1)&gt;0,AND(ISNUMBER(L1070),OR(L1070&lt;0,L1070&gt;95))),"Введите целое число от 0 до 95",IF(OR(AND(J1070&lt;&gt;"",NOT(ISNUMBER(J1070))),IFERROR(MOD(J1070,1),1)&gt;0,AND(ISNUMBER(J1070),OR(J1070&lt;50,J1070&gt;20000000))),"Введите целое число от 50 до 20000000",IF(NOT(ABS(IFERROR(VALUE(LEFT(M1070,FIND("-",M1070)-1)),M1070)*100-(2500+2000000000)/2)&lt;=ABS(2500-2000000000)/2),"Цена со скидкой должна быть от 25 до 20000000",IF(AND(IFERROR(VALUE(LEFT(M1070,FIND("-",M1070)-1)),M1070)*150&lt;=341635,IFERROR(VALUE(LEFT(M1070,FIND("-",M1070)-1)),M1070)*200&gt;341635),"Вы уменьшили цену в несколько раз, товар попадет в карантин цен",IF(IFERROR(VALUE(LEFT(M1070,FIND("-",M1070)-1)),M1070)*200&lt;=341635,"Не сохранили изменения, чтобы защитить от ошибки — новые цены меньше текущих более чем в 2 раза. Снижайте их постепенно",IF(AND(IFERROR(VALUE(I1070),0)=0,ISNUMBER(J1070),OR(J1070&lt;481,ABS(IFERROR(VALUE(LEFT(M1070,FIND("-",M1070)-1)),M1070))*100&lt;48100)),"Проверьте цену товара. Большинство товаров в выбранной категории стоят дороже 481","")))))),"")</f>
      </c>
    </row>
    <row r="1071">
      <c r="A1071" s="2" t="inlineStr">
        <is>
          <t/>
        </is>
      </c>
      <c r="B1071" s="2" t="inlineStr">
        <is>
          <t>Часы настенные</t>
        </is>
      </c>
      <c r="C1071" s="2">
        <v>765920466</v>
      </c>
      <c r="D1071" s="2" t="inlineStr">
        <is>
          <t>31389</t>
        </is>
      </c>
      <c r="E1071" s="2" t="inlineStr">
        <is>
          <t>2048428673473</t>
        </is>
      </c>
      <c r="F1071" s="2">
        <v>1</v>
      </c>
      <c r="G1071" s="2">
        <v>0</v>
      </c>
      <c r="H1071" s="2">
        <v>999</v>
      </c>
      <c r="I1071" s="2" t="inlineStr">
        <is>
          <t>6748</t>
        </is>
      </c>
      <c r="J1071" s="4"/>
      <c r="K1071" s="2">
        <v>80</v>
      </c>
      <c r="L1071" s="6"/>
      <c r="M1071" s="2" t="str">
        <f>IF(J1071="",ROUND(I1071*(1-IF(ISBLANK(L1071),K1071,L1071)/100),2),ROUND(J1071*(1-IF(ISBLANK(L1071),K1071,L1071)/100),2))</f>
      </c>
      <c r="N1071" s="7" t="str">
        <f>IF(NOT(AND(J1071="",L1071="")),IF(OR(AND(L1071&lt;&gt;"",NOT(ISNUMBER(L1071))),IFERROR(MOD(L1071,1),1)&gt;0,AND(ISNUMBER(L1071),OR(L1071&lt;0,L1071&gt;95))),"Введите целое число от 0 до 95",IF(OR(AND(J1071&lt;&gt;"",NOT(ISNUMBER(J1071))),IFERROR(MOD(J1071,1),1)&gt;0,AND(ISNUMBER(J1071),OR(J1071&lt;50,J1071&gt;20000000))),"Введите целое число от 50 до 20000000",IF(NOT(ABS(IFERROR(VALUE(LEFT(M1071,FIND("-",M1071)-1)),M1071)*100-(2500+2000000000)/2)&lt;=ABS(2500-2000000000)/2),"Цена со скидкой должна быть от 25 до 20000000",IF(AND(IFERROR(VALUE(LEFT(M1071,FIND("-",M1071)-1)),M1071)*150&lt;=134959,IFERROR(VALUE(LEFT(M1071,FIND("-",M1071)-1)),M1071)*200&gt;134959),"Вы уменьшили цену в несколько раз, товар попадет в карантин цен",IF(IFERROR(VALUE(LEFT(M1071,FIND("-",M1071)-1)),M1071)*200&lt;=134959,"Не сохранили изменения, чтобы защитить от ошибки — новые цены меньше текущих более чем в 2 раза. Снижайте их постепенно",IF(AND(IFERROR(VALUE(I1071),0)=0,ISNUMBER(J1071),OR(J1071&lt;481,ABS(IFERROR(VALUE(LEFT(M1071,FIND("-",M1071)-1)),M1071))*100&lt;48100)),"Проверьте цену товара. Большинство товаров в выбранной категории стоят дороже 481","")))))),"")</f>
      </c>
    </row>
    <row r="1072">
      <c r="A1072" s="2" t="inlineStr">
        <is>
          <t/>
        </is>
      </c>
      <c r="B1072" s="2" t="inlineStr">
        <is>
          <t>Часы настенные</t>
        </is>
      </c>
      <c r="C1072" s="2">
        <v>765920464</v>
      </c>
      <c r="D1072" s="2" t="inlineStr">
        <is>
          <t>17938</t>
        </is>
      </c>
      <c r="E1072" s="2" t="inlineStr">
        <is>
          <t>2048428673459</t>
        </is>
      </c>
      <c r="F1072" s="2">
        <v>0</v>
      </c>
      <c r="G1072" s="2">
        <v>0</v>
      </c>
      <c r="H1072" s="2" t="inlineStr">
        <is>
          <t/>
        </is>
      </c>
      <c r="I1072" s="2" t="inlineStr">
        <is>
          <t>7830</t>
        </is>
      </c>
      <c r="J1072" s="4"/>
      <c r="K1072" s="2">
        <v>69</v>
      </c>
      <c r="L1072" s="6"/>
      <c r="M1072" s="2" t="str">
        <f>IF(J1072="",ROUND(I1072*(1-IF(ISBLANK(L1072),K1072,L1072)/100),2),ROUND(J1072*(1-IF(ISBLANK(L1072),K1072,L1072)/100),2))</f>
      </c>
      <c r="N1072" s="7" t="str">
        <f>IF(NOT(AND(J1072="",L1072="")),IF(OR(AND(L1072&lt;&gt;"",NOT(ISNUMBER(L1072))),IFERROR(MOD(L1072,1),1)&gt;0,AND(ISNUMBER(L1072),OR(L1072&lt;0,L1072&gt;95))),"Введите целое число от 0 до 95",IF(OR(AND(J1072&lt;&gt;"",NOT(ISNUMBER(J1072))),IFERROR(MOD(J1072,1),1)&gt;0,AND(ISNUMBER(J1072),OR(J1072&lt;50,J1072&gt;20000000))),"Введите целое число от 50 до 20000000",IF(NOT(ABS(IFERROR(VALUE(LEFT(M1072,FIND("-",M1072)-1)),M1072)*100-(2500+2000000000)/2)&lt;=ABS(2500-2000000000)/2),"Цена со скидкой должна быть от 25 до 20000000",IF(AND(IFERROR(VALUE(LEFT(M1072,FIND("-",M1072)-1)),M1072)*150&lt;=242730,IFERROR(VALUE(LEFT(M1072,FIND("-",M1072)-1)),M1072)*200&gt;242730),"Вы уменьшили цену в несколько раз, товар попадет в карантин цен",IF(IFERROR(VALUE(LEFT(M1072,FIND("-",M1072)-1)),M1072)*200&lt;=242730,"Не сохранили изменения, чтобы защитить от ошибки — новые цены меньше текущих более чем в 2 раза. Снижайте их постепенно",IF(AND(IFERROR(VALUE(I1072),0)=0,ISNUMBER(J1072),OR(J1072&lt;481,ABS(IFERROR(VALUE(LEFT(M1072,FIND("-",M1072)-1)),M1072))*100&lt;48100)),"Проверьте цену товара. Большинство товаров в выбранной категории стоят дороже 481","")))))),"")</f>
      </c>
    </row>
    <row r="1073">
      <c r="A1073" s="2" t="inlineStr">
        <is>
          <t/>
        </is>
      </c>
      <c r="B1073" s="2" t="inlineStr">
        <is>
          <t>Часы настенные</t>
        </is>
      </c>
      <c r="C1073" s="2">
        <v>765919346</v>
      </c>
      <c r="D1073" s="2" t="inlineStr">
        <is>
          <t>660493</t>
        </is>
      </c>
      <c r="E1073" s="2" t="inlineStr">
        <is>
          <t>2048428667328</t>
        </is>
      </c>
      <c r="F1073" s="2">
        <v>0</v>
      </c>
      <c r="G1073" s="2">
        <v>5</v>
      </c>
      <c r="H1073" s="2" t="inlineStr">
        <is>
          <t/>
        </is>
      </c>
      <c r="I1073" s="2" t="inlineStr">
        <is>
          <t>10006</t>
        </is>
      </c>
      <c r="J1073" s="4"/>
      <c r="K1073" s="2">
        <v>78</v>
      </c>
      <c r="L1073" s="6"/>
      <c r="M1073" s="2" t="str">
        <f>IF(J1073="",ROUND(I1073*(1-IF(ISBLANK(L1073),K1073,L1073)/100),2),ROUND(J1073*(1-IF(ISBLANK(L1073),K1073,L1073)/100),2))</f>
      </c>
      <c r="N1073" s="7" t="str">
        <f>IF(NOT(AND(J1073="",L1073="")),IF(OR(AND(L1073&lt;&gt;"",NOT(ISNUMBER(L1073))),IFERROR(MOD(L1073,1),1)&gt;0,AND(ISNUMBER(L1073),OR(L1073&lt;0,L1073&gt;95))),"Введите целое число от 0 до 95",IF(OR(AND(J1073&lt;&gt;"",NOT(ISNUMBER(J1073))),IFERROR(MOD(J1073,1),1)&gt;0,AND(ISNUMBER(J1073),OR(J1073&lt;50,J1073&gt;20000000))),"Введите целое число от 50 до 20000000",IF(NOT(ABS(IFERROR(VALUE(LEFT(M1073,FIND("-",M1073)-1)),M1073)*100-(2500+2000000000)/2)&lt;=ABS(2500-2000000000)/2),"Цена со скидкой должна быть от 25 до 20000000",IF(AND(IFERROR(VALUE(LEFT(M1073,FIND("-",M1073)-1)),M1073)*150&lt;=220131,IFERROR(VALUE(LEFT(M1073,FIND("-",M1073)-1)),M1073)*200&gt;220131),"Вы уменьшили цену в несколько раз, товар попадет в карантин цен",IF(IFERROR(VALUE(LEFT(M1073,FIND("-",M1073)-1)),M1073)*200&lt;=220131,"Не сохранили изменения, чтобы защитить от ошибки — новые цены меньше текущих более чем в 2 раза. Снижайте их постепенно",IF(AND(IFERROR(VALUE(I1073),0)=0,ISNUMBER(J1073),OR(J1073&lt;481,ABS(IFERROR(VALUE(LEFT(M1073,FIND("-",M1073)-1)),M1073))*100&lt;48100)),"Проверьте цену товара. Большинство товаров в выбранной категории стоят дороже 481","")))))),"")</f>
      </c>
    </row>
    <row r="1074">
      <c r="A1074" s="2" t="inlineStr">
        <is>
          <t/>
        </is>
      </c>
      <c r="B1074" s="2" t="inlineStr">
        <is>
          <t>Часы настенные</t>
        </is>
      </c>
      <c r="C1074" s="2">
        <v>765920479</v>
      </c>
      <c r="D1074" s="2" t="inlineStr">
        <is>
          <t>660395</t>
        </is>
      </c>
      <c r="E1074" s="2" t="inlineStr">
        <is>
          <t>2048428673619</t>
        </is>
      </c>
      <c r="F1074" s="2">
        <v>0</v>
      </c>
      <c r="G1074" s="2">
        <v>1</v>
      </c>
      <c r="H1074" s="2" t="inlineStr">
        <is>
          <t/>
        </is>
      </c>
      <c r="I1074" s="2" t="inlineStr">
        <is>
          <t>7835</t>
        </is>
      </c>
      <c r="J1074" s="4"/>
      <c r="K1074" s="2">
        <v>75</v>
      </c>
      <c r="L1074" s="6"/>
      <c r="M1074" s="2" t="str">
        <f>IF(J1074="",ROUND(I1074*(1-IF(ISBLANK(L1074),K1074,L1074)/100),2),ROUND(J1074*(1-IF(ISBLANK(L1074),K1074,L1074)/100),2))</f>
      </c>
      <c r="N1074" s="7" t="str">
        <f>IF(NOT(AND(J1074="",L1074="")),IF(OR(AND(L1074&lt;&gt;"",NOT(ISNUMBER(L1074))),IFERROR(MOD(L1074,1),1)&gt;0,AND(ISNUMBER(L1074),OR(L1074&lt;0,L1074&gt;95))),"Введите целое число от 0 до 95",IF(OR(AND(J1074&lt;&gt;"",NOT(ISNUMBER(J1074))),IFERROR(MOD(J1074,1),1)&gt;0,AND(ISNUMBER(J1074),OR(J1074&lt;50,J1074&gt;20000000))),"Введите целое число от 50 до 20000000",IF(NOT(ABS(IFERROR(VALUE(LEFT(M1074,FIND("-",M1074)-1)),M1074)*100-(2500+2000000000)/2)&lt;=ABS(2500-2000000000)/2),"Цена со скидкой должна быть от 25 до 20000000",IF(AND(IFERROR(VALUE(LEFT(M1074,FIND("-",M1074)-1)),M1074)*150&lt;=195875,IFERROR(VALUE(LEFT(M1074,FIND("-",M1074)-1)),M1074)*200&gt;195875),"Вы уменьшили цену в несколько раз, товар попадет в карантин цен",IF(IFERROR(VALUE(LEFT(M1074,FIND("-",M1074)-1)),M1074)*200&lt;=195875,"Не сохранили изменения, чтобы защитить от ошибки — новые цены меньше текущих более чем в 2 раза. Снижайте их постепенно",IF(AND(IFERROR(VALUE(I1074),0)=0,ISNUMBER(J1074),OR(J1074&lt;481,ABS(IFERROR(VALUE(LEFT(M1074,FIND("-",M1074)-1)),M1074))*100&lt;48100)),"Проверьте цену товара. Большинство товаров в выбранной категории стоят дороже 481","")))))),"")</f>
      </c>
    </row>
    <row r="1075">
      <c r="A1075" s="2" t="inlineStr">
        <is>
          <t/>
        </is>
      </c>
      <c r="B1075" s="2" t="inlineStr">
        <is>
          <t>Часы настенные</t>
        </is>
      </c>
      <c r="C1075" s="2">
        <v>765920465</v>
      </c>
      <c r="D1075" s="2" t="inlineStr">
        <is>
          <t>66819</t>
        </is>
      </c>
      <c r="E1075" s="2" t="inlineStr">
        <is>
          <t>2048428673466</t>
        </is>
      </c>
      <c r="F1075" s="2">
        <v>0</v>
      </c>
      <c r="G1075" s="2">
        <v>9</v>
      </c>
      <c r="H1075" s="2" t="inlineStr">
        <is>
          <t/>
        </is>
      </c>
      <c r="I1075" s="2" t="inlineStr">
        <is>
          <t>7312</t>
        </is>
      </c>
      <c r="J1075" s="4"/>
      <c r="K1075" s="2">
        <v>78</v>
      </c>
      <c r="L1075" s="6"/>
      <c r="M1075" s="2" t="str">
        <f>IF(J1075="",ROUND(I1075*(1-IF(ISBLANK(L1075),K1075,L1075)/100),2),ROUND(J1075*(1-IF(ISBLANK(L1075),K1075,L1075)/100),2))</f>
      </c>
      <c r="N1075" s="7" t="str">
        <f>IF(NOT(AND(J1075="",L1075="")),IF(OR(AND(L1075&lt;&gt;"",NOT(ISNUMBER(L1075))),IFERROR(MOD(L1075,1),1)&gt;0,AND(ISNUMBER(L1075),OR(L1075&lt;0,L1075&gt;95))),"Введите целое число от 0 до 95",IF(OR(AND(J1075&lt;&gt;"",NOT(ISNUMBER(J1075))),IFERROR(MOD(J1075,1),1)&gt;0,AND(ISNUMBER(J1075),OR(J1075&lt;50,J1075&gt;20000000))),"Введите целое число от 50 до 20000000",IF(NOT(ABS(IFERROR(VALUE(LEFT(M1075,FIND("-",M1075)-1)),M1075)*100-(2500+2000000000)/2)&lt;=ABS(2500-2000000000)/2),"Цена со скидкой должна быть от 25 до 20000000",IF(AND(IFERROR(VALUE(LEFT(M1075,FIND("-",M1075)-1)),M1075)*150&lt;=160864,IFERROR(VALUE(LEFT(M1075,FIND("-",M1075)-1)),M1075)*200&gt;160864),"Вы уменьшили цену в несколько раз, товар попадет в карантин цен",IF(IFERROR(VALUE(LEFT(M1075,FIND("-",M1075)-1)),M1075)*200&lt;=160864,"Не сохранили изменения, чтобы защитить от ошибки — новые цены меньше текущих более чем в 2 раза. Снижайте их постепенно",IF(AND(IFERROR(VALUE(I1075),0)=0,ISNUMBER(J1075),OR(J1075&lt;481,ABS(IFERROR(VALUE(LEFT(M1075,FIND("-",M1075)-1)),M1075))*100&lt;48100)),"Проверьте цену товара. Большинство товаров в выбранной категории стоят дороже 481","")))))),"")</f>
      </c>
    </row>
    <row r="1076">
      <c r="A1076" s="2" t="inlineStr">
        <is>
          <t/>
        </is>
      </c>
      <c r="B1076" s="2" t="inlineStr">
        <is>
          <t>Часы настенные</t>
        </is>
      </c>
      <c r="C1076" s="2">
        <v>765919358</v>
      </c>
      <c r="D1076" s="2" t="inlineStr">
        <is>
          <t>660502</t>
        </is>
      </c>
      <c r="E1076" s="2" t="inlineStr">
        <is>
          <t>2048428667441</t>
        </is>
      </c>
      <c r="F1076" s="2">
        <v>0</v>
      </c>
      <c r="G1076" s="2">
        <v>4</v>
      </c>
      <c r="H1076" s="2" t="inlineStr">
        <is>
          <t/>
        </is>
      </c>
      <c r="I1076" s="2" t="inlineStr">
        <is>
          <t>10544</t>
        </is>
      </c>
      <c r="J1076" s="4"/>
      <c r="K1076" s="2">
        <v>78</v>
      </c>
      <c r="L1076" s="6"/>
      <c r="M1076" s="2" t="str">
        <f>IF(J1076="",ROUND(I1076*(1-IF(ISBLANK(L1076),K1076,L1076)/100),2),ROUND(J1076*(1-IF(ISBLANK(L1076),K1076,L1076)/100),2))</f>
      </c>
      <c r="N1076" s="7" t="str">
        <f>IF(NOT(AND(J1076="",L1076="")),IF(OR(AND(L1076&lt;&gt;"",NOT(ISNUMBER(L1076))),IFERROR(MOD(L1076,1),1)&gt;0,AND(ISNUMBER(L1076),OR(L1076&lt;0,L1076&gt;95))),"Введите целое число от 0 до 95",IF(OR(AND(J1076&lt;&gt;"",NOT(ISNUMBER(J1076))),IFERROR(MOD(J1076,1),1)&gt;0,AND(ISNUMBER(J1076),OR(J1076&lt;50,J1076&gt;20000000))),"Введите целое число от 50 до 20000000",IF(NOT(ABS(IFERROR(VALUE(LEFT(M1076,FIND("-",M1076)-1)),M1076)*100-(2500+2000000000)/2)&lt;=ABS(2500-2000000000)/2),"Цена со скидкой должна быть от 25 до 20000000",IF(AND(IFERROR(VALUE(LEFT(M1076,FIND("-",M1076)-1)),M1076)*150&lt;=231967,IFERROR(VALUE(LEFT(M1076,FIND("-",M1076)-1)),M1076)*200&gt;231967),"Вы уменьшили цену в несколько раз, товар попадет в карантин цен",IF(IFERROR(VALUE(LEFT(M1076,FIND("-",M1076)-1)),M1076)*200&lt;=231967,"Не сохранили изменения, чтобы защитить от ошибки — новые цены меньше текущих более чем в 2 раза. Снижайте их постепенно",IF(AND(IFERROR(VALUE(I1076),0)=0,ISNUMBER(J1076),OR(J1076&lt;481,ABS(IFERROR(VALUE(LEFT(M1076,FIND("-",M1076)-1)),M1076))*100&lt;48100)),"Проверьте цену товара. Большинство товаров в выбранной категории стоят дороже 481","")))))),"")</f>
      </c>
    </row>
    <row r="1077">
      <c r="A1077" s="2" t="inlineStr">
        <is>
          <t/>
        </is>
      </c>
      <c r="B1077" s="2" t="inlineStr">
        <is>
          <t>Часы настенные</t>
        </is>
      </c>
      <c r="C1077" s="2">
        <v>765919363</v>
      </c>
      <c r="D1077" s="2" t="inlineStr">
        <is>
          <t>660507</t>
        </is>
      </c>
      <c r="E1077" s="2" t="inlineStr">
        <is>
          <t>2048428667502</t>
        </is>
      </c>
      <c r="F1077" s="2">
        <v>0</v>
      </c>
      <c r="G1077" s="2">
        <v>4</v>
      </c>
      <c r="H1077" s="2" t="inlineStr">
        <is>
          <t/>
        </is>
      </c>
      <c r="I1077" s="2" t="inlineStr">
        <is>
          <t>8476</t>
        </is>
      </c>
      <c r="J1077" s="4"/>
      <c r="K1077" s="2">
        <v>78</v>
      </c>
      <c r="L1077" s="6"/>
      <c r="M1077" s="2" t="str">
        <f>IF(J1077="",ROUND(I1077*(1-IF(ISBLANK(L1077),K1077,L1077)/100),2),ROUND(J1077*(1-IF(ISBLANK(L1077),K1077,L1077)/100),2))</f>
      </c>
      <c r="N1077" s="7" t="str">
        <f>IF(NOT(AND(J1077="",L1077="")),IF(OR(AND(L1077&lt;&gt;"",NOT(ISNUMBER(L1077))),IFERROR(MOD(L1077,1),1)&gt;0,AND(ISNUMBER(L1077),OR(L1077&lt;0,L1077&gt;95))),"Введите целое число от 0 до 95",IF(OR(AND(J1077&lt;&gt;"",NOT(ISNUMBER(J1077))),IFERROR(MOD(J1077,1),1)&gt;0,AND(ISNUMBER(J1077),OR(J1077&lt;50,J1077&gt;20000000))),"Введите целое число от 50 до 20000000",IF(NOT(ABS(IFERROR(VALUE(LEFT(M1077,FIND("-",M1077)-1)),M1077)*100-(2500+2000000000)/2)&lt;=ABS(2500-2000000000)/2),"Цена со скидкой должна быть от 25 до 20000000",IF(AND(IFERROR(VALUE(LEFT(M1077,FIND("-",M1077)-1)),M1077)*150&lt;=186471,IFERROR(VALUE(LEFT(M1077,FIND("-",M1077)-1)),M1077)*200&gt;186471),"Вы уменьшили цену в несколько раз, товар попадет в карантин цен",IF(IFERROR(VALUE(LEFT(M1077,FIND("-",M1077)-1)),M1077)*200&lt;=186471,"Не сохранили изменения, чтобы защитить от ошибки — новые цены меньше текущих более чем в 2 раза. Снижайте их постепенно",IF(AND(IFERROR(VALUE(I1077),0)=0,ISNUMBER(J1077),OR(J1077&lt;481,ABS(IFERROR(VALUE(LEFT(M1077,FIND("-",M1077)-1)),M1077))*100&lt;48100)),"Проверьте цену товара. Большинство товаров в выбранной категории стоят дороже 481","")))))),"")</f>
      </c>
    </row>
    <row r="1078">
      <c r="A1078" s="2" t="inlineStr">
        <is>
          <t/>
        </is>
      </c>
      <c r="B1078" s="2" t="inlineStr">
        <is>
          <t>Часы настенные</t>
        </is>
      </c>
      <c r="C1078" s="2">
        <v>765919364</v>
      </c>
      <c r="D1078" s="2" t="inlineStr">
        <is>
          <t>660506</t>
        </is>
      </c>
      <c r="E1078" s="2" t="inlineStr">
        <is>
          <t>2048428667519</t>
        </is>
      </c>
      <c r="F1078" s="2">
        <v>0</v>
      </c>
      <c r="G1078" s="2">
        <v>0</v>
      </c>
      <c r="H1078" s="2" t="inlineStr">
        <is>
          <t/>
        </is>
      </c>
      <c r="I1078" s="2" t="inlineStr">
        <is>
          <t>9243</t>
        </is>
      </c>
      <c r="J1078" s="4"/>
      <c r="K1078" s="2">
        <v>65</v>
      </c>
      <c r="L1078" s="6"/>
      <c r="M1078" s="2" t="str">
        <f>IF(J1078="",ROUND(I1078*(1-IF(ISBLANK(L1078),K1078,L1078)/100),2),ROUND(J1078*(1-IF(ISBLANK(L1078),K1078,L1078)/100),2))</f>
      </c>
      <c r="N1078" s="7" t="str">
        <f>IF(NOT(AND(J1078="",L1078="")),IF(OR(AND(L1078&lt;&gt;"",NOT(ISNUMBER(L1078))),IFERROR(MOD(L1078,1),1)&gt;0,AND(ISNUMBER(L1078),OR(L1078&lt;0,L1078&gt;95))),"Введите целое число от 0 до 95",IF(OR(AND(J1078&lt;&gt;"",NOT(ISNUMBER(J1078))),IFERROR(MOD(J1078,1),1)&gt;0,AND(ISNUMBER(J1078),OR(J1078&lt;50,J1078&gt;20000000))),"Введите целое число от 50 до 20000000",IF(NOT(ABS(IFERROR(VALUE(LEFT(M1078,FIND("-",M1078)-1)),M1078)*100-(2500+2000000000)/2)&lt;=ABS(2500-2000000000)/2),"Цена со скидкой должна быть от 25 до 20000000",IF(AND(IFERROR(VALUE(LEFT(M1078,FIND("-",M1078)-1)),M1078)*150&lt;=323505,IFERROR(VALUE(LEFT(M1078,FIND("-",M1078)-1)),M1078)*200&gt;323505),"Вы уменьшили цену в несколько раз, товар попадет в карантин цен",IF(IFERROR(VALUE(LEFT(M1078,FIND("-",M1078)-1)),M1078)*200&lt;=323505,"Не сохранили изменения, чтобы защитить от ошибки — новые цены меньше текущих более чем в 2 раза. Снижайте их постепенно",IF(AND(IFERROR(VALUE(I1078),0)=0,ISNUMBER(J1078),OR(J1078&lt;481,ABS(IFERROR(VALUE(LEFT(M1078,FIND("-",M1078)-1)),M1078))*100&lt;48100)),"Проверьте цену товара. Большинство товаров в выбранной категории стоят дороже 481","")))))),"")</f>
      </c>
    </row>
    <row r="1079">
      <c r="A1079" s="2" t="inlineStr">
        <is>
          <t/>
        </is>
      </c>
      <c r="B1079" s="2" t="inlineStr">
        <is>
          <t>Часы настенные</t>
        </is>
      </c>
      <c r="C1079" s="2">
        <v>765919406</v>
      </c>
      <c r="D1079" s="2" t="inlineStr">
        <is>
          <t>660511</t>
        </is>
      </c>
      <c r="E1079" s="2" t="inlineStr">
        <is>
          <t>2048428667724</t>
        </is>
      </c>
      <c r="F1079" s="2">
        <v>0</v>
      </c>
      <c r="G1079" s="2">
        <v>0</v>
      </c>
      <c r="H1079" s="2" t="inlineStr">
        <is>
          <t/>
        </is>
      </c>
      <c r="I1079" s="2" t="inlineStr">
        <is>
          <t>8476</t>
        </is>
      </c>
      <c r="J1079" s="4"/>
      <c r="K1079" s="2">
        <v>65</v>
      </c>
      <c r="L1079" s="6"/>
      <c r="M1079" s="2" t="str">
        <f>IF(J1079="",ROUND(I1079*(1-IF(ISBLANK(L1079),K1079,L1079)/100),2),ROUND(J1079*(1-IF(ISBLANK(L1079),K1079,L1079)/100),2))</f>
      </c>
      <c r="N1079" s="7" t="str">
        <f>IF(NOT(AND(J1079="",L1079="")),IF(OR(AND(L1079&lt;&gt;"",NOT(ISNUMBER(L1079))),IFERROR(MOD(L1079,1),1)&gt;0,AND(ISNUMBER(L1079),OR(L1079&lt;0,L1079&gt;95))),"Введите целое число от 0 до 95",IF(OR(AND(J1079&lt;&gt;"",NOT(ISNUMBER(J1079))),IFERROR(MOD(J1079,1),1)&gt;0,AND(ISNUMBER(J1079),OR(J1079&lt;50,J1079&gt;20000000))),"Введите целое число от 50 до 20000000",IF(NOT(ABS(IFERROR(VALUE(LEFT(M1079,FIND("-",M1079)-1)),M1079)*100-(2500+2000000000)/2)&lt;=ABS(2500-2000000000)/2),"Цена со скидкой должна быть от 25 до 20000000",IF(AND(IFERROR(VALUE(LEFT(M1079,FIND("-",M1079)-1)),M1079)*150&lt;=296660,IFERROR(VALUE(LEFT(M1079,FIND("-",M1079)-1)),M1079)*200&gt;296660),"Вы уменьшили цену в несколько раз, товар попадет в карантин цен",IF(IFERROR(VALUE(LEFT(M1079,FIND("-",M1079)-1)),M1079)*200&lt;=296660,"Не сохранили изменения, чтобы защитить от ошибки — новые цены меньше текущих более чем в 2 раза. Снижайте их постепенно",IF(AND(IFERROR(VALUE(I1079),0)=0,ISNUMBER(J1079),OR(J1079&lt;481,ABS(IFERROR(VALUE(LEFT(M1079,FIND("-",M1079)-1)),M1079))*100&lt;48100)),"Проверьте цену товара. Большинство товаров в выбранной категории стоят дороже 481","")))))),"")</f>
      </c>
    </row>
    <row r="1080">
      <c r="A1080" s="2" t="inlineStr">
        <is>
          <t/>
        </is>
      </c>
      <c r="B1080" s="2" t="inlineStr">
        <is>
          <t>Часы настенные</t>
        </is>
      </c>
      <c r="C1080" s="2">
        <v>765920471</v>
      </c>
      <c r="D1080" s="2" t="inlineStr">
        <is>
          <t>17876</t>
        </is>
      </c>
      <c r="E1080" s="2" t="inlineStr">
        <is>
          <t>2048428673534</t>
        </is>
      </c>
      <c r="F1080" s="2">
        <v>0</v>
      </c>
      <c r="G1080" s="2">
        <v>5</v>
      </c>
      <c r="H1080" s="2" t="inlineStr">
        <is>
          <t/>
        </is>
      </c>
      <c r="I1080" s="2" t="inlineStr">
        <is>
          <t>7645</t>
        </is>
      </c>
      <c r="J1080" s="4"/>
      <c r="K1080" s="2">
        <v>78</v>
      </c>
      <c r="L1080" s="6"/>
      <c r="M1080" s="2" t="str">
        <f>IF(J1080="",ROUND(I1080*(1-IF(ISBLANK(L1080),K1080,L1080)/100),2),ROUND(J1080*(1-IF(ISBLANK(L1080),K1080,L1080)/100),2))</f>
      </c>
      <c r="N1080" s="7" t="str">
        <f>IF(NOT(AND(J1080="",L1080="")),IF(OR(AND(L1080&lt;&gt;"",NOT(ISNUMBER(L1080))),IFERROR(MOD(L1080,1),1)&gt;0,AND(ISNUMBER(L1080),OR(L1080&lt;0,L1080&gt;95))),"Введите целое число от 0 до 95",IF(OR(AND(J1080&lt;&gt;"",NOT(ISNUMBER(J1080))),IFERROR(MOD(J1080,1),1)&gt;0,AND(ISNUMBER(J1080),OR(J1080&lt;50,J1080&gt;20000000))),"Введите целое число от 50 до 20000000",IF(NOT(ABS(IFERROR(VALUE(LEFT(M1080,FIND("-",M1080)-1)),M1080)*100-(2500+2000000000)/2)&lt;=ABS(2500-2000000000)/2),"Цена со скидкой должна быть от 25 до 20000000",IF(AND(IFERROR(VALUE(LEFT(M1080,FIND("-",M1080)-1)),M1080)*150&lt;=168190,IFERROR(VALUE(LEFT(M1080,FIND("-",M1080)-1)),M1080)*200&gt;168190),"Вы уменьшили цену в несколько раз, товар попадет в карантин цен",IF(IFERROR(VALUE(LEFT(M1080,FIND("-",M1080)-1)),M1080)*200&lt;=168190,"Не сохранили изменения, чтобы защитить от ошибки — новые цены меньше текущих более чем в 2 раза. Снижайте их постепенно",IF(AND(IFERROR(VALUE(I1080),0)=0,ISNUMBER(J1080),OR(J1080&lt;481,ABS(IFERROR(VALUE(LEFT(M1080,FIND("-",M1080)-1)),M1080))*100&lt;48100)),"Проверьте цену товара. Большинство товаров в выбранной категории стоят дороже 481","")))))),"")</f>
      </c>
    </row>
    <row r="1081">
      <c r="A1081" s="2" t="inlineStr">
        <is>
          <t/>
        </is>
      </c>
      <c r="B1081" s="2" t="inlineStr">
        <is>
          <t>Часы настенные</t>
        </is>
      </c>
      <c r="C1081" s="2">
        <v>765920463</v>
      </c>
      <c r="D1081" s="2" t="inlineStr">
        <is>
          <t>660477</t>
        </is>
      </c>
      <c r="E1081" s="2" t="inlineStr">
        <is>
          <t>2048428673442</t>
        </is>
      </c>
      <c r="F1081" s="2">
        <v>0</v>
      </c>
      <c r="G1081" s="2">
        <v>0</v>
      </c>
      <c r="H1081" s="2" t="inlineStr">
        <is>
          <t/>
        </is>
      </c>
      <c r="I1081" s="2" t="inlineStr">
        <is>
          <t>15368</t>
        </is>
      </c>
      <c r="J1081" s="4"/>
      <c r="K1081" s="2">
        <v>69</v>
      </c>
      <c r="L1081" s="6"/>
      <c r="M1081" s="2" t="str">
        <f>IF(J1081="",ROUND(I1081*(1-IF(ISBLANK(L1081),K1081,L1081)/100),2),ROUND(J1081*(1-IF(ISBLANK(L1081),K1081,L1081)/100),2))</f>
      </c>
      <c r="N1081" s="7" t="str">
        <f>IF(NOT(AND(J1081="",L1081="")),IF(OR(AND(L1081&lt;&gt;"",NOT(ISNUMBER(L1081))),IFERROR(MOD(L1081,1),1)&gt;0,AND(ISNUMBER(L1081),OR(L1081&lt;0,L1081&gt;95))),"Введите целое число от 0 до 95",IF(OR(AND(J1081&lt;&gt;"",NOT(ISNUMBER(J1081))),IFERROR(MOD(J1081,1),1)&gt;0,AND(ISNUMBER(J1081),OR(J1081&lt;50,J1081&gt;20000000))),"Введите целое число от 50 до 20000000",IF(NOT(ABS(IFERROR(VALUE(LEFT(M1081,FIND("-",M1081)-1)),M1081)*100-(2500+2000000000)/2)&lt;=ABS(2500-2000000000)/2),"Цена со скидкой должна быть от 25 до 20000000",IF(AND(IFERROR(VALUE(LEFT(M1081,FIND("-",M1081)-1)),M1081)*150&lt;=476408,IFERROR(VALUE(LEFT(M1081,FIND("-",M1081)-1)),M1081)*200&gt;476408),"Вы уменьшили цену в несколько раз, товар попадет в карантин цен",IF(IFERROR(VALUE(LEFT(M1081,FIND("-",M1081)-1)),M1081)*200&lt;=476408,"Не сохранили изменения, чтобы защитить от ошибки — новые цены меньше текущих более чем в 2 раза. Снижайте их постепенно",IF(AND(IFERROR(VALUE(I1081),0)=0,ISNUMBER(J1081),OR(J1081&lt;481,ABS(IFERROR(VALUE(LEFT(M1081,FIND("-",M1081)-1)),M1081))*100&lt;48100)),"Проверьте цену товара. Большинство товаров в выбранной категории стоят дороже 481","")))))),"")</f>
      </c>
    </row>
    <row r="1082">
      <c r="A1082" s="2" t="inlineStr">
        <is>
          <t/>
        </is>
      </c>
      <c r="B1082" s="2" t="inlineStr">
        <is>
          <t>Часы настенные</t>
        </is>
      </c>
      <c r="C1082" s="2">
        <v>765920482</v>
      </c>
      <c r="D1082" s="2" t="inlineStr">
        <is>
          <t>660482</t>
        </is>
      </c>
      <c r="E1082" s="2" t="inlineStr">
        <is>
          <t>2048428673640</t>
        </is>
      </c>
      <c r="F1082" s="2">
        <v>0</v>
      </c>
      <c r="G1082" s="2">
        <v>10</v>
      </c>
      <c r="H1082" s="2" t="inlineStr">
        <is>
          <t/>
        </is>
      </c>
      <c r="I1082" s="2" t="inlineStr">
        <is>
          <t>7875</t>
        </is>
      </c>
      <c r="J1082" s="4"/>
      <c r="K1082" s="2">
        <v>78</v>
      </c>
      <c r="L1082" s="6"/>
      <c r="M1082" s="2" t="str">
        <f>IF(J1082="",ROUND(I1082*(1-IF(ISBLANK(L1082),K1082,L1082)/100),2),ROUND(J1082*(1-IF(ISBLANK(L1082),K1082,L1082)/100),2))</f>
      </c>
      <c r="N1082" s="7" t="str">
        <f>IF(NOT(AND(J1082="",L1082="")),IF(OR(AND(L1082&lt;&gt;"",NOT(ISNUMBER(L1082))),IFERROR(MOD(L1082,1),1)&gt;0,AND(ISNUMBER(L1082),OR(L1082&lt;0,L1082&gt;95))),"Введите целое число от 0 до 95",IF(OR(AND(J1082&lt;&gt;"",NOT(ISNUMBER(J1082))),IFERROR(MOD(J1082,1),1)&gt;0,AND(ISNUMBER(J1082),OR(J1082&lt;50,J1082&gt;20000000))),"Введите целое число от 50 до 20000000",IF(NOT(ABS(IFERROR(VALUE(LEFT(M1082,FIND("-",M1082)-1)),M1082)*100-(2500+2000000000)/2)&lt;=ABS(2500-2000000000)/2),"Цена со скидкой должна быть от 25 до 20000000",IF(AND(IFERROR(VALUE(LEFT(M1082,FIND("-",M1082)-1)),M1082)*150&lt;=173249,IFERROR(VALUE(LEFT(M1082,FIND("-",M1082)-1)),M1082)*200&gt;173249),"Вы уменьшили цену в несколько раз, товар попадет в карантин цен",IF(IFERROR(VALUE(LEFT(M1082,FIND("-",M1082)-1)),M1082)*200&lt;=173249,"Не сохранили изменения, чтобы защитить от ошибки — новые цены меньше текущих более чем в 2 раза. Снижайте их постепенно",IF(AND(IFERROR(VALUE(I1082),0)=0,ISNUMBER(J1082),OR(J1082&lt;481,ABS(IFERROR(VALUE(LEFT(M1082,FIND("-",M1082)-1)),M1082))*100&lt;48100)),"Проверьте цену товара. Большинство товаров в выбранной категории стоят дороже 481","")))))),"")</f>
      </c>
    </row>
    <row r="1083">
      <c r="A1083" s="2" t="inlineStr">
        <is>
          <t/>
        </is>
      </c>
      <c r="B1083" s="2" t="inlineStr">
        <is>
          <t>Часы настенные</t>
        </is>
      </c>
      <c r="C1083" s="2">
        <v>765919396</v>
      </c>
      <c r="D1083" s="2" t="inlineStr">
        <is>
          <t>660516</t>
        </is>
      </c>
      <c r="E1083" s="2" t="inlineStr">
        <is>
          <t>2048428667601</t>
        </is>
      </c>
      <c r="F1083" s="2">
        <v>0</v>
      </c>
      <c r="G1083" s="2">
        <v>0</v>
      </c>
      <c r="H1083" s="2" t="inlineStr">
        <is>
          <t/>
        </is>
      </c>
      <c r="I1083" s="2" t="inlineStr">
        <is>
          <t>9432</t>
        </is>
      </c>
      <c r="J1083" s="4"/>
      <c r="K1083" s="2">
        <v>69</v>
      </c>
      <c r="L1083" s="6"/>
      <c r="M1083" s="2" t="str">
        <f>IF(J1083="",ROUND(I1083*(1-IF(ISBLANK(L1083),K1083,L1083)/100),2),ROUND(J1083*(1-IF(ISBLANK(L1083),K1083,L1083)/100),2))</f>
      </c>
      <c r="N1083" s="7" t="str">
        <f>IF(NOT(AND(J1083="",L1083="")),IF(OR(AND(L1083&lt;&gt;"",NOT(ISNUMBER(L1083))),IFERROR(MOD(L1083,1),1)&gt;0,AND(ISNUMBER(L1083),OR(L1083&lt;0,L1083&gt;95))),"Введите целое число от 0 до 95",IF(OR(AND(J1083&lt;&gt;"",NOT(ISNUMBER(J1083))),IFERROR(MOD(J1083,1),1)&gt;0,AND(ISNUMBER(J1083),OR(J1083&lt;50,J1083&gt;20000000))),"Введите целое число от 50 до 20000000",IF(NOT(ABS(IFERROR(VALUE(LEFT(M1083,FIND("-",M1083)-1)),M1083)*100-(2500+2000000000)/2)&lt;=ABS(2500-2000000000)/2),"Цена со скидкой должна быть от 25 до 20000000",IF(AND(IFERROR(VALUE(LEFT(M1083,FIND("-",M1083)-1)),M1083)*150&lt;=292392,IFERROR(VALUE(LEFT(M1083,FIND("-",M1083)-1)),M1083)*200&gt;292392),"Вы уменьшили цену в несколько раз, товар попадет в карантин цен",IF(IFERROR(VALUE(LEFT(M1083,FIND("-",M1083)-1)),M1083)*200&lt;=292392,"Не сохранили изменения, чтобы защитить от ошибки — новые цены меньше текущих более чем в 2 раза. Снижайте их постепенно",IF(AND(IFERROR(VALUE(I1083),0)=0,ISNUMBER(J1083),OR(J1083&lt;481,ABS(IFERROR(VALUE(LEFT(M1083,FIND("-",M1083)-1)),M1083))*100&lt;48100)),"Проверьте цену товара. Большинство товаров в выбранной категории стоят дороже 481","")))))),"")</f>
      </c>
    </row>
    <row r="1084">
      <c r="A1084" s="2" t="inlineStr">
        <is>
          <t/>
        </is>
      </c>
      <c r="B1084" s="2" t="inlineStr">
        <is>
          <t>Часы настенные</t>
        </is>
      </c>
      <c r="C1084" s="2">
        <v>765919404</v>
      </c>
      <c r="D1084" s="2" t="inlineStr">
        <is>
          <t>660487</t>
        </is>
      </c>
      <c r="E1084" s="2" t="inlineStr">
        <is>
          <t>2048428667694</t>
        </is>
      </c>
      <c r="F1084" s="2">
        <v>0</v>
      </c>
      <c r="G1084" s="2">
        <v>0</v>
      </c>
      <c r="H1084" s="2" t="inlineStr">
        <is>
          <t/>
        </is>
      </c>
      <c r="I1084" s="2" t="inlineStr">
        <is>
          <t>8804</t>
        </is>
      </c>
      <c r="J1084" s="4"/>
      <c r="K1084" s="2">
        <v>69</v>
      </c>
      <c r="L1084" s="6"/>
      <c r="M1084" s="2" t="str">
        <f>IF(J1084="",ROUND(I1084*(1-IF(ISBLANK(L1084),K1084,L1084)/100),2),ROUND(J1084*(1-IF(ISBLANK(L1084),K1084,L1084)/100),2))</f>
      </c>
      <c r="N1084" s="7" t="str">
        <f>IF(NOT(AND(J1084="",L1084="")),IF(OR(AND(L1084&lt;&gt;"",NOT(ISNUMBER(L1084))),IFERROR(MOD(L1084,1),1)&gt;0,AND(ISNUMBER(L1084),OR(L1084&lt;0,L1084&gt;95))),"Введите целое число от 0 до 95",IF(OR(AND(J1084&lt;&gt;"",NOT(ISNUMBER(J1084))),IFERROR(MOD(J1084,1),1)&gt;0,AND(ISNUMBER(J1084),OR(J1084&lt;50,J1084&gt;20000000))),"Введите целое число от 50 до 20000000",IF(NOT(ABS(IFERROR(VALUE(LEFT(M1084,FIND("-",M1084)-1)),M1084)*100-(2500+2000000000)/2)&lt;=ABS(2500-2000000000)/2),"Цена со скидкой должна быть от 25 до 20000000",IF(AND(IFERROR(VALUE(LEFT(M1084,FIND("-",M1084)-1)),M1084)*150&lt;=272924,IFERROR(VALUE(LEFT(M1084,FIND("-",M1084)-1)),M1084)*200&gt;272924),"Вы уменьшили цену в несколько раз, товар попадет в карантин цен",IF(IFERROR(VALUE(LEFT(M1084,FIND("-",M1084)-1)),M1084)*200&lt;=272924,"Не сохранили изменения, чтобы защитить от ошибки — новые цены меньше текущих более чем в 2 раза. Снижайте их постепенно",IF(AND(IFERROR(VALUE(I1084),0)=0,ISNUMBER(J1084),OR(J1084&lt;481,ABS(IFERROR(VALUE(LEFT(M1084,FIND("-",M1084)-1)),M1084))*100&lt;48100)),"Проверьте цену товара. Большинство товаров в выбранной категории стоят дороже 481","")))))),"")</f>
      </c>
    </row>
    <row r="1085">
      <c r="A1085" s="2" t="inlineStr">
        <is>
          <t/>
        </is>
      </c>
      <c r="B1085" s="2" t="inlineStr">
        <is>
          <t>Часы настенные</t>
        </is>
      </c>
      <c r="C1085" s="2">
        <v>765919351</v>
      </c>
      <c r="D1085" s="2" t="inlineStr">
        <is>
          <t>660491</t>
        </is>
      </c>
      <c r="E1085" s="2" t="inlineStr">
        <is>
          <t>2048428667373</t>
        </is>
      </c>
      <c r="F1085" s="2">
        <v>0</v>
      </c>
      <c r="G1085" s="2">
        <v>1</v>
      </c>
      <c r="H1085" s="2" t="inlineStr">
        <is>
          <t/>
        </is>
      </c>
      <c r="I1085" s="2" t="inlineStr">
        <is>
          <t>8258</t>
        </is>
      </c>
      <c r="J1085" s="4"/>
      <c r="K1085" s="2">
        <v>78</v>
      </c>
      <c r="L1085" s="6"/>
      <c r="M1085" s="2" t="str">
        <f>IF(J1085="",ROUND(I1085*(1-IF(ISBLANK(L1085),K1085,L1085)/100),2),ROUND(J1085*(1-IF(ISBLANK(L1085),K1085,L1085)/100),2))</f>
      </c>
      <c r="N1085" s="7" t="str">
        <f>IF(NOT(AND(J1085="",L1085="")),IF(OR(AND(L1085&lt;&gt;"",NOT(ISNUMBER(L1085))),IFERROR(MOD(L1085,1),1)&gt;0,AND(ISNUMBER(L1085),OR(L1085&lt;0,L1085&gt;95))),"Введите целое число от 0 до 95",IF(OR(AND(J1085&lt;&gt;"",NOT(ISNUMBER(J1085))),IFERROR(MOD(J1085,1),1)&gt;0,AND(ISNUMBER(J1085),OR(J1085&lt;50,J1085&gt;20000000))),"Введите целое число от 50 до 20000000",IF(NOT(ABS(IFERROR(VALUE(LEFT(M1085,FIND("-",M1085)-1)),M1085)*100-(2500+2000000000)/2)&lt;=ABS(2500-2000000000)/2),"Цена со скидкой должна быть от 25 до 20000000",IF(AND(IFERROR(VALUE(LEFT(M1085,FIND("-",M1085)-1)),M1085)*150&lt;=181675,IFERROR(VALUE(LEFT(M1085,FIND("-",M1085)-1)),M1085)*200&gt;181675),"Вы уменьшили цену в несколько раз, товар попадет в карантин цен",IF(IFERROR(VALUE(LEFT(M1085,FIND("-",M1085)-1)),M1085)*200&lt;=181675,"Не сохранили изменения, чтобы защитить от ошибки — новые цены меньше текущих более чем в 2 раза. Снижайте их постепенно",IF(AND(IFERROR(VALUE(I1085),0)=0,ISNUMBER(J1085),OR(J1085&lt;481,ABS(IFERROR(VALUE(LEFT(M1085,FIND("-",M1085)-1)),M1085))*100&lt;48100)),"Проверьте цену товара. Большинство товаров в выбранной категории стоят дороже 481","")))))),"")</f>
      </c>
    </row>
    <row r="1086">
      <c r="A1086" s="2" t="inlineStr">
        <is>
          <t/>
        </is>
      </c>
      <c r="B1086" s="2" t="inlineStr">
        <is>
          <t>Часы настенные</t>
        </is>
      </c>
      <c r="C1086" s="2">
        <v>765919405</v>
      </c>
      <c r="D1086" s="2" t="inlineStr">
        <is>
          <t>660488</t>
        </is>
      </c>
      <c r="E1086" s="2" t="inlineStr">
        <is>
          <t>2048428667700</t>
        </is>
      </c>
      <c r="F1086" s="2">
        <v>0</v>
      </c>
      <c r="G1086" s="2">
        <v>0</v>
      </c>
      <c r="H1086" s="2" t="inlineStr">
        <is>
          <t/>
        </is>
      </c>
      <c r="I1086" s="2" t="inlineStr">
        <is>
          <t>8873</t>
        </is>
      </c>
      <c r="J1086" s="4"/>
      <c r="K1086" s="2">
        <v>65</v>
      </c>
      <c r="L1086" s="6"/>
      <c r="M1086" s="2" t="str">
        <f>IF(J1086="",ROUND(I1086*(1-IF(ISBLANK(L1086),K1086,L1086)/100),2),ROUND(J1086*(1-IF(ISBLANK(L1086),K1086,L1086)/100),2))</f>
      </c>
      <c r="N1086" s="7" t="str">
        <f>IF(NOT(AND(J1086="",L1086="")),IF(OR(AND(L1086&lt;&gt;"",NOT(ISNUMBER(L1086))),IFERROR(MOD(L1086,1),1)&gt;0,AND(ISNUMBER(L1086),OR(L1086&lt;0,L1086&gt;95))),"Введите целое число от 0 до 95",IF(OR(AND(J1086&lt;&gt;"",NOT(ISNUMBER(J1086))),IFERROR(MOD(J1086,1),1)&gt;0,AND(ISNUMBER(J1086),OR(J1086&lt;50,J1086&gt;20000000))),"Введите целое число от 50 до 20000000",IF(NOT(ABS(IFERROR(VALUE(LEFT(M1086,FIND("-",M1086)-1)),M1086)*100-(2500+2000000000)/2)&lt;=ABS(2500-2000000000)/2),"Цена со скидкой должна быть от 25 до 20000000",IF(AND(IFERROR(VALUE(LEFT(M1086,FIND("-",M1086)-1)),M1086)*150&lt;=310555,IFERROR(VALUE(LEFT(M1086,FIND("-",M1086)-1)),M1086)*200&gt;310555),"Вы уменьшили цену в несколько раз, товар попадет в карантин цен",IF(IFERROR(VALUE(LEFT(M1086,FIND("-",M1086)-1)),M1086)*200&lt;=310555,"Не сохранили изменения, чтобы защитить от ошибки — новые цены меньше текущих более чем в 2 раза. Снижайте их постепенно",IF(AND(IFERROR(VALUE(I1086),0)=0,ISNUMBER(J1086),OR(J1086&lt;481,ABS(IFERROR(VALUE(LEFT(M1086,FIND("-",M1086)-1)),M1086))*100&lt;48100)),"Проверьте цену товара. Большинство товаров в выбранной категории стоят дороже 481","")))))),"")</f>
      </c>
    </row>
    <row r="1087">
      <c r="A1087" s="2" t="inlineStr">
        <is>
          <t/>
        </is>
      </c>
      <c r="B1087" s="2" t="inlineStr">
        <is>
          <t>Часы настенные</t>
        </is>
      </c>
      <c r="C1087" s="2">
        <v>765920458</v>
      </c>
      <c r="D1087" s="2" t="inlineStr">
        <is>
          <t>660513</t>
        </is>
      </c>
      <c r="E1087" s="2" t="inlineStr">
        <is>
          <t>2048428673398</t>
        </is>
      </c>
      <c r="F1087" s="2">
        <v>0</v>
      </c>
      <c r="G1087" s="2">
        <v>0</v>
      </c>
      <c r="H1087" s="2" t="inlineStr">
        <is>
          <t/>
        </is>
      </c>
      <c r="I1087" s="2" t="inlineStr">
        <is>
          <t>7548</t>
        </is>
      </c>
      <c r="J1087" s="4"/>
      <c r="K1087" s="2">
        <v>78</v>
      </c>
      <c r="L1087" s="6"/>
      <c r="M1087" s="2" t="str">
        <f>IF(J1087="",ROUND(I1087*(1-IF(ISBLANK(L1087),K1087,L1087)/100),2),ROUND(J1087*(1-IF(ISBLANK(L1087),K1087,L1087)/100),2))</f>
      </c>
      <c r="N1087" s="7" t="str">
        <f>IF(NOT(AND(J1087="",L1087="")),IF(OR(AND(L1087&lt;&gt;"",NOT(ISNUMBER(L1087))),IFERROR(MOD(L1087,1),1)&gt;0,AND(ISNUMBER(L1087),OR(L1087&lt;0,L1087&gt;95))),"Введите целое число от 0 до 95",IF(OR(AND(J1087&lt;&gt;"",NOT(ISNUMBER(J1087))),IFERROR(MOD(J1087,1),1)&gt;0,AND(ISNUMBER(J1087),OR(J1087&lt;50,J1087&gt;20000000))),"Введите целое число от 50 до 20000000",IF(NOT(ABS(IFERROR(VALUE(LEFT(M1087,FIND("-",M1087)-1)),M1087)*100-(2500+2000000000)/2)&lt;=ABS(2500-2000000000)/2),"Цена со скидкой должна быть от 25 до 20000000",IF(AND(IFERROR(VALUE(LEFT(M1087,FIND("-",M1087)-1)),M1087)*150&lt;=166055,IFERROR(VALUE(LEFT(M1087,FIND("-",M1087)-1)),M1087)*200&gt;166055),"Вы уменьшили цену в несколько раз, товар попадет в карантин цен",IF(IFERROR(VALUE(LEFT(M1087,FIND("-",M1087)-1)),M1087)*200&lt;=166055,"Не сохранили изменения, чтобы защитить от ошибки — новые цены меньше текущих более чем в 2 раза. Снижайте их постепенно",IF(AND(IFERROR(VALUE(I1087),0)=0,ISNUMBER(J1087),OR(J1087&lt;481,ABS(IFERROR(VALUE(LEFT(M1087,FIND("-",M1087)-1)),M1087))*100&lt;48100)),"Проверьте цену товара. Большинство товаров в выбранной категории стоят дороже 481","")))))),"")</f>
      </c>
    </row>
    <row r="1088">
      <c r="A1088" s="2" t="inlineStr">
        <is>
          <t/>
        </is>
      </c>
      <c r="B1088" s="2" t="inlineStr">
        <is>
          <t>Часы настенные</t>
        </is>
      </c>
      <c r="C1088" s="2">
        <v>765920483</v>
      </c>
      <c r="D1088" s="2" t="inlineStr">
        <is>
          <t>660485</t>
        </is>
      </c>
      <c r="E1088" s="2" t="inlineStr">
        <is>
          <t>2048428673657</t>
        </is>
      </c>
      <c r="F1088" s="2">
        <v>0</v>
      </c>
      <c r="G1088" s="2">
        <v>8</v>
      </c>
      <c r="H1088" s="2" t="inlineStr">
        <is>
          <t/>
        </is>
      </c>
      <c r="I1088" s="2" t="inlineStr">
        <is>
          <t>9514</t>
        </is>
      </c>
      <c r="J1088" s="4"/>
      <c r="K1088" s="2">
        <v>78</v>
      </c>
      <c r="L1088" s="6"/>
      <c r="M1088" s="2" t="str">
        <f>IF(J1088="",ROUND(I1088*(1-IF(ISBLANK(L1088),K1088,L1088)/100),2),ROUND(J1088*(1-IF(ISBLANK(L1088),K1088,L1088)/100),2))</f>
      </c>
      <c r="N1088" s="7" t="str">
        <f>IF(NOT(AND(J1088="",L1088="")),IF(OR(AND(L1088&lt;&gt;"",NOT(ISNUMBER(L1088))),IFERROR(MOD(L1088,1),1)&gt;0,AND(ISNUMBER(L1088),OR(L1088&lt;0,L1088&gt;95))),"Введите целое число от 0 до 95",IF(OR(AND(J1088&lt;&gt;"",NOT(ISNUMBER(J1088))),IFERROR(MOD(J1088,1),1)&gt;0,AND(ISNUMBER(J1088),OR(J1088&lt;50,J1088&gt;20000000))),"Введите целое число от 50 до 20000000",IF(NOT(ABS(IFERROR(VALUE(LEFT(M1088,FIND("-",M1088)-1)),M1088)*100-(2500+2000000000)/2)&lt;=ABS(2500-2000000000)/2),"Цена со скидкой должна быть от 25 до 20000000",IF(AND(IFERROR(VALUE(LEFT(M1088,FIND("-",M1088)-1)),M1088)*150&lt;=209308,IFERROR(VALUE(LEFT(M1088,FIND("-",M1088)-1)),M1088)*200&gt;209308),"Вы уменьшили цену в несколько раз, товар попадет в карантин цен",IF(IFERROR(VALUE(LEFT(M1088,FIND("-",M1088)-1)),M1088)*200&lt;=209308,"Не сохранили изменения, чтобы защитить от ошибки — новые цены меньше текущих более чем в 2 раза. Снижайте их постепенно",IF(AND(IFERROR(VALUE(I1088),0)=0,ISNUMBER(J1088),OR(J1088&lt;481,ABS(IFERROR(VALUE(LEFT(M1088,FIND("-",M1088)-1)),M1088))*100&lt;48100)),"Проверьте цену товара. Большинство товаров в выбранной категории стоят дороже 481","")))))),"")</f>
      </c>
    </row>
    <row r="1089">
      <c r="A1089" s="2" t="inlineStr">
        <is>
          <t/>
        </is>
      </c>
      <c r="B1089" s="2" t="inlineStr">
        <is>
          <t>Часы настенные</t>
        </is>
      </c>
      <c r="C1089" s="2">
        <v>765919342</v>
      </c>
      <c r="D1089" s="2" t="inlineStr">
        <is>
          <t>660480</t>
        </is>
      </c>
      <c r="E1089" s="2" t="inlineStr">
        <is>
          <t>2048428667267</t>
        </is>
      </c>
      <c r="F1089" s="2">
        <v>0</v>
      </c>
      <c r="G1089" s="2">
        <v>0</v>
      </c>
      <c r="H1089" s="2" t="inlineStr">
        <is>
          <t/>
        </is>
      </c>
      <c r="I1089" s="2" t="inlineStr">
        <is>
          <t>8873</t>
        </is>
      </c>
      <c r="J1089" s="4"/>
      <c r="K1089" s="2">
        <v>65</v>
      </c>
      <c r="L1089" s="6"/>
      <c r="M1089" s="2" t="str">
        <f>IF(J1089="",ROUND(I1089*(1-IF(ISBLANK(L1089),K1089,L1089)/100),2),ROUND(J1089*(1-IF(ISBLANK(L1089),K1089,L1089)/100),2))</f>
      </c>
      <c r="N1089" s="7" t="str">
        <f>IF(NOT(AND(J1089="",L1089="")),IF(OR(AND(L1089&lt;&gt;"",NOT(ISNUMBER(L1089))),IFERROR(MOD(L1089,1),1)&gt;0,AND(ISNUMBER(L1089),OR(L1089&lt;0,L1089&gt;95))),"Введите целое число от 0 до 95",IF(OR(AND(J1089&lt;&gt;"",NOT(ISNUMBER(J1089))),IFERROR(MOD(J1089,1),1)&gt;0,AND(ISNUMBER(J1089),OR(J1089&lt;50,J1089&gt;20000000))),"Введите целое число от 50 до 20000000",IF(NOT(ABS(IFERROR(VALUE(LEFT(M1089,FIND("-",M1089)-1)),M1089)*100-(2500+2000000000)/2)&lt;=ABS(2500-2000000000)/2),"Цена со скидкой должна быть от 25 до 20000000",IF(AND(IFERROR(VALUE(LEFT(M1089,FIND("-",M1089)-1)),M1089)*150&lt;=310555,IFERROR(VALUE(LEFT(M1089,FIND("-",M1089)-1)),M1089)*200&gt;310555),"Вы уменьшили цену в несколько раз, товар попадет в карантин цен",IF(IFERROR(VALUE(LEFT(M1089,FIND("-",M1089)-1)),M1089)*200&lt;=310555,"Не сохранили изменения, чтобы защитить от ошибки — новые цены меньше текущих более чем в 2 раза. Снижайте их постепенно",IF(AND(IFERROR(VALUE(I1089),0)=0,ISNUMBER(J1089),OR(J1089&lt;481,ABS(IFERROR(VALUE(LEFT(M1089,FIND("-",M1089)-1)),M1089))*100&lt;48100)),"Проверьте цену товара. Большинство товаров в выбранной категории стоят дороже 481","")))))),"")</f>
      </c>
    </row>
    <row r="1090">
      <c r="A1090" s="2" t="inlineStr">
        <is>
          <t/>
        </is>
      </c>
      <c r="B1090" s="2" t="inlineStr">
        <is>
          <t>Часы настенные</t>
        </is>
      </c>
      <c r="C1090" s="2">
        <v>765919356</v>
      </c>
      <c r="D1090" s="2" t="inlineStr">
        <is>
          <t>660500</t>
        </is>
      </c>
      <c r="E1090" s="2" t="inlineStr">
        <is>
          <t>2048428667427</t>
        </is>
      </c>
      <c r="F1090" s="2">
        <v>0</v>
      </c>
      <c r="G1090" s="2">
        <v>0</v>
      </c>
      <c r="H1090" s="2" t="inlineStr">
        <is>
          <t/>
        </is>
      </c>
      <c r="I1090" s="2" t="inlineStr">
        <is>
          <t>11087</t>
        </is>
      </c>
      <c r="J1090" s="4"/>
      <c r="K1090" s="2">
        <v>65</v>
      </c>
      <c r="L1090" s="6"/>
      <c r="M1090" s="2" t="str">
        <f>IF(J1090="",ROUND(I1090*(1-IF(ISBLANK(L1090),K1090,L1090)/100),2),ROUND(J1090*(1-IF(ISBLANK(L1090),K1090,L1090)/100),2))</f>
      </c>
      <c r="N1090" s="7" t="str">
        <f>IF(NOT(AND(J1090="",L1090="")),IF(OR(AND(L1090&lt;&gt;"",NOT(ISNUMBER(L1090))),IFERROR(MOD(L1090,1),1)&gt;0,AND(ISNUMBER(L1090),OR(L1090&lt;0,L1090&gt;95))),"Введите целое число от 0 до 95",IF(OR(AND(J1090&lt;&gt;"",NOT(ISNUMBER(J1090))),IFERROR(MOD(J1090,1),1)&gt;0,AND(ISNUMBER(J1090),OR(J1090&lt;50,J1090&gt;20000000))),"Введите целое число от 50 до 20000000",IF(NOT(ABS(IFERROR(VALUE(LEFT(M1090,FIND("-",M1090)-1)),M1090)*100-(2500+2000000000)/2)&lt;=ABS(2500-2000000000)/2),"Цена со скидкой должна быть от 25 до 20000000",IF(AND(IFERROR(VALUE(LEFT(M1090,FIND("-",M1090)-1)),M1090)*150&lt;=388045,IFERROR(VALUE(LEFT(M1090,FIND("-",M1090)-1)),M1090)*200&gt;388045),"Вы уменьшили цену в несколько раз, товар попадет в карантин цен",IF(IFERROR(VALUE(LEFT(M1090,FIND("-",M1090)-1)),M1090)*200&lt;=388045,"Не сохранили изменения, чтобы защитить от ошибки — новые цены меньше текущих более чем в 2 раза. Снижайте их постепенно",IF(AND(IFERROR(VALUE(I1090),0)=0,ISNUMBER(J1090),OR(J1090&lt;481,ABS(IFERROR(VALUE(LEFT(M1090,FIND("-",M1090)-1)),M1090))*100&lt;48100)),"Проверьте цену товара. Большинство товаров в выбранной категории стоят дороже 481","")))))),"")</f>
      </c>
    </row>
    <row r="1091">
      <c r="A1091" s="2" t="inlineStr">
        <is>
          <t/>
        </is>
      </c>
      <c r="B1091" s="2" t="inlineStr">
        <is>
          <t>Часы настенные</t>
        </is>
      </c>
      <c r="C1091" s="2">
        <v>765919361</v>
      </c>
      <c r="D1091" s="2" t="inlineStr">
        <is>
          <t>660505</t>
        </is>
      </c>
      <c r="E1091" s="2" t="inlineStr">
        <is>
          <t>2048428667489</t>
        </is>
      </c>
      <c r="F1091" s="2">
        <v>0</v>
      </c>
      <c r="G1091" s="2">
        <v>0</v>
      </c>
      <c r="H1091" s="2" t="inlineStr">
        <is>
          <t/>
        </is>
      </c>
      <c r="I1091" s="2" t="inlineStr">
        <is>
          <t>7508</t>
        </is>
      </c>
      <c r="J1091" s="4"/>
      <c r="K1091" s="2">
        <v>65</v>
      </c>
      <c r="L1091" s="6"/>
      <c r="M1091" s="2" t="str">
        <f>IF(J1091="",ROUND(I1091*(1-IF(ISBLANK(L1091),K1091,L1091)/100),2),ROUND(J1091*(1-IF(ISBLANK(L1091),K1091,L1091)/100),2))</f>
      </c>
      <c r="N1091" s="7" t="str">
        <f>IF(NOT(AND(J1091="",L1091="")),IF(OR(AND(L1091&lt;&gt;"",NOT(ISNUMBER(L1091))),IFERROR(MOD(L1091,1),1)&gt;0,AND(ISNUMBER(L1091),OR(L1091&lt;0,L1091&gt;95))),"Введите целое число от 0 до 95",IF(OR(AND(J1091&lt;&gt;"",NOT(ISNUMBER(J1091))),IFERROR(MOD(J1091,1),1)&gt;0,AND(ISNUMBER(J1091),OR(J1091&lt;50,J1091&gt;20000000))),"Введите целое число от 50 до 20000000",IF(NOT(ABS(IFERROR(VALUE(LEFT(M1091,FIND("-",M1091)-1)),M1091)*100-(2500+2000000000)/2)&lt;=ABS(2500-2000000000)/2),"Цена со скидкой должна быть от 25 до 20000000",IF(AND(IFERROR(VALUE(LEFT(M1091,FIND("-",M1091)-1)),M1091)*150&lt;=262780,IFERROR(VALUE(LEFT(M1091,FIND("-",M1091)-1)),M1091)*200&gt;262780),"Вы уменьшили цену в несколько раз, товар попадет в карантин цен",IF(IFERROR(VALUE(LEFT(M1091,FIND("-",M1091)-1)),M1091)*200&lt;=262780,"Не сохранили изменения, чтобы защитить от ошибки — новые цены меньше текущих более чем в 2 раза. Снижайте их постепенно",IF(AND(IFERROR(VALUE(I1091),0)=0,ISNUMBER(J1091),OR(J1091&lt;481,ABS(IFERROR(VALUE(LEFT(M1091,FIND("-",M1091)-1)),M1091))*100&lt;48100)),"Проверьте цену товара. Большинство товаров в выбранной категории стоят дороже 481","")))))),"")</f>
      </c>
    </row>
    <row r="1092">
      <c r="A1092" s="2" t="inlineStr">
        <is>
          <t/>
        </is>
      </c>
      <c r="B1092" s="2" t="inlineStr">
        <is>
          <t>Часы настенные</t>
        </is>
      </c>
      <c r="C1092" s="2">
        <v>765919353</v>
      </c>
      <c r="D1092" s="2" t="inlineStr">
        <is>
          <t>660499</t>
        </is>
      </c>
      <c r="E1092" s="2" t="inlineStr">
        <is>
          <t>2048428667397</t>
        </is>
      </c>
      <c r="F1092" s="2">
        <v>0</v>
      </c>
      <c r="G1092" s="2">
        <v>0</v>
      </c>
      <c r="H1092" s="2" t="inlineStr">
        <is>
          <t/>
        </is>
      </c>
      <c r="I1092" s="2" t="inlineStr">
        <is>
          <t>11369</t>
        </is>
      </c>
      <c r="J1092" s="4"/>
      <c r="K1092" s="2">
        <v>65</v>
      </c>
      <c r="L1092" s="6"/>
      <c r="M1092" s="2" t="str">
        <f>IF(J1092="",ROUND(I1092*(1-IF(ISBLANK(L1092),K1092,L1092)/100),2),ROUND(J1092*(1-IF(ISBLANK(L1092),K1092,L1092)/100),2))</f>
      </c>
      <c r="N1092" s="7" t="str">
        <f>IF(NOT(AND(J1092="",L1092="")),IF(OR(AND(L1092&lt;&gt;"",NOT(ISNUMBER(L1092))),IFERROR(MOD(L1092,1),1)&gt;0,AND(ISNUMBER(L1092),OR(L1092&lt;0,L1092&gt;95))),"Введите целое число от 0 до 95",IF(OR(AND(J1092&lt;&gt;"",NOT(ISNUMBER(J1092))),IFERROR(MOD(J1092,1),1)&gt;0,AND(ISNUMBER(J1092),OR(J1092&lt;50,J1092&gt;20000000))),"Введите целое число от 50 до 20000000",IF(NOT(ABS(IFERROR(VALUE(LEFT(M1092,FIND("-",M1092)-1)),M1092)*100-(2500+2000000000)/2)&lt;=ABS(2500-2000000000)/2),"Цена со скидкой должна быть от 25 до 20000000",IF(AND(IFERROR(VALUE(LEFT(M1092,FIND("-",M1092)-1)),M1092)*150&lt;=397914,IFERROR(VALUE(LEFT(M1092,FIND("-",M1092)-1)),M1092)*200&gt;397914),"Вы уменьшили цену в несколько раз, товар попадет в карантин цен",IF(IFERROR(VALUE(LEFT(M1092,FIND("-",M1092)-1)),M1092)*200&lt;=397914,"Не сохранили изменения, чтобы защитить от ошибки — новые цены меньше текущих более чем в 2 раза. Снижайте их постепенно",IF(AND(IFERROR(VALUE(I1092),0)=0,ISNUMBER(J1092),OR(J1092&lt;481,ABS(IFERROR(VALUE(LEFT(M1092,FIND("-",M1092)-1)),M1092))*100&lt;48100)),"Проверьте цену товара. Большинство товаров в выбранной категории стоят дороже 481","")))))),"")</f>
      </c>
    </row>
    <row r="1093">
      <c r="A1093" s="2" t="inlineStr">
        <is>
          <t/>
        </is>
      </c>
      <c r="B1093" s="2" t="inlineStr">
        <is>
          <t>Часы настенные</t>
        </is>
      </c>
      <c r="C1093" s="2">
        <v>765919365</v>
      </c>
      <c r="D1093" s="2" t="inlineStr">
        <is>
          <t>660509</t>
        </is>
      </c>
      <c r="E1093" s="2" t="inlineStr">
        <is>
          <t>2048428667526</t>
        </is>
      </c>
      <c r="F1093" s="2">
        <v>0</v>
      </c>
      <c r="G1093" s="2">
        <v>0</v>
      </c>
      <c r="H1093" s="2" t="inlineStr">
        <is>
          <t/>
        </is>
      </c>
      <c r="I1093" s="2" t="inlineStr">
        <is>
          <t>8476</t>
        </is>
      </c>
      <c r="J1093" s="4"/>
      <c r="K1093" s="2">
        <v>65</v>
      </c>
      <c r="L1093" s="6"/>
      <c r="M1093" s="2" t="str">
        <f>IF(J1093="",ROUND(I1093*(1-IF(ISBLANK(L1093),K1093,L1093)/100),2),ROUND(J1093*(1-IF(ISBLANK(L1093),K1093,L1093)/100),2))</f>
      </c>
      <c r="N1093" s="7" t="str">
        <f>IF(NOT(AND(J1093="",L1093="")),IF(OR(AND(L1093&lt;&gt;"",NOT(ISNUMBER(L1093))),IFERROR(MOD(L1093,1),1)&gt;0,AND(ISNUMBER(L1093),OR(L1093&lt;0,L1093&gt;95))),"Введите целое число от 0 до 95",IF(OR(AND(J1093&lt;&gt;"",NOT(ISNUMBER(J1093))),IFERROR(MOD(J1093,1),1)&gt;0,AND(ISNUMBER(J1093),OR(J1093&lt;50,J1093&gt;20000000))),"Введите целое число от 50 до 20000000",IF(NOT(ABS(IFERROR(VALUE(LEFT(M1093,FIND("-",M1093)-1)),M1093)*100-(2500+2000000000)/2)&lt;=ABS(2500-2000000000)/2),"Цена со скидкой должна быть от 25 до 20000000",IF(AND(IFERROR(VALUE(LEFT(M1093,FIND("-",M1093)-1)),M1093)*150&lt;=296660,IFERROR(VALUE(LEFT(M1093,FIND("-",M1093)-1)),M1093)*200&gt;296660),"Вы уменьшили цену в несколько раз, товар попадет в карантин цен",IF(IFERROR(VALUE(LEFT(M1093,FIND("-",M1093)-1)),M1093)*200&lt;=296660,"Не сохранили изменения, чтобы защитить от ошибки — новые цены меньше текущих более чем в 2 раза. Снижайте их постепенно",IF(AND(IFERROR(VALUE(I1093),0)=0,ISNUMBER(J1093),OR(J1093&lt;481,ABS(IFERROR(VALUE(LEFT(M1093,FIND("-",M1093)-1)),M1093))*100&lt;48100)),"Проверьте цену товара. Большинство товаров в выбранной категории стоят дороже 481","")))))),"")</f>
      </c>
    </row>
    <row r="1094">
      <c r="A1094" s="2" t="inlineStr">
        <is>
          <t/>
        </is>
      </c>
      <c r="B1094" s="2" t="inlineStr">
        <is>
          <t>Часы настенные</t>
        </is>
      </c>
      <c r="C1094" s="2">
        <v>765919347</v>
      </c>
      <c r="D1094" s="2" t="inlineStr">
        <is>
          <t>660489</t>
        </is>
      </c>
      <c r="E1094" s="2" t="inlineStr">
        <is>
          <t>2048428667335</t>
        </is>
      </c>
      <c r="F1094" s="2">
        <v>0</v>
      </c>
      <c r="G1094" s="2">
        <v>1</v>
      </c>
      <c r="H1094" s="2" t="inlineStr">
        <is>
          <t/>
        </is>
      </c>
      <c r="I1094" s="2" t="inlineStr">
        <is>
          <t>8434</t>
        </is>
      </c>
      <c r="J1094" s="4"/>
      <c r="K1094" s="2">
        <v>78</v>
      </c>
      <c r="L1094" s="6"/>
      <c r="M1094" s="2" t="str">
        <f>IF(J1094="",ROUND(I1094*(1-IF(ISBLANK(L1094),K1094,L1094)/100),2),ROUND(J1094*(1-IF(ISBLANK(L1094),K1094,L1094)/100),2))</f>
      </c>
      <c r="N1094" s="7" t="str">
        <f>IF(NOT(AND(J1094="",L1094="")),IF(OR(AND(L1094&lt;&gt;"",NOT(ISNUMBER(L1094))),IFERROR(MOD(L1094,1),1)&gt;0,AND(ISNUMBER(L1094),OR(L1094&lt;0,L1094&gt;95))),"Введите целое число от 0 до 95",IF(OR(AND(J1094&lt;&gt;"",NOT(ISNUMBER(J1094))),IFERROR(MOD(J1094,1),1)&gt;0,AND(ISNUMBER(J1094),OR(J1094&lt;50,J1094&gt;20000000))),"Введите целое число от 50 до 20000000",IF(NOT(ABS(IFERROR(VALUE(LEFT(M1094,FIND("-",M1094)-1)),M1094)*100-(2500+2000000000)/2)&lt;=ABS(2500-2000000000)/2),"Цена со скидкой должна быть от 25 до 20000000",IF(AND(IFERROR(VALUE(LEFT(M1094,FIND("-",M1094)-1)),M1094)*150&lt;=185547,IFERROR(VALUE(LEFT(M1094,FIND("-",M1094)-1)),M1094)*200&gt;185547),"Вы уменьшили цену в несколько раз, товар попадет в карантин цен",IF(IFERROR(VALUE(LEFT(M1094,FIND("-",M1094)-1)),M1094)*200&lt;=185547,"Не сохранили изменения, чтобы защитить от ошибки — новые цены меньше текущих более чем в 2 раза. Снижайте их постепенно",IF(AND(IFERROR(VALUE(I1094),0)=0,ISNUMBER(J1094),OR(J1094&lt;481,ABS(IFERROR(VALUE(LEFT(M1094,FIND("-",M1094)-1)),M1094))*100&lt;48100)),"Проверьте цену товара. Большинство товаров в выбранной категории стоят дороже 481","")))))),"")</f>
      </c>
    </row>
    <row r="1095">
      <c r="A1095" s="2" t="inlineStr">
        <is>
          <t/>
        </is>
      </c>
      <c r="B1095" s="2" t="inlineStr">
        <is>
          <t>Часы настенные</t>
        </is>
      </c>
      <c r="C1095" s="2">
        <v>765920457</v>
      </c>
      <c r="D1095" s="2" t="inlineStr">
        <is>
          <t>660486</t>
        </is>
      </c>
      <c r="E1095" s="2" t="inlineStr">
        <is>
          <t>2048428673381</t>
        </is>
      </c>
      <c r="F1095" s="2">
        <v>0</v>
      </c>
      <c r="G1095" s="2">
        <v>0</v>
      </c>
      <c r="H1095" s="2" t="inlineStr">
        <is>
          <t/>
        </is>
      </c>
      <c r="I1095" s="2" t="inlineStr">
        <is>
          <t>10958</t>
        </is>
      </c>
      <c r="J1095" s="4"/>
      <c r="K1095" s="2">
        <v>65</v>
      </c>
      <c r="L1095" s="6"/>
      <c r="M1095" s="2" t="str">
        <f>IF(J1095="",ROUND(I1095*(1-IF(ISBLANK(L1095),K1095,L1095)/100),2),ROUND(J1095*(1-IF(ISBLANK(L1095),K1095,L1095)/100),2))</f>
      </c>
      <c r="N1095" s="7" t="str">
        <f>IF(NOT(AND(J1095="",L1095="")),IF(OR(AND(L1095&lt;&gt;"",NOT(ISNUMBER(L1095))),IFERROR(MOD(L1095,1),1)&gt;0,AND(ISNUMBER(L1095),OR(L1095&lt;0,L1095&gt;95))),"Введите целое число от 0 до 95",IF(OR(AND(J1095&lt;&gt;"",NOT(ISNUMBER(J1095))),IFERROR(MOD(J1095,1),1)&gt;0,AND(ISNUMBER(J1095),OR(J1095&lt;50,J1095&gt;20000000))),"Введите целое число от 50 до 20000000",IF(NOT(ABS(IFERROR(VALUE(LEFT(M1095,FIND("-",M1095)-1)),M1095)*100-(2500+2000000000)/2)&lt;=ABS(2500-2000000000)/2),"Цена со скидкой должна быть от 25 до 20000000",IF(AND(IFERROR(VALUE(LEFT(M1095,FIND("-",M1095)-1)),M1095)*150&lt;=383530,IFERROR(VALUE(LEFT(M1095,FIND("-",M1095)-1)),M1095)*200&gt;383530),"Вы уменьшили цену в несколько раз, товар попадет в карантин цен",IF(IFERROR(VALUE(LEFT(M1095,FIND("-",M1095)-1)),M1095)*200&lt;=383530,"Не сохранили изменения, чтобы защитить от ошибки — новые цены меньше текущих более чем в 2 раза. Снижайте их постепенно",IF(AND(IFERROR(VALUE(I1095),0)=0,ISNUMBER(J1095),OR(J1095&lt;481,ABS(IFERROR(VALUE(LEFT(M1095,FIND("-",M1095)-1)),M1095))*100&lt;48100)),"Проверьте цену товара. Большинство товаров в выбранной категории стоят дороже 481","")))))),"")</f>
      </c>
    </row>
    <row r="1096">
      <c r="A1096" s="2" t="inlineStr">
        <is>
          <t/>
        </is>
      </c>
      <c r="B1096" s="2" t="inlineStr">
        <is>
          <t>Часы настенные</t>
        </is>
      </c>
      <c r="C1096" s="2">
        <v>765919407</v>
      </c>
      <c r="D1096" s="2" t="inlineStr">
        <is>
          <t>660510</t>
        </is>
      </c>
      <c r="E1096" s="2" t="inlineStr">
        <is>
          <t>2048428667731</t>
        </is>
      </c>
      <c r="F1096" s="2">
        <v>0</v>
      </c>
      <c r="G1096" s="2">
        <v>0</v>
      </c>
      <c r="H1096" s="2" t="inlineStr">
        <is>
          <t/>
        </is>
      </c>
      <c r="I1096" s="2" t="inlineStr">
        <is>
          <t>8873</t>
        </is>
      </c>
      <c r="J1096" s="4"/>
      <c r="K1096" s="2">
        <v>65</v>
      </c>
      <c r="L1096" s="6"/>
      <c r="M1096" s="2" t="str">
        <f>IF(J1096="",ROUND(I1096*(1-IF(ISBLANK(L1096),K1096,L1096)/100),2),ROUND(J1096*(1-IF(ISBLANK(L1096),K1096,L1096)/100),2))</f>
      </c>
      <c r="N1096" s="7" t="str">
        <f>IF(NOT(AND(J1096="",L1096="")),IF(OR(AND(L1096&lt;&gt;"",NOT(ISNUMBER(L1096))),IFERROR(MOD(L1096,1),1)&gt;0,AND(ISNUMBER(L1096),OR(L1096&lt;0,L1096&gt;95))),"Введите целое число от 0 до 95",IF(OR(AND(J1096&lt;&gt;"",NOT(ISNUMBER(J1096))),IFERROR(MOD(J1096,1),1)&gt;0,AND(ISNUMBER(J1096),OR(J1096&lt;50,J1096&gt;20000000))),"Введите целое число от 50 до 20000000",IF(NOT(ABS(IFERROR(VALUE(LEFT(M1096,FIND("-",M1096)-1)),M1096)*100-(2500+2000000000)/2)&lt;=ABS(2500-2000000000)/2),"Цена со скидкой должна быть от 25 до 20000000",IF(AND(IFERROR(VALUE(LEFT(M1096,FIND("-",M1096)-1)),M1096)*150&lt;=310555,IFERROR(VALUE(LEFT(M1096,FIND("-",M1096)-1)),M1096)*200&gt;310555),"Вы уменьшили цену в несколько раз, товар попадет в карантин цен",IF(IFERROR(VALUE(LEFT(M1096,FIND("-",M1096)-1)),M1096)*200&lt;=310555,"Не сохранили изменения, чтобы защитить от ошибки — новые цены меньше текущих более чем в 2 раза. Снижайте их постепенно",IF(AND(IFERROR(VALUE(I1096),0)=0,ISNUMBER(J1096),OR(J1096&lt;481,ABS(IFERROR(VALUE(LEFT(M1096,FIND("-",M1096)-1)),M1096))*100&lt;48100)),"Проверьте цену товара. Большинство товаров в выбранной категории стоят дороже 481","")))))),"")</f>
      </c>
    </row>
    <row r="1097">
      <c r="A1097" s="2" t="inlineStr">
        <is>
          <t/>
        </is>
      </c>
      <c r="B1097" s="2" t="inlineStr">
        <is>
          <t>Часы настенные</t>
        </is>
      </c>
      <c r="C1097" s="2">
        <v>765919397</v>
      </c>
      <c r="D1097" s="2" t="inlineStr">
        <is>
          <t>660517</t>
        </is>
      </c>
      <c r="E1097" s="2" t="inlineStr">
        <is>
          <t>2048428667618</t>
        </is>
      </c>
      <c r="F1097" s="2">
        <v>0</v>
      </c>
      <c r="G1097" s="2">
        <v>6</v>
      </c>
      <c r="H1097" s="2" t="inlineStr">
        <is>
          <t/>
        </is>
      </c>
      <c r="I1097" s="2" t="inlineStr">
        <is>
          <t>10544</t>
        </is>
      </c>
      <c r="J1097" s="4"/>
      <c r="K1097" s="2">
        <v>78</v>
      </c>
      <c r="L1097" s="6"/>
      <c r="M1097" s="2" t="str">
        <f>IF(J1097="",ROUND(I1097*(1-IF(ISBLANK(L1097),K1097,L1097)/100),2),ROUND(J1097*(1-IF(ISBLANK(L1097),K1097,L1097)/100),2))</f>
      </c>
      <c r="N1097" s="7" t="str">
        <f>IF(NOT(AND(J1097="",L1097="")),IF(OR(AND(L1097&lt;&gt;"",NOT(ISNUMBER(L1097))),IFERROR(MOD(L1097,1),1)&gt;0,AND(ISNUMBER(L1097),OR(L1097&lt;0,L1097&gt;95))),"Введите целое число от 0 до 95",IF(OR(AND(J1097&lt;&gt;"",NOT(ISNUMBER(J1097))),IFERROR(MOD(J1097,1),1)&gt;0,AND(ISNUMBER(J1097),OR(J1097&lt;50,J1097&gt;20000000))),"Введите целое число от 50 до 20000000",IF(NOT(ABS(IFERROR(VALUE(LEFT(M1097,FIND("-",M1097)-1)),M1097)*100-(2500+2000000000)/2)&lt;=ABS(2500-2000000000)/2),"Цена со скидкой должна быть от 25 до 20000000",IF(AND(IFERROR(VALUE(LEFT(M1097,FIND("-",M1097)-1)),M1097)*150&lt;=231967,IFERROR(VALUE(LEFT(M1097,FIND("-",M1097)-1)),M1097)*200&gt;231967),"Вы уменьшили цену в несколько раз, товар попадет в карантин цен",IF(IFERROR(VALUE(LEFT(M1097,FIND("-",M1097)-1)),M1097)*200&lt;=231967,"Не сохранили изменения, чтобы защитить от ошибки — новые цены меньше текущих более чем в 2 раза. Снижайте их постепенно",IF(AND(IFERROR(VALUE(I1097),0)=0,ISNUMBER(J1097),OR(J1097&lt;481,ABS(IFERROR(VALUE(LEFT(M1097,FIND("-",M1097)-1)),M1097))*100&lt;48100)),"Проверьте цену товара. Большинство товаров в выбранной категории стоят дороже 481","")))))),"")</f>
      </c>
    </row>
    <row r="1098">
      <c r="A1098" s="2" t="inlineStr">
        <is>
          <t/>
        </is>
      </c>
      <c r="B1098" s="2" t="inlineStr">
        <is>
          <t>Часы настенные</t>
        </is>
      </c>
      <c r="C1098" s="2">
        <v>765919403</v>
      </c>
      <c r="D1098" s="2" t="inlineStr">
        <is>
          <t>660515</t>
        </is>
      </c>
      <c r="E1098" s="2" t="inlineStr">
        <is>
          <t>2048428667687</t>
        </is>
      </c>
      <c r="F1098" s="2">
        <v>0</v>
      </c>
      <c r="G1098" s="2">
        <v>2</v>
      </c>
      <c r="H1098" s="2" t="inlineStr">
        <is>
          <t/>
        </is>
      </c>
      <c r="I1098" s="2" t="inlineStr">
        <is>
          <t>11155</t>
        </is>
      </c>
      <c r="J1098" s="4"/>
      <c r="K1098" s="2">
        <v>78</v>
      </c>
      <c r="L1098" s="6"/>
      <c r="M1098" s="2" t="str">
        <f>IF(J1098="",ROUND(I1098*(1-IF(ISBLANK(L1098),K1098,L1098)/100),2),ROUND(J1098*(1-IF(ISBLANK(L1098),K1098,L1098)/100),2))</f>
      </c>
      <c r="N1098" s="7" t="str">
        <f>IF(NOT(AND(J1098="",L1098="")),IF(OR(AND(L1098&lt;&gt;"",NOT(ISNUMBER(L1098))),IFERROR(MOD(L1098,1),1)&gt;0,AND(ISNUMBER(L1098),OR(L1098&lt;0,L1098&gt;95))),"Введите целое число от 0 до 95",IF(OR(AND(J1098&lt;&gt;"",NOT(ISNUMBER(J1098))),IFERROR(MOD(J1098,1),1)&gt;0,AND(ISNUMBER(J1098),OR(J1098&lt;50,J1098&gt;20000000))),"Введите целое число от 50 до 20000000",IF(NOT(ABS(IFERROR(VALUE(LEFT(M1098,FIND("-",M1098)-1)),M1098)*100-(2500+2000000000)/2)&lt;=ABS(2500-2000000000)/2),"Цена со скидкой должна быть от 25 до 20000000",IF(AND(IFERROR(VALUE(LEFT(M1098,FIND("-",M1098)-1)),M1098)*150&lt;=245410,IFERROR(VALUE(LEFT(M1098,FIND("-",M1098)-1)),M1098)*200&gt;245410),"Вы уменьшили цену в несколько раз, товар попадет в карантин цен",IF(IFERROR(VALUE(LEFT(M1098,FIND("-",M1098)-1)),M1098)*200&lt;=245410,"Не сохранили изменения, чтобы защитить от ошибки — новые цены меньше текущих более чем в 2 раза. Снижайте их постепенно",IF(AND(IFERROR(VALUE(I1098),0)=0,ISNUMBER(J1098),OR(J1098&lt;481,ABS(IFERROR(VALUE(LEFT(M1098,FIND("-",M1098)-1)),M1098))*100&lt;48100)),"Проверьте цену товара. Большинство товаров в выбранной категории стоят дороже 481","")))))),"")</f>
      </c>
    </row>
    <row r="1099">
      <c r="A1099" s="2" t="inlineStr">
        <is>
          <t/>
        </is>
      </c>
      <c r="B1099" s="2" t="inlineStr">
        <is>
          <t>Часы настенные</t>
        </is>
      </c>
      <c r="C1099" s="2">
        <v>765919360</v>
      </c>
      <c r="D1099" s="2" t="inlineStr">
        <is>
          <t>660503</t>
        </is>
      </c>
      <c r="E1099" s="2" t="inlineStr">
        <is>
          <t>2048428667472</t>
        </is>
      </c>
      <c r="F1099" s="2">
        <v>0</v>
      </c>
      <c r="G1099" s="2">
        <v>1</v>
      </c>
      <c r="H1099" s="2" t="inlineStr">
        <is>
          <t/>
        </is>
      </c>
      <c r="I1099" s="2" t="inlineStr">
        <is>
          <t>10846</t>
        </is>
      </c>
      <c r="J1099" s="4"/>
      <c r="K1099" s="2">
        <v>78</v>
      </c>
      <c r="L1099" s="6"/>
      <c r="M1099" s="2" t="str">
        <f>IF(J1099="",ROUND(I1099*(1-IF(ISBLANK(L1099),K1099,L1099)/100),2),ROUND(J1099*(1-IF(ISBLANK(L1099),K1099,L1099)/100),2))</f>
      </c>
      <c r="N1099" s="7" t="str">
        <f>IF(NOT(AND(J1099="",L1099="")),IF(OR(AND(L1099&lt;&gt;"",NOT(ISNUMBER(L1099))),IFERROR(MOD(L1099,1),1)&gt;0,AND(ISNUMBER(L1099),OR(L1099&lt;0,L1099&gt;95))),"Введите целое число от 0 до 95",IF(OR(AND(J1099&lt;&gt;"",NOT(ISNUMBER(J1099))),IFERROR(MOD(J1099,1),1)&gt;0,AND(ISNUMBER(J1099),OR(J1099&lt;50,J1099&gt;20000000))),"Введите целое число от 50 до 20000000",IF(NOT(ABS(IFERROR(VALUE(LEFT(M1099,FIND("-",M1099)-1)),M1099)*100-(2500+2000000000)/2)&lt;=ABS(2500-2000000000)/2),"Цена со скидкой должна быть от 25 до 20000000",IF(AND(IFERROR(VALUE(LEFT(M1099,FIND("-",M1099)-1)),M1099)*150&lt;=238612,IFERROR(VALUE(LEFT(M1099,FIND("-",M1099)-1)),M1099)*200&gt;238612),"Вы уменьшили цену в несколько раз, товар попадет в карантин цен",IF(IFERROR(VALUE(LEFT(M1099,FIND("-",M1099)-1)),M1099)*200&lt;=238612,"Не сохранили изменения, чтобы защитить от ошибки — новые цены меньше текущих более чем в 2 раза. Снижайте их постепенно",IF(AND(IFERROR(VALUE(I1099),0)=0,ISNUMBER(J1099),OR(J1099&lt;481,ABS(IFERROR(VALUE(LEFT(M1099,FIND("-",M1099)-1)),M1099))*100&lt;48100)),"Проверьте цену товара. Большинство товаров в выбранной категории стоят дороже 481","")))))),"")</f>
      </c>
    </row>
    <row r="1100">
      <c r="A1100" s="2" t="inlineStr">
        <is>
          <t/>
        </is>
      </c>
      <c r="B1100" s="2" t="inlineStr">
        <is>
          <t>Часы настенные</t>
        </is>
      </c>
      <c r="C1100" s="2">
        <v>765919401</v>
      </c>
      <c r="D1100" s="2" t="inlineStr">
        <is>
          <t>660526</t>
        </is>
      </c>
      <c r="E1100" s="2" t="inlineStr">
        <is>
          <t>2048428667656</t>
        </is>
      </c>
      <c r="F1100" s="2">
        <v>0</v>
      </c>
      <c r="G1100" s="2">
        <v>2</v>
      </c>
      <c r="H1100" s="2" t="inlineStr">
        <is>
          <t/>
        </is>
      </c>
      <c r="I1100" s="2" t="inlineStr">
        <is>
          <t>18916</t>
        </is>
      </c>
      <c r="J1100" s="4"/>
      <c r="K1100" s="2">
        <v>80</v>
      </c>
      <c r="L1100" s="6"/>
      <c r="M1100" s="2" t="str">
        <f>IF(J1100="",ROUND(I1100*(1-IF(ISBLANK(L1100),K1100,L1100)/100),2),ROUND(J1100*(1-IF(ISBLANK(L1100),K1100,L1100)/100),2))</f>
      </c>
      <c r="N1100" s="7" t="str">
        <f>IF(NOT(AND(J1100="",L1100="")),IF(OR(AND(L1100&lt;&gt;"",NOT(ISNUMBER(L1100))),IFERROR(MOD(L1100,1),1)&gt;0,AND(ISNUMBER(L1100),OR(L1100&lt;0,L1100&gt;95))),"Введите целое число от 0 до 95",IF(OR(AND(J1100&lt;&gt;"",NOT(ISNUMBER(J1100))),IFERROR(MOD(J1100,1),1)&gt;0,AND(ISNUMBER(J1100),OR(J1100&lt;50,J1100&gt;20000000))),"Введите целое число от 50 до 20000000",IF(NOT(ABS(IFERROR(VALUE(LEFT(M1100,FIND("-",M1100)-1)),M1100)*100-(2500+2000000000)/2)&lt;=ABS(2500-2000000000)/2),"Цена со скидкой должна быть от 25 до 20000000",IF(AND(IFERROR(VALUE(LEFT(M1100,FIND("-",M1100)-1)),M1100)*150&lt;=378319,IFERROR(VALUE(LEFT(M1100,FIND("-",M1100)-1)),M1100)*200&gt;378319),"Вы уменьшили цену в несколько раз, товар попадет в карантин цен",IF(IFERROR(VALUE(LEFT(M1100,FIND("-",M1100)-1)),M1100)*200&lt;=378319,"Не сохранили изменения, чтобы защитить от ошибки — новые цены меньше текущих более чем в 2 раза. Снижайте их постепенно",IF(AND(IFERROR(VALUE(I1100),0)=0,ISNUMBER(J1100),OR(J1100&lt;481,ABS(IFERROR(VALUE(LEFT(M1100,FIND("-",M1100)-1)),M1100))*100&lt;48100)),"Проверьте цену товара. Большинство товаров в выбранной категории стоят дороже 481","")))))),"")</f>
      </c>
    </row>
    <row r="1101">
      <c r="A1101" s="2" t="inlineStr">
        <is>
          <t/>
        </is>
      </c>
      <c r="B1101" s="2" t="inlineStr">
        <is>
          <t>Часы настенные</t>
        </is>
      </c>
      <c r="C1101" s="2">
        <v>765919398</v>
      </c>
      <c r="D1101" s="2" t="inlineStr">
        <is>
          <t>660519</t>
        </is>
      </c>
      <c r="E1101" s="2" t="inlineStr">
        <is>
          <t>2048428667625</t>
        </is>
      </c>
      <c r="F1101" s="2">
        <v>0</v>
      </c>
      <c r="G1101" s="2">
        <v>0</v>
      </c>
      <c r="H1101" s="2" t="inlineStr">
        <is>
          <t/>
        </is>
      </c>
      <c r="I1101" s="2" t="inlineStr">
        <is>
          <t>14149</t>
        </is>
      </c>
      <c r="J1101" s="4"/>
      <c r="K1101" s="2">
        <v>65</v>
      </c>
      <c r="L1101" s="6"/>
      <c r="M1101" s="2" t="str">
        <f>IF(J1101="",ROUND(I1101*(1-IF(ISBLANK(L1101),K1101,L1101)/100),2),ROUND(J1101*(1-IF(ISBLANK(L1101),K1101,L1101)/100),2))</f>
      </c>
      <c r="N1101" s="7" t="str">
        <f>IF(NOT(AND(J1101="",L1101="")),IF(OR(AND(L1101&lt;&gt;"",NOT(ISNUMBER(L1101))),IFERROR(MOD(L1101,1),1)&gt;0,AND(ISNUMBER(L1101),OR(L1101&lt;0,L1101&gt;95))),"Введите целое число от 0 до 95",IF(OR(AND(J1101&lt;&gt;"",NOT(ISNUMBER(J1101))),IFERROR(MOD(J1101,1),1)&gt;0,AND(ISNUMBER(J1101),OR(J1101&lt;50,J1101&gt;20000000))),"Введите целое число от 50 до 20000000",IF(NOT(ABS(IFERROR(VALUE(LEFT(M1101,FIND("-",M1101)-1)),M1101)*100-(2500+2000000000)/2)&lt;=ABS(2500-2000000000)/2),"Цена со скидкой должна быть от 25 до 20000000",IF(AND(IFERROR(VALUE(LEFT(M1101,FIND("-",M1101)-1)),M1101)*150&lt;=495214,IFERROR(VALUE(LEFT(M1101,FIND("-",M1101)-1)),M1101)*200&gt;495214),"Вы уменьшили цену в несколько раз, товар попадет в карантин цен",IF(IFERROR(VALUE(LEFT(M1101,FIND("-",M1101)-1)),M1101)*200&lt;=495214,"Не сохранили изменения, чтобы защитить от ошибки — новые цены меньше текущих более чем в 2 раза. Снижайте их постепенно",IF(AND(IFERROR(VALUE(I1101),0)=0,ISNUMBER(J1101),OR(J1101&lt;481,ABS(IFERROR(VALUE(LEFT(M1101,FIND("-",M1101)-1)),M1101))*100&lt;48100)),"Проверьте цену товара. Большинство товаров в выбранной категории стоят дороже 481","")))))),"")</f>
      </c>
    </row>
    <row r="1102">
      <c r="A1102" s="2" t="inlineStr">
        <is>
          <t/>
        </is>
      </c>
      <c r="B1102" s="2" t="inlineStr">
        <is>
          <t>Часы настенные</t>
        </is>
      </c>
      <c r="C1102" s="2">
        <v>765919400</v>
      </c>
      <c r="D1102" s="2" t="inlineStr">
        <is>
          <t>660527</t>
        </is>
      </c>
      <c r="E1102" s="2" t="inlineStr">
        <is>
          <t>2048428667649</t>
        </is>
      </c>
      <c r="F1102" s="2">
        <v>0</v>
      </c>
      <c r="G1102" s="2">
        <v>5</v>
      </c>
      <c r="H1102" s="2" t="inlineStr">
        <is>
          <t/>
        </is>
      </c>
      <c r="I1102" s="2" t="inlineStr">
        <is>
          <t>16480</t>
        </is>
      </c>
      <c r="J1102" s="4"/>
      <c r="K1102" s="2">
        <v>80</v>
      </c>
      <c r="L1102" s="6"/>
      <c r="M1102" s="2" t="str">
        <f>IF(J1102="",ROUND(I1102*(1-IF(ISBLANK(L1102),K1102,L1102)/100),2),ROUND(J1102*(1-IF(ISBLANK(L1102),K1102,L1102)/100),2))</f>
      </c>
      <c r="N1102" s="7" t="str">
        <f>IF(NOT(AND(J1102="",L1102="")),IF(OR(AND(L1102&lt;&gt;"",NOT(ISNUMBER(L1102))),IFERROR(MOD(L1102,1),1)&gt;0,AND(ISNUMBER(L1102),OR(L1102&lt;0,L1102&gt;95))),"Введите целое число от 0 до 95",IF(OR(AND(J1102&lt;&gt;"",NOT(ISNUMBER(J1102))),IFERROR(MOD(J1102,1),1)&gt;0,AND(ISNUMBER(J1102),OR(J1102&lt;50,J1102&gt;20000000))),"Введите целое число от 50 до 20000000",IF(NOT(ABS(IFERROR(VALUE(LEFT(M1102,FIND("-",M1102)-1)),M1102)*100-(2500+2000000000)/2)&lt;=ABS(2500-2000000000)/2),"Цена со скидкой должна быть от 25 до 20000000",IF(AND(IFERROR(VALUE(LEFT(M1102,FIND("-",M1102)-1)),M1102)*150&lt;=329599,IFERROR(VALUE(LEFT(M1102,FIND("-",M1102)-1)),M1102)*200&gt;329599),"Вы уменьшили цену в несколько раз, товар попадет в карантин цен",IF(IFERROR(VALUE(LEFT(M1102,FIND("-",M1102)-1)),M1102)*200&lt;=329599,"Не сохранили изменения, чтобы защитить от ошибки — новые цены меньше текущих более чем в 2 раза. Снижайте их постепенно",IF(AND(IFERROR(VALUE(I1102),0)=0,ISNUMBER(J1102),OR(J1102&lt;481,ABS(IFERROR(VALUE(LEFT(M1102,FIND("-",M1102)-1)),M1102))*100&lt;48100)),"Проверьте цену товара. Большинство товаров в выбранной категории стоят дороже 481","")))))),"")</f>
      </c>
    </row>
    <row r="1103">
      <c r="A1103" s="2" t="inlineStr">
        <is>
          <t/>
        </is>
      </c>
      <c r="B1103" s="2" t="inlineStr">
        <is>
          <t>Часы настенные</t>
        </is>
      </c>
      <c r="C1103" s="2">
        <v>765919408</v>
      </c>
      <c r="D1103" s="2" t="inlineStr">
        <is>
          <t>660512</t>
        </is>
      </c>
      <c r="E1103" s="2" t="inlineStr">
        <is>
          <t>2048428667748</t>
        </is>
      </c>
      <c r="F1103" s="2">
        <v>0</v>
      </c>
      <c r="G1103" s="2">
        <v>0</v>
      </c>
      <c r="H1103" s="2" t="inlineStr">
        <is>
          <t/>
        </is>
      </c>
      <c r="I1103" s="2" t="inlineStr">
        <is>
          <t>7064</t>
        </is>
      </c>
      <c r="J1103" s="4"/>
      <c r="K1103" s="2">
        <v>65</v>
      </c>
      <c r="L1103" s="6"/>
      <c r="M1103" s="2" t="str">
        <f>IF(J1103="",ROUND(I1103*(1-IF(ISBLANK(L1103),K1103,L1103)/100),2),ROUND(J1103*(1-IF(ISBLANK(L1103),K1103,L1103)/100),2))</f>
      </c>
      <c r="N1103" s="7" t="str">
        <f>IF(NOT(AND(J1103="",L1103="")),IF(OR(AND(L1103&lt;&gt;"",NOT(ISNUMBER(L1103))),IFERROR(MOD(L1103,1),1)&gt;0,AND(ISNUMBER(L1103),OR(L1103&lt;0,L1103&gt;95))),"Введите целое число от 0 до 95",IF(OR(AND(J1103&lt;&gt;"",NOT(ISNUMBER(J1103))),IFERROR(MOD(J1103,1),1)&gt;0,AND(ISNUMBER(J1103),OR(J1103&lt;50,J1103&gt;20000000))),"Введите целое число от 50 до 20000000",IF(NOT(ABS(IFERROR(VALUE(LEFT(M1103,FIND("-",M1103)-1)),M1103)*100-(2500+2000000000)/2)&lt;=ABS(2500-2000000000)/2),"Цена со скидкой должна быть от 25 до 20000000",IF(AND(IFERROR(VALUE(LEFT(M1103,FIND("-",M1103)-1)),M1103)*150&lt;=247239,IFERROR(VALUE(LEFT(M1103,FIND("-",M1103)-1)),M1103)*200&gt;247239),"Вы уменьшили цену в несколько раз, товар попадет в карантин цен",IF(IFERROR(VALUE(LEFT(M1103,FIND("-",M1103)-1)),M1103)*200&lt;=247239,"Не сохранили изменения, чтобы защитить от ошибки — новые цены меньше текущих более чем в 2 раза. Снижайте их постепенно",IF(AND(IFERROR(VALUE(I1103),0)=0,ISNUMBER(J1103),OR(J1103&lt;481,ABS(IFERROR(VALUE(LEFT(M1103,FIND("-",M1103)-1)),M1103))*100&lt;48100)),"Проверьте цену товара. Большинство товаров в выбранной категории стоят дороже 481","")))))),"")</f>
      </c>
    </row>
    <row r="1104">
      <c r="A1104" s="2" t="inlineStr">
        <is>
          <t/>
        </is>
      </c>
      <c r="B1104" s="2" t="inlineStr">
        <is>
          <t>Графины</t>
        </is>
      </c>
      <c r="C1104" s="2">
        <v>765931943</v>
      </c>
      <c r="D1104" s="2" t="inlineStr">
        <is>
          <t>12358</t>
        </is>
      </c>
      <c r="E1104" s="2" t="inlineStr">
        <is>
          <t>2048428757197</t>
        </is>
      </c>
      <c r="F1104" s="2">
        <v>0</v>
      </c>
      <c r="G1104" s="2">
        <v>0</v>
      </c>
      <c r="H1104" s="2" t="inlineStr">
        <is>
          <t/>
        </is>
      </c>
      <c r="I1104" s="2" t="inlineStr">
        <is>
          <t>5765</t>
        </is>
      </c>
      <c r="J1104" s="4"/>
      <c r="K1104" s="2">
        <v>65</v>
      </c>
      <c r="L1104" s="6"/>
      <c r="M1104" s="2" t="str">
        <f>IF(J1104="",ROUND(I1104*(1-IF(ISBLANK(L1104),K1104,L1104)/100),2),ROUND(J1104*(1-IF(ISBLANK(L1104),K1104,L1104)/100),2))</f>
      </c>
      <c r="N1104" s="7" t="str">
        <f>IF(NOT(AND(J1104="",L1104="")),IF(OR(AND(L1104&lt;&gt;"",NOT(ISNUMBER(L1104))),IFERROR(MOD(L1104,1),1)&gt;0,AND(ISNUMBER(L1104),OR(L1104&lt;0,L1104&gt;95))),"Введите целое число от 0 до 95",IF(OR(AND(J1104&lt;&gt;"",NOT(ISNUMBER(J1104))),IFERROR(MOD(J1104,1),1)&gt;0,AND(ISNUMBER(J1104),OR(J1104&lt;50,J1104&gt;20000000))),"Введите целое число от 50 до 20000000",IF(NOT(ABS(IFERROR(VALUE(LEFT(M1104,FIND("-",M1104)-1)),M1104)*100-(2500+2000000000)/2)&lt;=ABS(2500-2000000000)/2),"Цена со скидкой должна быть от 25 до 20000000",IF(AND(IFERROR(VALUE(LEFT(M1104,FIND("-",M1104)-1)),M1104)*150&lt;=201774,IFERROR(VALUE(LEFT(M1104,FIND("-",M1104)-1)),M1104)*200&gt;201774),"Вы уменьшили цену в несколько раз, товар попадет в карантин цен",IF(IFERROR(VALUE(LEFT(M1104,FIND("-",M1104)-1)),M1104)*200&lt;=201774,"Не сохранили изменения, чтобы защитить от ошибки — новые цены меньше текущих более чем в 2 раза. Снижайте их постепенно",IF(AND(IFERROR(VALUE(I1104),0)=0,ISNUMBER(J1104),OR(J1104&lt;458,ABS(IFERROR(VALUE(LEFT(M1104,FIND("-",M1104)-1)),M1104))*100&lt;45800)),"Проверьте цену товара. Большинство товаров в выбранной категории стоят дороже 458","")))))),"")</f>
      </c>
    </row>
    <row r="1105">
      <c r="A1105" s="2" t="inlineStr">
        <is>
          <t/>
        </is>
      </c>
      <c r="B1105" s="2" t="inlineStr">
        <is>
          <t>Часы настенные</t>
        </is>
      </c>
      <c r="C1105" s="2">
        <v>765920485</v>
      </c>
      <c r="D1105" s="2" t="inlineStr">
        <is>
          <t>660529</t>
        </is>
      </c>
      <c r="E1105" s="2" t="inlineStr">
        <is>
          <t>2048428673671</t>
        </is>
      </c>
      <c r="F1105" s="2">
        <v>0</v>
      </c>
      <c r="G1105" s="2">
        <v>0</v>
      </c>
      <c r="H1105" s="2" t="inlineStr">
        <is>
          <t/>
        </is>
      </c>
      <c r="I1105" s="2" t="inlineStr">
        <is>
          <t>9784</t>
        </is>
      </c>
      <c r="J1105" s="4"/>
      <c r="K1105" s="2">
        <v>65</v>
      </c>
      <c r="L1105" s="6"/>
      <c r="M1105" s="2" t="str">
        <f>IF(J1105="",ROUND(I1105*(1-IF(ISBLANK(L1105),K1105,L1105)/100),2),ROUND(J1105*(1-IF(ISBLANK(L1105),K1105,L1105)/100),2))</f>
      </c>
      <c r="N1105" s="7" t="str">
        <f>IF(NOT(AND(J1105="",L1105="")),IF(OR(AND(L1105&lt;&gt;"",NOT(ISNUMBER(L1105))),IFERROR(MOD(L1105,1),1)&gt;0,AND(ISNUMBER(L1105),OR(L1105&lt;0,L1105&gt;95))),"Введите целое число от 0 до 95",IF(OR(AND(J1105&lt;&gt;"",NOT(ISNUMBER(J1105))),IFERROR(MOD(J1105,1),1)&gt;0,AND(ISNUMBER(J1105),OR(J1105&lt;50,J1105&gt;20000000))),"Введите целое число от 50 до 20000000",IF(NOT(ABS(IFERROR(VALUE(LEFT(M1105,FIND("-",M1105)-1)),M1105)*100-(2500+2000000000)/2)&lt;=ABS(2500-2000000000)/2),"Цена со скидкой должна быть от 25 до 20000000",IF(AND(IFERROR(VALUE(LEFT(M1105,FIND("-",M1105)-1)),M1105)*150&lt;=342439,IFERROR(VALUE(LEFT(M1105,FIND("-",M1105)-1)),M1105)*200&gt;342439),"Вы уменьшили цену в несколько раз, товар попадет в карантин цен",IF(IFERROR(VALUE(LEFT(M1105,FIND("-",M1105)-1)),M1105)*200&lt;=342439,"Не сохранили изменения, чтобы защитить от ошибки — новые цены меньше текущих более чем в 2 раза. Снижайте их постепенно",IF(AND(IFERROR(VALUE(I1105),0)=0,ISNUMBER(J1105),OR(J1105&lt;481,ABS(IFERROR(VALUE(LEFT(M1105,FIND("-",M1105)-1)),M1105))*100&lt;48100)),"Проверьте цену товара. Большинство товаров в выбранной категории стоят дороже 481","")))))),"")</f>
      </c>
    </row>
    <row r="1106">
      <c r="A1106" s="2" t="inlineStr">
        <is>
          <t/>
        </is>
      </c>
      <c r="B1106" s="2" t="inlineStr">
        <is>
          <t>Графины</t>
        </is>
      </c>
      <c r="C1106" s="2">
        <v>765931944</v>
      </c>
      <c r="D1106" s="2" t="inlineStr">
        <is>
          <t>100587</t>
        </is>
      </c>
      <c r="E1106" s="2" t="inlineStr">
        <is>
          <t>2048428757210</t>
        </is>
      </c>
      <c r="F1106" s="2">
        <v>2</v>
      </c>
      <c r="G1106" s="2">
        <v>0</v>
      </c>
      <c r="H1106" s="2">
        <v>999</v>
      </c>
      <c r="I1106" s="2" t="inlineStr">
        <is>
          <t>11703</t>
        </is>
      </c>
      <c r="J1106" s="4"/>
      <c r="K1106" s="2">
        <v>82</v>
      </c>
      <c r="L1106" s="6"/>
      <c r="M1106" s="2" t="str">
        <f>IF(J1106="",ROUND(I1106*(1-IF(ISBLANK(L1106),K1106,L1106)/100),2),ROUND(J1106*(1-IF(ISBLANK(L1106),K1106,L1106)/100),2))</f>
      </c>
      <c r="N1106" s="7" t="str">
        <f>IF(NOT(AND(J1106="",L1106="")),IF(OR(AND(L1106&lt;&gt;"",NOT(ISNUMBER(L1106))),IFERROR(MOD(L1106,1),1)&gt;0,AND(ISNUMBER(L1106),OR(L1106&lt;0,L1106&gt;95))),"Введите целое число от 0 до 95",IF(OR(AND(J1106&lt;&gt;"",NOT(ISNUMBER(J1106))),IFERROR(MOD(J1106,1),1)&gt;0,AND(ISNUMBER(J1106),OR(J1106&lt;50,J1106&gt;20000000))),"Введите целое число от 50 до 20000000",IF(NOT(ABS(IFERROR(VALUE(LEFT(M1106,FIND("-",M1106)-1)),M1106)*100-(2500+2000000000)/2)&lt;=ABS(2500-2000000000)/2),"Цена со скидкой должна быть от 25 до 20000000",IF(AND(IFERROR(VALUE(LEFT(M1106,FIND("-",M1106)-1)),M1106)*150&lt;=210654,IFERROR(VALUE(LEFT(M1106,FIND("-",M1106)-1)),M1106)*200&gt;210654),"Вы уменьшили цену в несколько раз, товар попадет в карантин цен",IF(IFERROR(VALUE(LEFT(M1106,FIND("-",M1106)-1)),M1106)*200&lt;=210654,"Не сохранили изменения, чтобы защитить от ошибки — новые цены меньше текущих более чем в 2 раза. Снижайте их постепенно",IF(AND(IFERROR(VALUE(I1106),0)=0,ISNUMBER(J1106),OR(J1106&lt;458,ABS(IFERROR(VALUE(LEFT(M1106,FIND("-",M1106)-1)),M1106))*100&lt;45800)),"Проверьте цену товара. Большинство товаров в выбранной категории стоят дороже 458","")))))),"")</f>
      </c>
    </row>
    <row r="1107">
      <c r="A1107" s="2" t="inlineStr">
        <is>
          <t/>
        </is>
      </c>
      <c r="B1107" s="2" t="inlineStr">
        <is>
          <t>Графины</t>
        </is>
      </c>
      <c r="C1107" s="2">
        <v>765931939</v>
      </c>
      <c r="D1107" s="2" t="inlineStr">
        <is>
          <t>122081</t>
        </is>
      </c>
      <c r="E1107" s="2" t="inlineStr">
        <is>
          <t>2048428757142</t>
        </is>
      </c>
      <c r="F1107" s="2">
        <v>1</v>
      </c>
      <c r="G1107" s="2">
        <v>0</v>
      </c>
      <c r="H1107" s="2">
        <v>999</v>
      </c>
      <c r="I1107" s="2" t="inlineStr">
        <is>
          <t>5448</t>
        </is>
      </c>
      <c r="J1107" s="4"/>
      <c r="K1107" s="2">
        <v>79</v>
      </c>
      <c r="L1107" s="6"/>
      <c r="M1107" s="2" t="str">
        <f>IF(J1107="",ROUND(I1107*(1-IF(ISBLANK(L1107),K1107,L1107)/100),2),ROUND(J1107*(1-IF(ISBLANK(L1107),K1107,L1107)/100),2))</f>
      </c>
      <c r="N1107" s="7" t="str">
        <f>IF(NOT(AND(J1107="",L1107="")),IF(OR(AND(L1107&lt;&gt;"",NOT(ISNUMBER(L1107))),IFERROR(MOD(L1107,1),1)&gt;0,AND(ISNUMBER(L1107),OR(L1107&lt;0,L1107&gt;95))),"Введите целое число от 0 до 95",IF(OR(AND(J1107&lt;&gt;"",NOT(ISNUMBER(J1107))),IFERROR(MOD(J1107,1),1)&gt;0,AND(ISNUMBER(J1107),OR(J1107&lt;50,J1107&gt;20000000))),"Введите целое число от 50 до 20000000",IF(NOT(ABS(IFERROR(VALUE(LEFT(M1107,FIND("-",M1107)-1)),M1107)*100-(2500+2000000000)/2)&lt;=ABS(2500-2000000000)/2),"Цена со скидкой должна быть от 25 до 20000000",IF(AND(IFERROR(VALUE(LEFT(M1107,FIND("-",M1107)-1)),M1107)*150&lt;=114407,IFERROR(VALUE(LEFT(M1107,FIND("-",M1107)-1)),M1107)*200&gt;114407),"Вы уменьшили цену в несколько раз, товар попадет в карантин цен",IF(IFERROR(VALUE(LEFT(M1107,FIND("-",M1107)-1)),M1107)*200&lt;=114407,"Не сохранили изменения, чтобы защитить от ошибки — новые цены меньше текущих более чем в 2 раза. Снижайте их постепенно",IF(AND(IFERROR(VALUE(I1107),0)=0,ISNUMBER(J1107),OR(J1107&lt;458,ABS(IFERROR(VALUE(LEFT(M1107,FIND("-",M1107)-1)),M1107))*100&lt;45800)),"Проверьте цену товара. Большинство товаров в выбранной категории стоят дороже 458","")))))),"")</f>
      </c>
    </row>
    <row r="1108">
      <c r="A1108" s="2" t="inlineStr">
        <is>
          <t/>
        </is>
      </c>
      <c r="B1108" s="2" t="inlineStr">
        <is>
          <t>Графины</t>
        </is>
      </c>
      <c r="C1108" s="2">
        <v>765931945</v>
      </c>
      <c r="D1108" s="2" t="inlineStr">
        <is>
          <t>122114</t>
        </is>
      </c>
      <c r="E1108" s="2" t="inlineStr">
        <is>
          <t>2048428757227</t>
        </is>
      </c>
      <c r="F1108" s="2">
        <v>16</v>
      </c>
      <c r="G1108" s="2">
        <v>22</v>
      </c>
      <c r="H1108" s="2">
        <v>47</v>
      </c>
      <c r="I1108" s="2" t="inlineStr">
        <is>
          <t>7694</t>
        </is>
      </c>
      <c r="J1108" s="4"/>
      <c r="K1108" s="2">
        <v>86</v>
      </c>
      <c r="L1108" s="6"/>
      <c r="M1108" s="2" t="str">
        <f>IF(J1108="",ROUND(I1108*(1-IF(ISBLANK(L1108),K1108,L1108)/100),2),ROUND(J1108*(1-IF(ISBLANK(L1108),K1108,L1108)/100),2))</f>
      </c>
      <c r="N1108" s="7" t="str">
        <f>IF(NOT(AND(J1108="",L1108="")),IF(OR(AND(L1108&lt;&gt;"",NOT(ISNUMBER(L1108))),IFERROR(MOD(L1108,1),1)&gt;0,AND(ISNUMBER(L1108),OR(L1108&lt;0,L1108&gt;95))),"Введите целое число от 0 до 95",IF(OR(AND(J1108&lt;&gt;"",NOT(ISNUMBER(J1108))),IFERROR(MOD(J1108,1),1)&gt;0,AND(ISNUMBER(J1108),OR(J1108&lt;50,J1108&gt;20000000))),"Введите целое число от 50 до 20000000",IF(NOT(ABS(IFERROR(VALUE(LEFT(M1108,FIND("-",M1108)-1)),M1108)*100-(2500+2000000000)/2)&lt;=ABS(2500-2000000000)/2),"Цена со скидкой должна быть от 25 до 20000000",IF(AND(IFERROR(VALUE(LEFT(M1108,FIND("-",M1108)-1)),M1108)*150&lt;=107716,IFERROR(VALUE(LEFT(M1108,FIND("-",M1108)-1)),M1108)*200&gt;107716),"Вы уменьшили цену в несколько раз, товар попадет в карантин цен",IF(IFERROR(VALUE(LEFT(M1108,FIND("-",M1108)-1)),M1108)*200&lt;=107716,"Не сохранили изменения, чтобы защитить от ошибки — новые цены меньше текущих более чем в 2 раза. Снижайте их постепенно",IF(AND(IFERROR(VALUE(I1108),0)=0,ISNUMBER(J1108),OR(J1108&lt;458,ABS(IFERROR(VALUE(LEFT(M1108,FIND("-",M1108)-1)),M1108))*100&lt;45800)),"Проверьте цену товара. Большинство товаров в выбранной категории стоят дороже 458","")))))),"")</f>
      </c>
    </row>
    <row r="1109">
      <c r="A1109" s="2" t="inlineStr">
        <is>
          <t/>
        </is>
      </c>
      <c r="B1109" s="2" t="inlineStr">
        <is>
          <t>Часы настенные</t>
        </is>
      </c>
      <c r="C1109" s="2">
        <v>765920486</v>
      </c>
      <c r="D1109" s="2" t="inlineStr">
        <is>
          <t>660530</t>
        </is>
      </c>
      <c r="E1109" s="2" t="inlineStr">
        <is>
          <t>2048428673688</t>
        </is>
      </c>
      <c r="F1109" s="2">
        <v>0</v>
      </c>
      <c r="G1109" s="2">
        <v>0</v>
      </c>
      <c r="H1109" s="2" t="inlineStr">
        <is>
          <t/>
        </is>
      </c>
      <c r="I1109" s="2" t="inlineStr">
        <is>
          <t>8476</t>
        </is>
      </c>
      <c r="J1109" s="4"/>
      <c r="K1109" s="2">
        <v>69</v>
      </c>
      <c r="L1109" s="6"/>
      <c r="M1109" s="2" t="str">
        <f>IF(J1109="",ROUND(I1109*(1-IF(ISBLANK(L1109),K1109,L1109)/100),2),ROUND(J1109*(1-IF(ISBLANK(L1109),K1109,L1109)/100),2))</f>
      </c>
      <c r="N1109" s="7" t="str">
        <f>IF(NOT(AND(J1109="",L1109="")),IF(OR(AND(L1109&lt;&gt;"",NOT(ISNUMBER(L1109))),IFERROR(MOD(L1109,1),1)&gt;0,AND(ISNUMBER(L1109),OR(L1109&lt;0,L1109&gt;95))),"Введите целое число от 0 до 95",IF(OR(AND(J1109&lt;&gt;"",NOT(ISNUMBER(J1109))),IFERROR(MOD(J1109,1),1)&gt;0,AND(ISNUMBER(J1109),OR(J1109&lt;50,J1109&gt;20000000))),"Введите целое число от 50 до 20000000",IF(NOT(ABS(IFERROR(VALUE(LEFT(M1109,FIND("-",M1109)-1)),M1109)*100-(2500+2000000000)/2)&lt;=ABS(2500-2000000000)/2),"Цена со скидкой должна быть от 25 до 20000000",IF(AND(IFERROR(VALUE(LEFT(M1109,FIND("-",M1109)-1)),M1109)*150&lt;=262756,IFERROR(VALUE(LEFT(M1109,FIND("-",M1109)-1)),M1109)*200&gt;262756),"Вы уменьшили цену в несколько раз, товар попадет в карантин цен",IF(IFERROR(VALUE(LEFT(M1109,FIND("-",M1109)-1)),M1109)*200&lt;=262756,"Не сохранили изменения, чтобы защитить от ошибки — новые цены меньше текущих более чем в 2 раза. Снижайте их постепенно",IF(AND(IFERROR(VALUE(I1109),0)=0,ISNUMBER(J1109),OR(J1109&lt;481,ABS(IFERROR(VALUE(LEFT(M1109,FIND("-",M1109)-1)),M1109))*100&lt;48100)),"Проверьте цену товара. Большинство товаров в выбранной категории стоят дороже 481","")))))),"")</f>
      </c>
    </row>
    <row r="1110">
      <c r="A1110" s="2" t="inlineStr">
        <is>
          <t/>
        </is>
      </c>
      <c r="B1110" s="2" t="inlineStr">
        <is>
          <t>Графины</t>
        </is>
      </c>
      <c r="C1110" s="2">
        <v>765931941</v>
      </c>
      <c r="D1110" s="2" t="inlineStr">
        <is>
          <t>12212</t>
        </is>
      </c>
      <c r="E1110" s="2" t="inlineStr">
        <is>
          <t>2048428757166</t>
        </is>
      </c>
      <c r="F1110" s="2">
        <v>24</v>
      </c>
      <c r="G1110" s="2">
        <v>30</v>
      </c>
      <c r="H1110" s="2">
        <v>999</v>
      </c>
      <c r="I1110" s="2" t="inlineStr">
        <is>
          <t>6778</t>
        </is>
      </c>
      <c r="J1110" s="4"/>
      <c r="K1110" s="2">
        <v>81</v>
      </c>
      <c r="L1110" s="6"/>
      <c r="M1110" s="2" t="str">
        <f>IF(J1110="",ROUND(I1110*(1-IF(ISBLANK(L1110),K1110,L1110)/100),2),ROUND(J1110*(1-IF(ISBLANK(L1110),K1110,L1110)/100),2))</f>
      </c>
      <c r="N1110" s="7" t="str">
        <f>IF(NOT(AND(J1110="",L1110="")),IF(OR(AND(L1110&lt;&gt;"",NOT(ISNUMBER(L1110))),IFERROR(MOD(L1110,1),1)&gt;0,AND(ISNUMBER(L1110),OR(L1110&lt;0,L1110&gt;95))),"Введите целое число от 0 до 95",IF(OR(AND(J1110&lt;&gt;"",NOT(ISNUMBER(J1110))),IFERROR(MOD(J1110,1),1)&gt;0,AND(ISNUMBER(J1110),OR(J1110&lt;50,J1110&gt;20000000))),"Введите целое число от 50 до 20000000",IF(NOT(ABS(IFERROR(VALUE(LEFT(M1110,FIND("-",M1110)-1)),M1110)*100-(2500+2000000000)/2)&lt;=ABS(2500-2000000000)/2),"Цена со скидкой должна быть от 25 до 20000000",IF(AND(IFERROR(VALUE(LEFT(M1110,FIND("-",M1110)-1)),M1110)*150&lt;=128781,IFERROR(VALUE(LEFT(M1110,FIND("-",M1110)-1)),M1110)*200&gt;128781),"Вы уменьшили цену в несколько раз, товар попадет в карантин цен",IF(IFERROR(VALUE(LEFT(M1110,FIND("-",M1110)-1)),M1110)*200&lt;=128781,"Не сохранили изменения, чтобы защитить от ошибки — новые цены меньше текущих более чем в 2 раза. Снижайте их постепенно",IF(AND(IFERROR(VALUE(I1110),0)=0,ISNUMBER(J1110),OR(J1110&lt;458,ABS(IFERROR(VALUE(LEFT(M1110,FIND("-",M1110)-1)),M1110))*100&lt;45800)),"Проверьте цену товара. Большинство товаров в выбранной категории стоят дороже 458","")))))),"")</f>
      </c>
    </row>
    <row r="1111">
      <c r="A1111" s="2" t="inlineStr">
        <is>
          <t/>
        </is>
      </c>
      <c r="B1111" s="2" t="inlineStr">
        <is>
          <t>Графины</t>
        </is>
      </c>
      <c r="C1111" s="2">
        <v>765931938</v>
      </c>
      <c r="D1111" s="2" t="inlineStr">
        <is>
          <t>122082</t>
        </is>
      </c>
      <c r="E1111" s="2" t="inlineStr">
        <is>
          <t>2048428757135</t>
        </is>
      </c>
      <c r="F1111" s="2">
        <v>13</v>
      </c>
      <c r="G1111" s="2">
        <v>0</v>
      </c>
      <c r="H1111" s="2">
        <v>999</v>
      </c>
      <c r="I1111" s="2" t="inlineStr">
        <is>
          <t>6548</t>
        </is>
      </c>
      <c r="J1111" s="4"/>
      <c r="K1111" s="2">
        <v>84</v>
      </c>
      <c r="L1111" s="6"/>
      <c r="M1111" s="2" t="str">
        <f>IF(J1111="",ROUND(I1111*(1-IF(ISBLANK(L1111),K1111,L1111)/100),2),ROUND(J1111*(1-IF(ISBLANK(L1111),K1111,L1111)/100),2))</f>
      </c>
      <c r="N1111" s="7" t="str">
        <f>IF(NOT(AND(J1111="",L1111="")),IF(OR(AND(L1111&lt;&gt;"",NOT(ISNUMBER(L1111))),IFERROR(MOD(L1111,1),1)&gt;0,AND(ISNUMBER(L1111),OR(L1111&lt;0,L1111&gt;95))),"Введите целое число от 0 до 95",IF(OR(AND(J1111&lt;&gt;"",NOT(ISNUMBER(J1111))),IFERROR(MOD(J1111,1),1)&gt;0,AND(ISNUMBER(J1111),OR(J1111&lt;50,J1111&gt;20000000))),"Введите целое число от 50 до 20000000",IF(NOT(ABS(IFERROR(VALUE(LEFT(M1111,FIND("-",M1111)-1)),M1111)*100-(2500+2000000000)/2)&lt;=ABS(2500-2000000000)/2),"Цена со скидкой должна быть от 25 до 20000000",IF(AND(IFERROR(VALUE(LEFT(M1111,FIND("-",M1111)-1)),M1111)*150&lt;=104768,IFERROR(VALUE(LEFT(M1111,FIND("-",M1111)-1)),M1111)*200&gt;104768),"Вы уменьшили цену в несколько раз, товар попадет в карантин цен",IF(IFERROR(VALUE(LEFT(M1111,FIND("-",M1111)-1)),M1111)*200&lt;=104768,"Не сохранили изменения, чтобы защитить от ошибки — новые цены меньше текущих более чем в 2 раза. Снижайте их постепенно",IF(AND(IFERROR(VALUE(I1111),0)=0,ISNUMBER(J1111),OR(J1111&lt;458,ABS(IFERROR(VALUE(LEFT(M1111,FIND("-",M1111)-1)),M1111))*100&lt;45800)),"Проверьте цену товара. Большинство товаров в выбранной категории стоят дороже 458","")))))),"")</f>
      </c>
    </row>
    <row r="1112">
      <c r="A1112" s="2" t="inlineStr">
        <is>
          <t>Pasabahce</t>
        </is>
      </c>
      <c r="B1112" s="2" t="inlineStr">
        <is>
          <t>Стаканы</t>
        </is>
      </c>
      <c r="C1112" s="2">
        <v>765943675</v>
      </c>
      <c r="D1112" s="2" t="inlineStr">
        <is>
          <t>850021</t>
        </is>
      </c>
      <c r="E1112" s="2" t="inlineStr">
        <is>
          <t>2048428895561</t>
        </is>
      </c>
      <c r="F1112" s="2">
        <v>0</v>
      </c>
      <c r="G1112" s="2">
        <v>6</v>
      </c>
      <c r="H1112" s="2" t="inlineStr">
        <is>
          <t/>
        </is>
      </c>
      <c r="I1112" s="2" t="inlineStr">
        <is>
          <t>11742</t>
        </is>
      </c>
      <c r="J1112" s="4"/>
      <c r="K1112" s="2">
        <v>77</v>
      </c>
      <c r="L1112" s="6"/>
      <c r="M1112" s="2" t="str">
        <f>IF(J1112="",ROUND(I1112*(1-IF(ISBLANK(L1112),K1112,L1112)/100),2),ROUND(J1112*(1-IF(ISBLANK(L1112),K1112,L1112)/100),2))</f>
      </c>
      <c r="N1112" s="7" t="str">
        <f>IF(NOT(AND(J1112="",L1112="")),IF(OR(AND(L1112&lt;&gt;"",NOT(ISNUMBER(L1112))),IFERROR(MOD(L1112,1),1)&gt;0,AND(ISNUMBER(L1112),OR(L1112&lt;0,L1112&gt;95))),"Введите целое число от 0 до 95",IF(OR(AND(J1112&lt;&gt;"",NOT(ISNUMBER(J1112))),IFERROR(MOD(J1112,1),1)&gt;0,AND(ISNUMBER(J1112),OR(J1112&lt;50,J1112&gt;20000000))),"Введите целое число от 50 до 20000000",IF(NOT(ABS(IFERROR(VALUE(LEFT(M1112,FIND("-",M1112)-1)),M1112)*100-(2500+2000000000)/2)&lt;=ABS(2500-2000000000)/2),"Цена со скидкой должна быть от 25 до 20000000",IF(AND(IFERROR(VALUE(LEFT(M1112,FIND("-",M1112)-1)),M1112)*150&lt;=270066,IFERROR(VALUE(LEFT(M1112,FIND("-",M1112)-1)),M1112)*200&gt;270066),"Вы уменьшили цену в несколько раз, товар попадет в карантин цен",IF(IFERROR(VALUE(LEFT(M1112,FIND("-",M1112)-1)),M1112)*200&lt;=270066,"Не сохранили изменения, чтобы защитить от ошибки — новые цены меньше текущих более чем в 2 раза. Снижайте их постепенно",IF(AND(IFERROR(VALUE(I1112),0)=0,ISNUMBER(J1112),OR(J1112&lt;317,ABS(IFERROR(VALUE(LEFT(M1112,FIND("-",M1112)-1)),M1112))*100&lt;31700)),"Проверьте цену товара. Большинство товаров в выбранной категории стоят дороже 317","")))))),"")</f>
      </c>
    </row>
    <row r="1113">
      <c r="A1113" s="2" t="inlineStr">
        <is>
          <t/>
        </is>
      </c>
      <c r="B1113" s="2" t="inlineStr">
        <is>
          <t>Кружки</t>
        </is>
      </c>
      <c r="C1113" s="2">
        <v>765938501</v>
      </c>
      <c r="D1113" s="2" t="inlineStr">
        <is>
          <t>851274</t>
        </is>
      </c>
      <c r="E1113" s="2" t="inlineStr">
        <is>
          <t>2048428828927</t>
        </is>
      </c>
      <c r="F1113" s="2">
        <v>3</v>
      </c>
      <c r="G1113" s="2">
        <v>6</v>
      </c>
      <c r="H1113" s="2">
        <v>999</v>
      </c>
      <c r="I1113" s="2" t="inlineStr">
        <is>
          <t>7265</t>
        </is>
      </c>
      <c r="J1113" s="4"/>
      <c r="K1113" s="2">
        <v>80</v>
      </c>
      <c r="L1113" s="6"/>
      <c r="M1113" s="2" t="str">
        <f>IF(J1113="",ROUND(I1113*(1-IF(ISBLANK(L1113),K1113,L1113)/100),2),ROUND(J1113*(1-IF(ISBLANK(L1113),K1113,L1113)/100),2))</f>
      </c>
      <c r="N1113" s="7" t="str">
        <f>IF(NOT(AND(J1113="",L1113="")),IF(OR(AND(L1113&lt;&gt;"",NOT(ISNUMBER(L1113))),IFERROR(MOD(L1113,1),1)&gt;0,AND(ISNUMBER(L1113),OR(L1113&lt;0,L1113&gt;95))),"Введите целое число от 0 до 95",IF(OR(AND(J1113&lt;&gt;"",NOT(ISNUMBER(J1113))),IFERROR(MOD(J1113,1),1)&gt;0,AND(ISNUMBER(J1113),OR(J1113&lt;50,J1113&gt;20000000))),"Введите целое число от 50 до 20000000",IF(NOT(ABS(IFERROR(VALUE(LEFT(M1113,FIND("-",M1113)-1)),M1113)*100-(2500+2000000000)/2)&lt;=ABS(2500-2000000000)/2),"Цена со скидкой должна быть от 25 до 20000000",IF(AND(IFERROR(VALUE(LEFT(M1113,FIND("-",M1113)-1)),M1113)*150&lt;=145299,IFERROR(VALUE(LEFT(M1113,FIND("-",M1113)-1)),M1113)*200&gt;145299),"Вы уменьшили цену в несколько раз, товар попадет в карантин цен",IF(IFERROR(VALUE(LEFT(M1113,FIND("-",M1113)-1)),M1113)*200&lt;=145299,"Не сохранили изменения, чтобы защитить от ошибки — новые цены меньше текущих более чем в 2 раза. Снижайте их постепенно",IF(AND(IFERROR(VALUE(I1113),0)=0,ISNUMBER(J1113),OR(J1113&lt;444,ABS(IFERROR(VALUE(LEFT(M1113,FIND("-",M1113)-1)),M1113))*100&lt;44400)),"Проверьте цену товара. Большинство товаров в выбранной категории стоят дороже 444","")))))),"")</f>
      </c>
    </row>
    <row r="1114">
      <c r="A1114" s="2" t="inlineStr">
        <is>
          <t/>
        </is>
      </c>
      <c r="B1114" s="2" t="inlineStr">
        <is>
          <t>Сковороды</t>
        </is>
      </c>
      <c r="C1114" s="2">
        <v>729286855</v>
      </c>
      <c r="D1114" s="2" t="inlineStr">
        <is>
          <t>200521</t>
        </is>
      </c>
      <c r="E1114" s="2" t="inlineStr">
        <is>
          <t>2048080628798</t>
        </is>
      </c>
      <c r="F1114" s="2">
        <v>0</v>
      </c>
      <c r="G1114" s="2">
        <v>7</v>
      </c>
      <c r="H1114" s="2" t="inlineStr">
        <is>
          <t/>
        </is>
      </c>
      <c r="I1114" s="2" t="inlineStr">
        <is>
          <t>20157</t>
        </is>
      </c>
      <c r="J1114" s="4"/>
      <c r="K1114" s="2">
        <v>78</v>
      </c>
      <c r="L1114" s="6"/>
      <c r="M1114" s="2" t="str">
        <f>IF(J1114="",ROUND(I1114*(1-IF(ISBLANK(L1114),K1114,L1114)/100),2),ROUND(J1114*(1-IF(ISBLANK(L1114),K1114,L1114)/100),2))</f>
      </c>
      <c r="N1114" s="7" t="str">
        <f>IF(NOT(AND(J1114="",L1114="")),IF(OR(AND(L1114&lt;&gt;"",NOT(ISNUMBER(L1114))),IFERROR(MOD(L1114,1),1)&gt;0,AND(ISNUMBER(L1114),OR(L1114&lt;0,L1114&gt;95))),"Введите целое число от 0 до 95",IF(OR(AND(J1114&lt;&gt;"",NOT(ISNUMBER(J1114))),IFERROR(MOD(J1114,1),1)&gt;0,AND(ISNUMBER(J1114),OR(J1114&lt;50,J1114&gt;20000000))),"Введите целое число от 50 до 20000000",IF(NOT(ABS(IFERROR(VALUE(LEFT(M1114,FIND("-",M1114)-1)),M1114)*100-(2500+2000000000)/2)&lt;=ABS(2500-2000000000)/2),"Цена со скидкой должна быть от 25 до 20000000",IF(AND(IFERROR(VALUE(LEFT(M1114,FIND("-",M1114)-1)),M1114)*150&lt;=443453,IFERROR(VALUE(LEFT(M1114,FIND("-",M1114)-1)),M1114)*200&gt;443453),"Вы уменьшили цену в несколько раз, товар попадет в карантин цен",IF(IFERROR(VALUE(LEFT(M1114,FIND("-",M1114)-1)),M1114)*200&lt;=443453,"Не сохранили изменения, чтобы защитить от ошибки — новые цены меньше текущих более чем в 2 раза. Снижайте их постепенно",IF(AND(IFERROR(VALUE(I1114),0)=0,ISNUMBER(J1114),OR(J1114&lt;756,ABS(IFERROR(VALUE(LEFT(M1114,FIND("-",M1114)-1)),M1114))*100&lt;75600)),"Проверьте цену товара. Большинство товаров в выбранной категории стоят дороже 756","")))))),"")</f>
      </c>
    </row>
    <row r="1115">
      <c r="A1115" s="2" t="inlineStr">
        <is>
          <t/>
        </is>
      </c>
      <c r="B1115" s="2" t="inlineStr">
        <is>
          <t>Сковороды</t>
        </is>
      </c>
      <c r="C1115" s="2">
        <v>729285918</v>
      </c>
      <c r="D1115" s="2" t="inlineStr">
        <is>
          <t>20296</t>
        </is>
      </c>
      <c r="E1115" s="2" t="inlineStr">
        <is>
          <t>2048080617839</t>
        </is>
      </c>
      <c r="F1115" s="2">
        <v>0</v>
      </c>
      <c r="G1115" s="2">
        <v>4</v>
      </c>
      <c r="H1115" s="2" t="inlineStr">
        <is>
          <t/>
        </is>
      </c>
      <c r="I1115" s="2" t="inlineStr">
        <is>
          <t>23630</t>
        </is>
      </c>
      <c r="J1115" s="4"/>
      <c r="K1115" s="2">
        <v>80</v>
      </c>
      <c r="L1115" s="6"/>
      <c r="M1115" s="2" t="str">
        <f>IF(J1115="",ROUND(I1115*(1-IF(ISBLANK(L1115),K1115,L1115)/100),2),ROUND(J1115*(1-IF(ISBLANK(L1115),K1115,L1115)/100),2))</f>
      </c>
      <c r="N1115" s="7" t="str">
        <f>IF(NOT(AND(J1115="",L1115="")),IF(OR(AND(L1115&lt;&gt;"",NOT(ISNUMBER(L1115))),IFERROR(MOD(L1115,1),1)&gt;0,AND(ISNUMBER(L1115),OR(L1115&lt;0,L1115&gt;95))),"Введите целое число от 0 до 95",IF(OR(AND(J1115&lt;&gt;"",NOT(ISNUMBER(J1115))),IFERROR(MOD(J1115,1),1)&gt;0,AND(ISNUMBER(J1115),OR(J1115&lt;50,J1115&gt;20000000))),"Введите целое число от 50 до 20000000",IF(NOT(ABS(IFERROR(VALUE(LEFT(M1115,FIND("-",M1115)-1)),M1115)*100-(2500+2000000000)/2)&lt;=ABS(2500-2000000000)/2),"Цена со скидкой должна быть от 25 до 20000000",IF(AND(IFERROR(VALUE(LEFT(M1115,FIND("-",M1115)-1)),M1115)*150&lt;=472599,IFERROR(VALUE(LEFT(M1115,FIND("-",M1115)-1)),M1115)*200&gt;472599),"Вы уменьшили цену в несколько раз, товар попадет в карантин цен",IF(IFERROR(VALUE(LEFT(M1115,FIND("-",M1115)-1)),M1115)*200&lt;=472599,"Не сохранили изменения, чтобы защитить от ошибки — новые цены меньше текущих более чем в 2 раза. Снижайте их постепенно",IF(AND(IFERROR(VALUE(I1115),0)=0,ISNUMBER(J1115),OR(J1115&lt;756,ABS(IFERROR(VALUE(LEFT(M1115,FIND("-",M1115)-1)),M1115))*100&lt;75600)),"Проверьте цену товара. Большинство товаров в выбранной категории стоят дороже 756","")))))),"")</f>
      </c>
    </row>
    <row r="1116">
      <c r="A1116" s="2" t="inlineStr">
        <is>
          <t/>
        </is>
      </c>
      <c r="B1116" s="2" t="inlineStr">
        <is>
          <t>Кружки</t>
        </is>
      </c>
      <c r="C1116" s="2">
        <v>765938500</v>
      </c>
      <c r="D1116" s="2" t="inlineStr">
        <is>
          <t>851275</t>
        </is>
      </c>
      <c r="E1116" s="2" t="inlineStr">
        <is>
          <t>2048428828910</t>
        </is>
      </c>
      <c r="F1116" s="2">
        <v>4</v>
      </c>
      <c r="G1116" s="2">
        <v>4</v>
      </c>
      <c r="H1116" s="2">
        <v>999</v>
      </c>
      <c r="I1116" s="2" t="inlineStr">
        <is>
          <t>6304</t>
        </is>
      </c>
      <c r="J1116" s="4"/>
      <c r="K1116" s="2">
        <v>80</v>
      </c>
      <c r="L1116" s="6"/>
      <c r="M1116" s="2" t="str">
        <f>IF(J1116="",ROUND(I1116*(1-IF(ISBLANK(L1116),K1116,L1116)/100),2),ROUND(J1116*(1-IF(ISBLANK(L1116),K1116,L1116)/100),2))</f>
      </c>
      <c r="N1116" s="7" t="str">
        <f>IF(NOT(AND(J1116="",L1116="")),IF(OR(AND(L1116&lt;&gt;"",NOT(ISNUMBER(L1116))),IFERROR(MOD(L1116,1),1)&gt;0,AND(ISNUMBER(L1116),OR(L1116&lt;0,L1116&gt;95))),"Введите целое число от 0 до 95",IF(OR(AND(J1116&lt;&gt;"",NOT(ISNUMBER(J1116))),IFERROR(MOD(J1116,1),1)&gt;0,AND(ISNUMBER(J1116),OR(J1116&lt;50,J1116&gt;20000000))),"Введите целое число от 50 до 20000000",IF(NOT(ABS(IFERROR(VALUE(LEFT(M1116,FIND("-",M1116)-1)),M1116)*100-(2500+2000000000)/2)&lt;=ABS(2500-2000000000)/2),"Цена со скидкой должна быть от 25 до 20000000",IF(AND(IFERROR(VALUE(LEFT(M1116,FIND("-",M1116)-1)),M1116)*150&lt;=126079,IFERROR(VALUE(LEFT(M1116,FIND("-",M1116)-1)),M1116)*200&gt;126079),"Вы уменьшили цену в несколько раз, товар попадет в карантин цен",IF(IFERROR(VALUE(LEFT(M1116,FIND("-",M1116)-1)),M1116)*200&lt;=126079,"Не сохранили изменения, чтобы защитить от ошибки — новые цены меньше текущих более чем в 2 раза. Снижайте их постепенно",IF(AND(IFERROR(VALUE(I1116),0)=0,ISNUMBER(J1116),OR(J1116&lt;444,ABS(IFERROR(VALUE(LEFT(M1116,FIND("-",M1116)-1)),M1116))*100&lt;44400)),"Проверьте цену товара. Большинство товаров в выбранной категории стоят дороже 444","")))))),"")</f>
      </c>
    </row>
    <row r="1117">
      <c r="A1117" s="2" t="inlineStr">
        <is>
          <t/>
        </is>
      </c>
      <c r="B1117" s="2" t="inlineStr">
        <is>
          <t>Сковороды</t>
        </is>
      </c>
      <c r="C1117" s="2">
        <v>729286858</v>
      </c>
      <c r="D1117" s="2" t="inlineStr">
        <is>
          <t>200134</t>
        </is>
      </c>
      <c r="E1117" s="2" t="inlineStr">
        <is>
          <t>2048080628842</t>
        </is>
      </c>
      <c r="F1117" s="2">
        <v>0</v>
      </c>
      <c r="G1117" s="2">
        <v>8</v>
      </c>
      <c r="H1117" s="2" t="inlineStr">
        <is>
          <t/>
        </is>
      </c>
      <c r="I1117" s="2" t="inlineStr">
        <is>
          <t>20328</t>
        </is>
      </c>
      <c r="J1117" s="4"/>
      <c r="K1117" s="2">
        <v>80</v>
      </c>
      <c r="L1117" s="6"/>
      <c r="M1117" s="2" t="str">
        <f>IF(J1117="",ROUND(I1117*(1-IF(ISBLANK(L1117),K1117,L1117)/100),2),ROUND(J1117*(1-IF(ISBLANK(L1117),K1117,L1117)/100),2))</f>
      </c>
      <c r="N1117" s="7" t="str">
        <f>IF(NOT(AND(J1117="",L1117="")),IF(OR(AND(L1117&lt;&gt;"",NOT(ISNUMBER(L1117))),IFERROR(MOD(L1117,1),1)&gt;0,AND(ISNUMBER(L1117),OR(L1117&lt;0,L1117&gt;95))),"Введите целое число от 0 до 95",IF(OR(AND(J1117&lt;&gt;"",NOT(ISNUMBER(J1117))),IFERROR(MOD(J1117,1),1)&gt;0,AND(ISNUMBER(J1117),OR(J1117&lt;50,J1117&gt;20000000))),"Введите целое число от 50 до 20000000",IF(NOT(ABS(IFERROR(VALUE(LEFT(M1117,FIND("-",M1117)-1)),M1117)*100-(2500+2000000000)/2)&lt;=ABS(2500-2000000000)/2),"Цена со скидкой должна быть от 25 до 20000000",IF(AND(IFERROR(VALUE(LEFT(M1117,FIND("-",M1117)-1)),M1117)*150&lt;=406559,IFERROR(VALUE(LEFT(M1117,FIND("-",M1117)-1)),M1117)*200&gt;406559),"Вы уменьшили цену в несколько раз, товар попадет в карантин цен",IF(IFERROR(VALUE(LEFT(M1117,FIND("-",M1117)-1)),M1117)*200&lt;=406559,"Не сохранили изменения, чтобы защитить от ошибки — новые цены меньше текущих более чем в 2 раза. Снижайте их постепенно",IF(AND(IFERROR(VALUE(I1117),0)=0,ISNUMBER(J1117),OR(J1117&lt;756,ABS(IFERROR(VALUE(LEFT(M1117,FIND("-",M1117)-1)),M1117))*100&lt;75600)),"Проверьте цену товара. Большинство товаров в выбранной категории стоят дороже 756","")))))),"")</f>
      </c>
    </row>
    <row r="1118">
      <c r="A1118" s="2" t="inlineStr">
        <is>
          <t/>
        </is>
      </c>
      <c r="B1118" s="2" t="inlineStr">
        <is>
          <t>Сковороды</t>
        </is>
      </c>
      <c r="C1118" s="2">
        <v>729286968</v>
      </c>
      <c r="D1118" s="2" t="inlineStr">
        <is>
          <t>20081</t>
        </is>
      </c>
      <c r="E1118" s="2" t="inlineStr">
        <is>
          <t>2048080629924</t>
        </is>
      </c>
      <c r="F1118" s="2">
        <v>0</v>
      </c>
      <c r="G1118" s="2">
        <v>3</v>
      </c>
      <c r="H1118" s="2" t="inlineStr">
        <is>
          <t/>
        </is>
      </c>
      <c r="I1118" s="2" t="inlineStr">
        <is>
          <t>17764</t>
        </is>
      </c>
      <c r="J1118" s="4"/>
      <c r="K1118" s="2">
        <v>75</v>
      </c>
      <c r="L1118" s="6"/>
      <c r="M1118" s="2" t="str">
        <f>IF(J1118="",ROUND(I1118*(1-IF(ISBLANK(L1118),K1118,L1118)/100),2),ROUND(J1118*(1-IF(ISBLANK(L1118),K1118,L1118)/100),2))</f>
      </c>
      <c r="N1118" s="7" t="str">
        <f>IF(NOT(AND(J1118="",L1118="")),IF(OR(AND(L1118&lt;&gt;"",NOT(ISNUMBER(L1118))),IFERROR(MOD(L1118,1),1)&gt;0,AND(ISNUMBER(L1118),OR(L1118&lt;0,L1118&gt;95))),"Введите целое число от 0 до 95",IF(OR(AND(J1118&lt;&gt;"",NOT(ISNUMBER(J1118))),IFERROR(MOD(J1118,1),1)&gt;0,AND(ISNUMBER(J1118),OR(J1118&lt;50,J1118&gt;20000000))),"Введите целое число от 50 до 20000000",IF(NOT(ABS(IFERROR(VALUE(LEFT(M1118,FIND("-",M1118)-1)),M1118)*100-(2500+2000000000)/2)&lt;=ABS(2500-2000000000)/2),"Цена со скидкой должна быть от 25 до 20000000",IF(AND(IFERROR(VALUE(LEFT(M1118,FIND("-",M1118)-1)),M1118)*150&lt;=444100,IFERROR(VALUE(LEFT(M1118,FIND("-",M1118)-1)),M1118)*200&gt;444100),"Вы уменьшили цену в несколько раз, товар попадет в карантин цен",IF(IFERROR(VALUE(LEFT(M1118,FIND("-",M1118)-1)),M1118)*200&lt;=444100,"Не сохранили изменения, чтобы защитить от ошибки — новые цены меньше текущих более чем в 2 раза. Снижайте их постепенно",IF(AND(IFERROR(VALUE(I1118),0)=0,ISNUMBER(J1118),OR(J1118&lt;756,ABS(IFERROR(VALUE(LEFT(M1118,FIND("-",M1118)-1)),M1118))*100&lt;75600)),"Проверьте цену товара. Большинство товаров в выбранной категории стоят дороже 756","")))))),"")</f>
      </c>
    </row>
    <row r="1119">
      <c r="A1119" s="2" t="inlineStr">
        <is>
          <t/>
        </is>
      </c>
      <c r="B1119" s="2" t="inlineStr">
        <is>
          <t>Сковороды</t>
        </is>
      </c>
      <c r="C1119" s="2">
        <v>729287022</v>
      </c>
      <c r="D1119" s="2" t="inlineStr">
        <is>
          <t>20354</t>
        </is>
      </c>
      <c r="E1119" s="2" t="inlineStr">
        <is>
          <t>2048080630456</t>
        </is>
      </c>
      <c r="F1119" s="2">
        <v>0</v>
      </c>
      <c r="G1119" s="2">
        <v>7</v>
      </c>
      <c r="H1119" s="2" t="inlineStr">
        <is>
          <t/>
        </is>
      </c>
      <c r="I1119" s="2" t="inlineStr">
        <is>
          <t>21862</t>
        </is>
      </c>
      <c r="J1119" s="4"/>
      <c r="K1119" s="2">
        <v>76</v>
      </c>
      <c r="L1119" s="6"/>
      <c r="M1119" s="2" t="str">
        <f>IF(J1119="",ROUND(I1119*(1-IF(ISBLANK(L1119),K1119,L1119)/100),2),ROUND(J1119*(1-IF(ISBLANK(L1119),K1119,L1119)/100),2))</f>
      </c>
      <c r="N1119" s="7" t="str">
        <f>IF(NOT(AND(J1119="",L1119="")),IF(OR(AND(L1119&lt;&gt;"",NOT(ISNUMBER(L1119))),IFERROR(MOD(L1119,1),1)&gt;0,AND(ISNUMBER(L1119),OR(L1119&lt;0,L1119&gt;95))),"Введите целое число от 0 до 95",IF(OR(AND(J1119&lt;&gt;"",NOT(ISNUMBER(J1119))),IFERROR(MOD(J1119,1),1)&gt;0,AND(ISNUMBER(J1119),OR(J1119&lt;50,J1119&gt;20000000))),"Введите целое число от 50 до 20000000",IF(NOT(ABS(IFERROR(VALUE(LEFT(M1119,FIND("-",M1119)-1)),M1119)*100-(2500+2000000000)/2)&lt;=ABS(2500-2000000000)/2),"Цена со скидкой должна быть от 25 до 20000000",IF(AND(IFERROR(VALUE(LEFT(M1119,FIND("-",M1119)-1)),M1119)*150&lt;=524688,IFERROR(VALUE(LEFT(M1119,FIND("-",M1119)-1)),M1119)*200&gt;524688),"Вы уменьшили цену в несколько раз, товар попадет в карантин цен",IF(IFERROR(VALUE(LEFT(M1119,FIND("-",M1119)-1)),M1119)*200&lt;=524688,"Не сохранили изменения, чтобы защитить от ошибки — новые цены меньше текущих более чем в 2 раза. Снижайте их постепенно",IF(AND(IFERROR(VALUE(I1119),0)=0,ISNUMBER(J1119),OR(J1119&lt;756,ABS(IFERROR(VALUE(LEFT(M1119,FIND("-",M1119)-1)),M1119))*100&lt;75600)),"Проверьте цену товара. Большинство товаров в выбранной категории стоят дороже 756","")))))),"")</f>
      </c>
    </row>
    <row r="1120">
      <c r="A1120" s="2" t="inlineStr">
        <is>
          <t/>
        </is>
      </c>
      <c r="B1120" s="2" t="inlineStr">
        <is>
          <t>Сковороды</t>
        </is>
      </c>
      <c r="C1120" s="2">
        <v>729286897</v>
      </c>
      <c r="D1120" s="2" t="inlineStr">
        <is>
          <t>20419</t>
        </is>
      </c>
      <c r="E1120" s="2" t="inlineStr">
        <is>
          <t>2048080629078</t>
        </is>
      </c>
      <c r="F1120" s="2">
        <v>0</v>
      </c>
      <c r="G1120" s="2">
        <v>6</v>
      </c>
      <c r="H1120" s="2" t="inlineStr">
        <is>
          <t/>
        </is>
      </c>
      <c r="I1120" s="2" t="inlineStr">
        <is>
          <t>19244</t>
        </is>
      </c>
      <c r="J1120" s="4"/>
      <c r="K1120" s="2">
        <v>80</v>
      </c>
      <c r="L1120" s="6"/>
      <c r="M1120" s="2" t="str">
        <f>IF(J1120="",ROUND(I1120*(1-IF(ISBLANK(L1120),K1120,L1120)/100),2),ROUND(J1120*(1-IF(ISBLANK(L1120),K1120,L1120)/100),2))</f>
      </c>
      <c r="N1120" s="7" t="str">
        <f>IF(NOT(AND(J1120="",L1120="")),IF(OR(AND(L1120&lt;&gt;"",NOT(ISNUMBER(L1120))),IFERROR(MOD(L1120,1),1)&gt;0,AND(ISNUMBER(L1120),OR(L1120&lt;0,L1120&gt;95))),"Введите целое число от 0 до 95",IF(OR(AND(J1120&lt;&gt;"",NOT(ISNUMBER(J1120))),IFERROR(MOD(J1120,1),1)&gt;0,AND(ISNUMBER(J1120),OR(J1120&lt;50,J1120&gt;20000000))),"Введите целое число от 50 до 20000000",IF(NOT(ABS(IFERROR(VALUE(LEFT(M1120,FIND("-",M1120)-1)),M1120)*100-(2500+2000000000)/2)&lt;=ABS(2500-2000000000)/2),"Цена со скидкой должна быть от 25 до 20000000",IF(AND(IFERROR(VALUE(LEFT(M1120,FIND("-",M1120)-1)),M1120)*150&lt;=384879,IFERROR(VALUE(LEFT(M1120,FIND("-",M1120)-1)),M1120)*200&gt;384879),"Вы уменьшили цену в несколько раз, товар попадет в карантин цен",IF(IFERROR(VALUE(LEFT(M1120,FIND("-",M1120)-1)),M1120)*200&lt;=384879,"Не сохранили изменения, чтобы защитить от ошибки — новые цены меньше текущих более чем в 2 раза. Снижайте их постепенно",IF(AND(IFERROR(VALUE(I1120),0)=0,ISNUMBER(J1120),OR(J1120&lt;756,ABS(IFERROR(VALUE(LEFT(M1120,FIND("-",M1120)-1)),M1120))*100&lt;75600)),"Проверьте цену товара. Большинство товаров в выбранной категории стоят дороже 756","")))))),"")</f>
      </c>
    </row>
    <row r="1121">
      <c r="A1121" s="2" t="inlineStr">
        <is>
          <t/>
        </is>
      </c>
      <c r="B1121" s="2" t="inlineStr">
        <is>
          <t>Вилки столовые</t>
        </is>
      </c>
      <c r="C1121" s="2">
        <v>765958793</v>
      </c>
      <c r="D1121" s="2" t="inlineStr">
        <is>
          <t>81806</t>
        </is>
      </c>
      <c r="E1121" s="2" t="inlineStr">
        <is>
          <t>2048429032958</t>
        </is>
      </c>
      <c r="F1121" s="2">
        <v>58</v>
      </c>
      <c r="G1121" s="2">
        <v>0</v>
      </c>
      <c r="H1121" s="2">
        <v>999</v>
      </c>
      <c r="I1121" s="2" t="inlineStr">
        <is>
          <t>4248</t>
        </is>
      </c>
      <c r="J1121" s="4"/>
      <c r="K1121" s="2">
        <v>85</v>
      </c>
      <c r="L1121" s="6"/>
      <c r="M1121" s="2" t="str">
        <f>IF(J1121="",ROUND(I1121*(1-IF(ISBLANK(L1121),K1121,L1121)/100),2),ROUND(J1121*(1-IF(ISBLANK(L1121),K1121,L1121)/100),2))</f>
      </c>
      <c r="N1121" s="7" t="str">
        <f>IF(NOT(AND(J1121="",L1121="")),IF(OR(AND(L1121&lt;&gt;"",NOT(ISNUMBER(L1121))),IFERROR(MOD(L1121,1),1)&gt;0,AND(ISNUMBER(L1121),OR(L1121&lt;0,L1121&gt;95))),"Введите целое число от 0 до 95",IF(OR(AND(J1121&lt;&gt;"",NOT(ISNUMBER(J1121))),IFERROR(MOD(J1121,1),1)&gt;0,AND(ISNUMBER(J1121),OR(J1121&lt;50,J1121&gt;20000000))),"Введите целое число от 50 до 20000000",IF(NOT(ABS(IFERROR(VALUE(LEFT(M1121,FIND("-",M1121)-1)),M1121)*100-(2500+2000000000)/2)&lt;=ABS(2500-2000000000)/2),"Цена со скидкой должна быть от 25 до 20000000",IF(AND(IFERROR(VALUE(LEFT(M1121,FIND("-",M1121)-1)),M1121)*150&lt;=63720,IFERROR(VALUE(LEFT(M1121,FIND("-",M1121)-1)),M1121)*200&gt;63720),"Вы уменьшили цену в несколько раз, товар попадет в карантин цен",IF(IFERROR(VALUE(LEFT(M1121,FIND("-",M1121)-1)),M1121)*200&lt;=63720,"Не сохранили изменения, чтобы защитить от ошибки — новые цены меньше текущих более чем в 2 раза. Снижайте их постепенно",IF(AND(IFERROR(VALUE(I1121),0)=0,ISNUMBER(J1121),OR(J1121&lt;213,ABS(IFERROR(VALUE(LEFT(M1121,FIND("-",M1121)-1)),M1121))*100&lt;21300)),"Проверьте цену товара. Большинство товаров в выбранной категории стоят дороже 213","")))))),"")</f>
      </c>
    </row>
    <row r="1122">
      <c r="A1122" s="2" t="inlineStr">
        <is>
          <t/>
        </is>
      </c>
      <c r="B1122" s="2" t="inlineStr">
        <is>
          <t>Сковороды</t>
        </is>
      </c>
      <c r="C1122" s="2">
        <v>729286950</v>
      </c>
      <c r="D1122" s="2" t="inlineStr">
        <is>
          <t>200522</t>
        </is>
      </c>
      <c r="E1122" s="2" t="inlineStr">
        <is>
          <t>2048080629627</t>
        </is>
      </c>
      <c r="F1122" s="2">
        <v>0</v>
      </c>
      <c r="G1122" s="2">
        <v>7</v>
      </c>
      <c r="H1122" s="2" t="inlineStr">
        <is>
          <t/>
        </is>
      </c>
      <c r="I1122" s="2" t="inlineStr">
        <is>
          <t>22792</t>
        </is>
      </c>
      <c r="J1122" s="4"/>
      <c r="K1122" s="2">
        <v>78</v>
      </c>
      <c r="L1122" s="6"/>
      <c r="M1122" s="2" t="str">
        <f>IF(J1122="",ROUND(I1122*(1-IF(ISBLANK(L1122),K1122,L1122)/100),2),ROUND(J1122*(1-IF(ISBLANK(L1122),K1122,L1122)/100),2))</f>
      </c>
      <c r="N1122" s="7" t="str">
        <f>IF(NOT(AND(J1122="",L1122="")),IF(OR(AND(L1122&lt;&gt;"",NOT(ISNUMBER(L1122))),IFERROR(MOD(L1122,1),1)&gt;0,AND(ISNUMBER(L1122),OR(L1122&lt;0,L1122&gt;95))),"Введите целое число от 0 до 95",IF(OR(AND(J1122&lt;&gt;"",NOT(ISNUMBER(J1122))),IFERROR(MOD(J1122,1),1)&gt;0,AND(ISNUMBER(J1122),OR(J1122&lt;50,J1122&gt;20000000))),"Введите целое число от 50 до 20000000",IF(NOT(ABS(IFERROR(VALUE(LEFT(M1122,FIND("-",M1122)-1)),M1122)*100-(2500+2000000000)/2)&lt;=ABS(2500-2000000000)/2),"Цена со скидкой должна быть от 25 до 20000000",IF(AND(IFERROR(VALUE(LEFT(M1122,FIND("-",M1122)-1)),M1122)*150&lt;=501424,IFERROR(VALUE(LEFT(M1122,FIND("-",M1122)-1)),M1122)*200&gt;501424),"Вы уменьшили цену в несколько раз, товар попадет в карантин цен",IF(IFERROR(VALUE(LEFT(M1122,FIND("-",M1122)-1)),M1122)*200&lt;=501424,"Не сохранили изменения, чтобы защитить от ошибки — новые цены меньше текущих более чем в 2 раза. Снижайте их постепенно",IF(AND(IFERROR(VALUE(I1122),0)=0,ISNUMBER(J1122),OR(J1122&lt;756,ABS(IFERROR(VALUE(LEFT(M1122,FIND("-",M1122)-1)),M1122))*100&lt;75600)),"Проверьте цену товара. Большинство товаров в выбранной категории стоят дороже 756","")))))),"")</f>
      </c>
    </row>
    <row r="1123">
      <c r="A1123" s="2" t="inlineStr">
        <is>
          <t/>
        </is>
      </c>
      <c r="B1123" s="2" t="inlineStr">
        <is>
          <t>Сковороды</t>
        </is>
      </c>
      <c r="C1123" s="2">
        <v>729286967</v>
      </c>
      <c r="D1123" s="2" t="inlineStr">
        <is>
          <t>20262</t>
        </is>
      </c>
      <c r="E1123" s="2" t="inlineStr">
        <is>
          <t>2048080629894</t>
        </is>
      </c>
      <c r="F1123" s="2">
        <v>0</v>
      </c>
      <c r="G1123" s="2">
        <v>0</v>
      </c>
      <c r="H1123" s="2" t="inlineStr">
        <is>
          <t/>
        </is>
      </c>
      <c r="I1123" s="2" t="inlineStr">
        <is>
          <t>21823</t>
        </is>
      </c>
      <c r="J1123" s="4"/>
      <c r="K1123" s="2">
        <v>80</v>
      </c>
      <c r="L1123" s="6"/>
      <c r="M1123" s="2" t="str">
        <f>IF(J1123="",ROUND(I1123*(1-IF(ISBLANK(L1123),K1123,L1123)/100),2),ROUND(J1123*(1-IF(ISBLANK(L1123),K1123,L1123)/100),2))</f>
      </c>
      <c r="N1123" s="7" t="str">
        <f>IF(NOT(AND(J1123="",L1123="")),IF(OR(AND(L1123&lt;&gt;"",NOT(ISNUMBER(L1123))),IFERROR(MOD(L1123,1),1)&gt;0,AND(ISNUMBER(L1123),OR(L1123&lt;0,L1123&gt;95))),"Введите целое число от 0 до 95",IF(OR(AND(J1123&lt;&gt;"",NOT(ISNUMBER(J1123))),IFERROR(MOD(J1123,1),1)&gt;0,AND(ISNUMBER(J1123),OR(J1123&lt;50,J1123&gt;20000000))),"Введите целое число от 50 до 20000000",IF(NOT(ABS(IFERROR(VALUE(LEFT(M1123,FIND("-",M1123)-1)),M1123)*100-(2500+2000000000)/2)&lt;=ABS(2500-2000000000)/2),"Цена со скидкой должна быть от 25 до 20000000",IF(AND(IFERROR(VALUE(LEFT(M1123,FIND("-",M1123)-1)),M1123)*150&lt;=436459,IFERROR(VALUE(LEFT(M1123,FIND("-",M1123)-1)),M1123)*200&gt;436459),"Вы уменьшили цену в несколько раз, товар попадет в карантин цен",IF(IFERROR(VALUE(LEFT(M1123,FIND("-",M1123)-1)),M1123)*200&lt;=436459,"Не сохранили изменения, чтобы защитить от ошибки — новые цены меньше текущих более чем в 2 раза. Снижайте их постепенно",IF(AND(IFERROR(VALUE(I1123),0)=0,ISNUMBER(J1123),OR(J1123&lt;756,ABS(IFERROR(VALUE(LEFT(M1123,FIND("-",M1123)-1)),M1123))*100&lt;75600)),"Проверьте цену товара. Большинство товаров в выбранной категории стоят дороже 756","")))))),"")</f>
      </c>
    </row>
    <row r="1124">
      <c r="A1124" s="2" t="inlineStr">
        <is>
          <t/>
        </is>
      </c>
      <c r="B1124" s="2" t="inlineStr">
        <is>
          <t>Ложки чайные</t>
        </is>
      </c>
      <c r="C1124" s="2">
        <v>765977496</v>
      </c>
      <c r="D1124" s="2" t="inlineStr">
        <is>
          <t>81816</t>
        </is>
      </c>
      <c r="E1124" s="2" t="inlineStr">
        <is>
          <t>2048429242487</t>
        </is>
      </c>
      <c r="F1124" s="2">
        <v>47</v>
      </c>
      <c r="G1124" s="2">
        <v>1193</v>
      </c>
      <c r="H1124" s="2">
        <v>999</v>
      </c>
      <c r="I1124" s="2" t="inlineStr">
        <is>
          <t>1772</t>
        </is>
      </c>
      <c r="J1124" s="4"/>
      <c r="K1124" s="2">
        <v>82</v>
      </c>
      <c r="L1124" s="6"/>
      <c r="M1124" s="2" t="str">
        <f>IF(J1124="",ROUND(I1124*(1-IF(ISBLANK(L1124),K1124,L1124)/100),2),ROUND(J1124*(1-IF(ISBLANK(L1124),K1124,L1124)/100),2))</f>
      </c>
      <c r="N1124" s="7" t="str">
        <f>IF(NOT(AND(J1124="",L1124="")),IF(OR(AND(L1124&lt;&gt;"",NOT(ISNUMBER(L1124))),IFERROR(MOD(L1124,1),1)&gt;0,AND(ISNUMBER(L1124),OR(L1124&lt;0,L1124&gt;95))),"Введите целое число от 0 до 95",IF(OR(AND(J1124&lt;&gt;"",NOT(ISNUMBER(J1124))),IFERROR(MOD(J1124,1),1)&gt;0,AND(ISNUMBER(J1124),OR(J1124&lt;50,J1124&gt;20000000))),"Введите целое число от 50 до 20000000",IF(NOT(ABS(IFERROR(VALUE(LEFT(M1124,FIND("-",M1124)-1)),M1124)*100-(2500+2000000000)/2)&lt;=ABS(2500-2000000000)/2),"Цена со скидкой должна быть от 25 до 20000000",IF(AND(IFERROR(VALUE(LEFT(M1124,FIND("-",M1124)-1)),M1124)*150&lt;=31896,IFERROR(VALUE(LEFT(M1124,FIND("-",M1124)-1)),M1124)*200&gt;31896),"Вы уменьшили цену в несколько раз, товар попадет в карантин цен",IF(IFERROR(VALUE(LEFT(M1124,FIND("-",M1124)-1)),M1124)*200&lt;=31896,"Не сохранили изменения, чтобы защитить от ошибки — новые цены меньше текущих более чем в 2 раза. Снижайте их постепенно",IF(AND(IFERROR(VALUE(I1124),0)=0,ISNUMBER(J1124),OR(J1124&lt;207,ABS(IFERROR(VALUE(LEFT(M1124,FIND("-",M1124)-1)),M1124))*100&lt;20700)),"Проверьте цену товара. Большинство товаров в выбранной категории стоят дороже 207","")))))),"")</f>
      </c>
    </row>
    <row r="1125">
      <c r="A1125" s="2" t="inlineStr">
        <is>
          <t/>
        </is>
      </c>
      <c r="B1125" s="2" t="inlineStr">
        <is>
          <t>Ложки чайные</t>
        </is>
      </c>
      <c r="C1125" s="2">
        <v>765977497</v>
      </c>
      <c r="D1125" s="2" t="inlineStr">
        <is>
          <t>81820</t>
        </is>
      </c>
      <c r="E1125" s="2" t="inlineStr">
        <is>
          <t>2048429242494</t>
        </is>
      </c>
      <c r="F1125" s="2">
        <v>10</v>
      </c>
      <c r="G1125" s="2">
        <v>43</v>
      </c>
      <c r="H1125" s="2">
        <v>999</v>
      </c>
      <c r="I1125" s="2" t="inlineStr">
        <is>
          <t>3716</t>
        </is>
      </c>
      <c r="J1125" s="4"/>
      <c r="K1125" s="2">
        <v>80</v>
      </c>
      <c r="L1125" s="6"/>
      <c r="M1125" s="2" t="str">
        <f>IF(J1125="",ROUND(I1125*(1-IF(ISBLANK(L1125),K1125,L1125)/100),2),ROUND(J1125*(1-IF(ISBLANK(L1125),K1125,L1125)/100),2))</f>
      </c>
      <c r="N1125" s="7" t="str">
        <f>IF(NOT(AND(J1125="",L1125="")),IF(OR(AND(L1125&lt;&gt;"",NOT(ISNUMBER(L1125))),IFERROR(MOD(L1125,1),1)&gt;0,AND(ISNUMBER(L1125),OR(L1125&lt;0,L1125&gt;95))),"Введите целое число от 0 до 95",IF(OR(AND(J1125&lt;&gt;"",NOT(ISNUMBER(J1125))),IFERROR(MOD(J1125,1),1)&gt;0,AND(ISNUMBER(J1125),OR(J1125&lt;50,J1125&gt;20000000))),"Введите целое число от 50 до 20000000",IF(NOT(ABS(IFERROR(VALUE(LEFT(M1125,FIND("-",M1125)-1)),M1125)*100-(2500+2000000000)/2)&lt;=ABS(2500-2000000000)/2),"Цена со скидкой должна быть от 25 до 20000000",IF(AND(IFERROR(VALUE(LEFT(M1125,FIND("-",M1125)-1)),M1125)*150&lt;=74319,IFERROR(VALUE(LEFT(M1125,FIND("-",M1125)-1)),M1125)*200&gt;74319),"Вы уменьшили цену в несколько раз, товар попадет в карантин цен",IF(IFERROR(VALUE(LEFT(M1125,FIND("-",M1125)-1)),M1125)*200&lt;=74319,"Не сохранили изменения, чтобы защитить от ошибки — новые цены меньше текущих более чем в 2 раза. Снижайте их постепенно",IF(AND(IFERROR(VALUE(I1125),0)=0,ISNUMBER(J1125),OR(J1125&lt;207,ABS(IFERROR(VALUE(LEFT(M1125,FIND("-",M1125)-1)),M1125))*100&lt;20700)),"Проверьте цену товара. Большинство товаров в выбранной категории стоят дороже 207","")))))),"")</f>
      </c>
    </row>
    <row r="1126">
      <c r="A1126" s="2" t="inlineStr">
        <is>
          <t/>
        </is>
      </c>
      <c r="B1126" s="2" t="inlineStr">
        <is>
          <t>Вилки столовые</t>
        </is>
      </c>
      <c r="C1126" s="2">
        <v>765958794</v>
      </c>
      <c r="D1126" s="2" t="inlineStr">
        <is>
          <t>81808</t>
        </is>
      </c>
      <c r="E1126" s="2" t="inlineStr">
        <is>
          <t>2048429032972</t>
        </is>
      </c>
      <c r="F1126" s="2">
        <v>19</v>
      </c>
      <c r="G1126" s="2">
        <v>127</v>
      </c>
      <c r="H1126" s="2">
        <v>999</v>
      </c>
      <c r="I1126" s="2" t="inlineStr">
        <is>
          <t>4248</t>
        </is>
      </c>
      <c r="J1126" s="4"/>
      <c r="K1126" s="2">
        <v>84</v>
      </c>
      <c r="L1126" s="6"/>
      <c r="M1126" s="2" t="str">
        <f>IF(J1126="",ROUND(I1126*(1-IF(ISBLANK(L1126),K1126,L1126)/100),2),ROUND(J1126*(1-IF(ISBLANK(L1126),K1126,L1126)/100),2))</f>
      </c>
      <c r="N1126" s="7" t="str">
        <f>IF(NOT(AND(J1126="",L1126="")),IF(OR(AND(L1126&lt;&gt;"",NOT(ISNUMBER(L1126))),IFERROR(MOD(L1126,1),1)&gt;0,AND(ISNUMBER(L1126),OR(L1126&lt;0,L1126&gt;95))),"Введите целое число от 0 до 95",IF(OR(AND(J1126&lt;&gt;"",NOT(ISNUMBER(J1126))),IFERROR(MOD(J1126,1),1)&gt;0,AND(ISNUMBER(J1126),OR(J1126&lt;50,J1126&gt;20000000))),"Введите целое число от 50 до 20000000",IF(NOT(ABS(IFERROR(VALUE(LEFT(M1126,FIND("-",M1126)-1)),M1126)*100-(2500+2000000000)/2)&lt;=ABS(2500-2000000000)/2),"Цена со скидкой должна быть от 25 до 20000000",IF(AND(IFERROR(VALUE(LEFT(M1126,FIND("-",M1126)-1)),M1126)*150&lt;=67968,IFERROR(VALUE(LEFT(M1126,FIND("-",M1126)-1)),M1126)*200&gt;67968),"Вы уменьшили цену в несколько раз, товар попадет в карантин цен",IF(IFERROR(VALUE(LEFT(M1126,FIND("-",M1126)-1)),M1126)*200&lt;=67968,"Не сохранили изменения, чтобы защитить от ошибки — новые цены меньше текущих более чем в 2 раза. Снижайте их постепенно",IF(AND(IFERROR(VALUE(I1126),0)=0,ISNUMBER(J1126),OR(J1126&lt;213,ABS(IFERROR(VALUE(LEFT(M1126,FIND("-",M1126)-1)),M1126))*100&lt;21300)),"Проверьте цену товара. Большинство товаров в выбранной категории стоят дороже 213","")))))),"")</f>
      </c>
    </row>
    <row r="1127">
      <c r="A1127" s="2" t="inlineStr">
        <is>
          <t/>
        </is>
      </c>
      <c r="B1127" s="2" t="inlineStr">
        <is>
          <t>Кружки</t>
        </is>
      </c>
      <c r="C1127" s="2">
        <v>766395609</v>
      </c>
      <c r="D1127" s="2" t="inlineStr">
        <is>
          <t>076091</t>
        </is>
      </c>
      <c r="E1127" s="2" t="inlineStr">
        <is>
          <t>2048433257309</t>
        </is>
      </c>
      <c r="F1127" s="2">
        <v>0</v>
      </c>
      <c r="G1127" s="2">
        <v>34</v>
      </c>
      <c r="H1127" s="2" t="inlineStr">
        <is>
          <t/>
        </is>
      </c>
      <c r="I1127" s="2" t="inlineStr">
        <is>
          <t>0</t>
        </is>
      </c>
      <c r="J1127" s="4"/>
      <c r="K1127" s="2">
        <v>0</v>
      </c>
      <c r="L1127" s="6"/>
      <c r="M1127" s="2" t="str">
        <f>IF(J1127="",ROUND(I1127*(1-IF(ISBLANK(L1127),K1127,L1127)/100),2),ROUND(J1127*(1-IF(ISBLANK(L1127),K1127,L1127)/100),2))</f>
      </c>
      <c r="N1127" s="7" t="str">
        <f>IF(NOT(AND(J1127="",L1127="")),IF(OR(AND(L1127&lt;&gt;"",NOT(ISNUMBER(L1127))),IFERROR(MOD(L1127,1),1)&gt;0,AND(ISNUMBER(L1127),OR(L1127&lt;0,L1127&gt;95))),"Введите целое число от 0 до 95",IF(OR(AND(J1127&lt;&gt;"",NOT(ISNUMBER(J1127))),IFERROR(MOD(J1127,1),1)&gt;0,AND(ISNUMBER(J1127),OR(J1127&lt;50,J1127&gt;20000000))),"Введите целое число от 50 до 20000000",IF(NOT(ABS(IFERROR(VALUE(LEFT(M1127,FIND("-",M1127)-1)),M1127)*100-(2500+2000000000)/2)&lt;=ABS(2500-2000000000)/2),"Цена со скидкой должна быть от 25 до 20000000",IF(AND(IFERROR(VALUE(LEFT(M1127,FIND("-",M1127)-1)),M1127)*150&lt;=0,IFERROR(VALUE(LEFT(M1127,FIND("-",M1127)-1)),M1127)*200&gt;0),"Вы уменьшили цену в несколько раз, товар попадет в карантин цен",IF(IFERROR(VALUE(LEFT(M1127,FIND("-",M1127)-1)),M1127)*200&lt;=0,"Не сохранили изменения, чтобы защитить от ошибки — новые цены меньше текущих более чем в 2 раза. Снижайте их постепенно",IF(AND(IFERROR(VALUE(I1127),0)=0,ISNUMBER(J1127),OR(J1127&lt;444,ABS(IFERROR(VALUE(LEFT(M1127,FIND("-",M1127)-1)),M1127))*100&lt;44400)),"Проверьте цену товара. Большинство товаров в выбранной категории стоят дороже 444","")))))),"")</f>
      </c>
    </row>
    <row r="1128">
      <c r="A1128" s="2" t="inlineStr">
        <is>
          <t/>
        </is>
      </c>
      <c r="B1128" s="2" t="inlineStr">
        <is>
          <t>Кружки</t>
        </is>
      </c>
      <c r="C1128" s="2">
        <v>766408971</v>
      </c>
      <c r="D1128" s="2" t="inlineStr">
        <is>
          <t>076557</t>
        </is>
      </c>
      <c r="E1128" s="2" t="inlineStr">
        <is>
          <t>2048433548131</t>
        </is>
      </c>
      <c r="F1128" s="2">
        <v>0</v>
      </c>
      <c r="G1128" s="2">
        <v>0</v>
      </c>
      <c r="H1128" s="2" t="inlineStr">
        <is>
          <t/>
        </is>
      </c>
      <c r="I1128" s="2" t="inlineStr">
        <is>
          <t>0</t>
        </is>
      </c>
      <c r="J1128" s="4"/>
      <c r="K1128" s="2">
        <v>0</v>
      </c>
      <c r="L1128" s="6"/>
      <c r="M1128" s="2" t="str">
        <f>IF(J1128="",ROUND(I1128*(1-IF(ISBLANK(L1128),K1128,L1128)/100),2),ROUND(J1128*(1-IF(ISBLANK(L1128),K1128,L1128)/100),2))</f>
      </c>
      <c r="N1128" s="7" t="str">
        <f>IF(NOT(AND(J1128="",L1128="")),IF(OR(AND(L1128&lt;&gt;"",NOT(ISNUMBER(L1128))),IFERROR(MOD(L1128,1),1)&gt;0,AND(ISNUMBER(L1128),OR(L1128&lt;0,L1128&gt;95))),"Введите целое число от 0 до 95",IF(OR(AND(J1128&lt;&gt;"",NOT(ISNUMBER(J1128))),IFERROR(MOD(J1128,1),1)&gt;0,AND(ISNUMBER(J1128),OR(J1128&lt;50,J1128&gt;20000000))),"Введите целое число от 50 до 20000000",IF(NOT(ABS(IFERROR(VALUE(LEFT(M1128,FIND("-",M1128)-1)),M1128)*100-(2500+2000000000)/2)&lt;=ABS(2500-2000000000)/2),"Цена со скидкой должна быть от 25 до 20000000",IF(AND(IFERROR(VALUE(LEFT(M1128,FIND("-",M1128)-1)),M1128)*150&lt;=0,IFERROR(VALUE(LEFT(M1128,FIND("-",M1128)-1)),M1128)*200&gt;0),"Вы уменьшили цену в несколько раз, товар попадет в карантин цен",IF(IFERROR(VALUE(LEFT(M1128,FIND("-",M1128)-1)),M1128)*200&lt;=0,"Не сохранили изменения, чтобы защитить от ошибки — новые цены меньше текущих более чем в 2 раза. Снижайте их постепенно",IF(AND(IFERROR(VALUE(I1128),0)=0,ISNUMBER(J1128),OR(J1128&lt;444,ABS(IFERROR(VALUE(LEFT(M1128,FIND("-",M1128)-1)),M1128))*100&lt;44400)),"Проверьте цену товара. Большинство товаров в выбранной категории стоят дороже 444","")))))),"")</f>
      </c>
    </row>
    <row r="1129">
      <c r="A1129" s="2" t="inlineStr">
        <is>
          <t/>
        </is>
      </c>
      <c r="B1129" s="2" t="inlineStr">
        <is>
          <t>Кружки</t>
        </is>
      </c>
      <c r="C1129" s="2">
        <v>766408969</v>
      </c>
      <c r="D1129" s="2" t="inlineStr">
        <is>
          <t>076436</t>
        </is>
      </c>
      <c r="E1129" s="2" t="inlineStr">
        <is>
          <t>2048433548070</t>
        </is>
      </c>
      <c r="F1129" s="2" t="inlineStr">
        <is>
          <t/>
        </is>
      </c>
      <c r="G1129" s="2" t="inlineStr">
        <is>
          <t/>
        </is>
      </c>
      <c r="H1129" s="2" t="inlineStr">
        <is>
          <t/>
        </is>
      </c>
      <c r="I1129" s="2" t="inlineStr">
        <is>
          <t>0</t>
        </is>
      </c>
      <c r="J1129" s="4"/>
      <c r="K1129" s="2">
        <v>0</v>
      </c>
      <c r="L1129" s="6"/>
      <c r="M1129" s="2" t="str">
        <f>IF(J1129="",ROUND(I1129*(1-IF(ISBLANK(L1129),K1129,L1129)/100),2),ROUND(J1129*(1-IF(ISBLANK(L1129),K1129,L1129)/100),2))</f>
      </c>
      <c r="N1129" s="7" t="str">
        <f>IF(NOT(AND(J1129="",L1129="")),IF(OR(AND(L1129&lt;&gt;"",NOT(ISNUMBER(L1129))),IFERROR(MOD(L1129,1),1)&gt;0,AND(ISNUMBER(L1129),OR(L1129&lt;0,L1129&gt;95))),"Введите целое число от 0 до 95",IF(OR(AND(J1129&lt;&gt;"",NOT(ISNUMBER(J1129))),IFERROR(MOD(J1129,1),1)&gt;0,AND(ISNUMBER(J1129),OR(J1129&lt;50,J1129&gt;20000000))),"Введите целое число от 50 до 20000000",IF(NOT(ABS(IFERROR(VALUE(LEFT(M1129,FIND("-",M1129)-1)),M1129)*100-(2500+2000000000)/2)&lt;=ABS(2500-2000000000)/2),"Цена со скидкой должна быть от 25 до 20000000",IF(AND(IFERROR(VALUE(LEFT(M1129,FIND("-",M1129)-1)),M1129)*150&lt;=0,IFERROR(VALUE(LEFT(M1129,FIND("-",M1129)-1)),M1129)*200&gt;0),"Вы уменьшили цену в несколько раз, товар попадет в карантин цен",IF(IFERROR(VALUE(LEFT(M1129,FIND("-",M1129)-1)),M1129)*200&lt;=0,"Не сохранили изменения, чтобы защитить от ошибки — новые цены меньше текущих более чем в 2 раза. Снижайте их постепенно",IF(AND(IFERROR(VALUE(I1129),0)=0,ISNUMBER(J1129),OR(J1129&lt;444,ABS(IFERROR(VALUE(LEFT(M1129,FIND("-",M1129)-1)),M1129))*100&lt;44400)),"Проверьте цену товара. Большинство товаров в выбранной категории стоят дороже 444","")))))),"")</f>
      </c>
    </row>
    <row r="1130">
      <c r="A1130" s="2" t="inlineStr">
        <is>
          <t/>
        </is>
      </c>
      <c r="B1130" s="2" t="inlineStr">
        <is>
          <t>Кружки</t>
        </is>
      </c>
      <c r="C1130" s="2">
        <v>766408967</v>
      </c>
      <c r="D1130" s="2" t="inlineStr">
        <is>
          <t>440461</t>
        </is>
      </c>
      <c r="E1130" s="2" t="inlineStr">
        <is>
          <t>2048433547943</t>
        </is>
      </c>
      <c r="F1130" s="2">
        <v>0</v>
      </c>
      <c r="G1130" s="2">
        <v>0</v>
      </c>
      <c r="H1130" s="2" t="inlineStr">
        <is>
          <t/>
        </is>
      </c>
      <c r="I1130" s="2" t="inlineStr">
        <is>
          <t>11542</t>
        </is>
      </c>
      <c r="J1130" s="4"/>
      <c r="K1130" s="2">
        <v>65</v>
      </c>
      <c r="L1130" s="6"/>
      <c r="M1130" s="2" t="str">
        <f>IF(J1130="",ROUND(I1130*(1-IF(ISBLANK(L1130),K1130,L1130)/100),2),ROUND(J1130*(1-IF(ISBLANK(L1130),K1130,L1130)/100),2))</f>
      </c>
      <c r="N1130" s="7" t="str">
        <f>IF(NOT(AND(J1130="",L1130="")),IF(OR(AND(L1130&lt;&gt;"",NOT(ISNUMBER(L1130))),IFERROR(MOD(L1130,1),1)&gt;0,AND(ISNUMBER(L1130),OR(L1130&lt;0,L1130&gt;95))),"Введите целое число от 0 до 95",IF(OR(AND(J1130&lt;&gt;"",NOT(ISNUMBER(J1130))),IFERROR(MOD(J1130,1),1)&gt;0,AND(ISNUMBER(J1130),OR(J1130&lt;50,J1130&gt;20000000))),"Введите целое число от 50 до 20000000",IF(NOT(ABS(IFERROR(VALUE(LEFT(M1130,FIND("-",M1130)-1)),M1130)*100-(2500+2000000000)/2)&lt;=ABS(2500-2000000000)/2),"Цена со скидкой должна быть от 25 до 20000000",IF(AND(IFERROR(VALUE(LEFT(M1130,FIND("-",M1130)-1)),M1130)*150&lt;=403970,IFERROR(VALUE(LEFT(M1130,FIND("-",M1130)-1)),M1130)*200&gt;403970),"Вы уменьшили цену в несколько раз, товар попадет в карантин цен",IF(IFERROR(VALUE(LEFT(M1130,FIND("-",M1130)-1)),M1130)*200&lt;=403970,"Не сохранили изменения, чтобы защитить от ошибки — новые цены меньше текущих более чем в 2 раза. Снижайте их постепенно",IF(AND(IFERROR(VALUE(I1130),0)=0,ISNUMBER(J1130),OR(J1130&lt;444,ABS(IFERROR(VALUE(LEFT(M1130,FIND("-",M1130)-1)),M1130))*100&lt;44400)),"Проверьте цену товара. Большинство товаров в выбранной категории стоят дороже 444","")))))),"")</f>
      </c>
    </row>
    <row r="1131">
      <c r="A1131" s="2" t="inlineStr">
        <is>
          <t/>
        </is>
      </c>
      <c r="B1131" s="2" t="inlineStr">
        <is>
          <t>Кружки</t>
        </is>
      </c>
      <c r="C1131" s="2">
        <v>766408973</v>
      </c>
      <c r="D1131" s="2" t="inlineStr">
        <is>
          <t>076058</t>
        </is>
      </c>
      <c r="E1131" s="2" t="inlineStr">
        <is>
          <t>2048433548209</t>
        </is>
      </c>
      <c r="F1131" s="2" t="inlineStr">
        <is>
          <t/>
        </is>
      </c>
      <c r="G1131" s="2" t="inlineStr">
        <is>
          <t/>
        </is>
      </c>
      <c r="H1131" s="2" t="inlineStr">
        <is>
          <t/>
        </is>
      </c>
      <c r="I1131" s="2" t="inlineStr">
        <is>
          <t>0</t>
        </is>
      </c>
      <c r="J1131" s="4"/>
      <c r="K1131" s="2">
        <v>0</v>
      </c>
      <c r="L1131" s="6"/>
      <c r="M1131" s="2" t="str">
        <f>IF(J1131="",ROUND(I1131*(1-IF(ISBLANK(L1131),K1131,L1131)/100),2),ROUND(J1131*(1-IF(ISBLANK(L1131),K1131,L1131)/100),2))</f>
      </c>
      <c r="N1131" s="7" t="str">
        <f>IF(NOT(AND(J1131="",L1131="")),IF(OR(AND(L1131&lt;&gt;"",NOT(ISNUMBER(L1131))),IFERROR(MOD(L1131,1),1)&gt;0,AND(ISNUMBER(L1131),OR(L1131&lt;0,L1131&gt;95))),"Введите целое число от 0 до 95",IF(OR(AND(J1131&lt;&gt;"",NOT(ISNUMBER(J1131))),IFERROR(MOD(J1131,1),1)&gt;0,AND(ISNUMBER(J1131),OR(J1131&lt;50,J1131&gt;20000000))),"Введите целое число от 50 до 20000000",IF(NOT(ABS(IFERROR(VALUE(LEFT(M1131,FIND("-",M1131)-1)),M1131)*100-(2500+2000000000)/2)&lt;=ABS(2500-2000000000)/2),"Цена со скидкой должна быть от 25 до 20000000",IF(AND(IFERROR(VALUE(LEFT(M1131,FIND("-",M1131)-1)),M1131)*150&lt;=0,IFERROR(VALUE(LEFT(M1131,FIND("-",M1131)-1)),M1131)*200&gt;0),"Вы уменьшили цену в несколько раз, товар попадет в карантин цен",IF(IFERROR(VALUE(LEFT(M1131,FIND("-",M1131)-1)),M1131)*200&lt;=0,"Не сохранили изменения, чтобы защитить от ошибки — новые цены меньше текущих более чем в 2 раза. Снижайте их постепенно",IF(AND(IFERROR(VALUE(I1131),0)=0,ISNUMBER(J1131),OR(J1131&lt;444,ABS(IFERROR(VALUE(LEFT(M1131,FIND("-",M1131)-1)),M1131))*100&lt;44400)),"Проверьте цену товара. Большинство товаров в выбранной категории стоят дороже 444","")))))),"")</f>
      </c>
    </row>
    <row r="1132">
      <c r="A1132" s="2" t="inlineStr">
        <is>
          <t/>
        </is>
      </c>
      <c r="B1132" s="2" t="inlineStr">
        <is>
          <t>Кружки</t>
        </is>
      </c>
      <c r="C1132" s="2">
        <v>766408970</v>
      </c>
      <c r="D1132" s="2" t="inlineStr">
        <is>
          <t>076410</t>
        </is>
      </c>
      <c r="E1132" s="2" t="inlineStr">
        <is>
          <t>2048433548100</t>
        </is>
      </c>
      <c r="F1132" s="2">
        <v>0</v>
      </c>
      <c r="G1132" s="2">
        <v>0</v>
      </c>
      <c r="H1132" s="2" t="inlineStr">
        <is>
          <t/>
        </is>
      </c>
      <c r="I1132" s="2" t="inlineStr">
        <is>
          <t>0</t>
        </is>
      </c>
      <c r="J1132" s="4"/>
      <c r="K1132" s="2">
        <v>0</v>
      </c>
      <c r="L1132" s="6"/>
      <c r="M1132" s="2" t="str">
        <f>IF(J1132="",ROUND(I1132*(1-IF(ISBLANK(L1132),K1132,L1132)/100),2),ROUND(J1132*(1-IF(ISBLANK(L1132),K1132,L1132)/100),2))</f>
      </c>
      <c r="N1132" s="7" t="str">
        <f>IF(NOT(AND(J1132="",L1132="")),IF(OR(AND(L1132&lt;&gt;"",NOT(ISNUMBER(L1132))),IFERROR(MOD(L1132,1),1)&gt;0,AND(ISNUMBER(L1132),OR(L1132&lt;0,L1132&gt;95))),"Введите целое число от 0 до 95",IF(OR(AND(J1132&lt;&gt;"",NOT(ISNUMBER(J1132))),IFERROR(MOD(J1132,1),1)&gt;0,AND(ISNUMBER(J1132),OR(J1132&lt;50,J1132&gt;20000000))),"Введите целое число от 50 до 20000000",IF(NOT(ABS(IFERROR(VALUE(LEFT(M1132,FIND("-",M1132)-1)),M1132)*100-(2500+2000000000)/2)&lt;=ABS(2500-2000000000)/2),"Цена со скидкой должна быть от 25 до 20000000",IF(AND(IFERROR(VALUE(LEFT(M1132,FIND("-",M1132)-1)),M1132)*150&lt;=0,IFERROR(VALUE(LEFT(M1132,FIND("-",M1132)-1)),M1132)*200&gt;0),"Вы уменьшили цену в несколько раз, товар попадет в карантин цен",IF(IFERROR(VALUE(LEFT(M1132,FIND("-",M1132)-1)),M1132)*200&lt;=0,"Не сохранили изменения, чтобы защитить от ошибки — новые цены меньше текущих более чем в 2 раза. Снижайте их постепенно",IF(AND(IFERROR(VALUE(I1132),0)=0,ISNUMBER(J1132),OR(J1132&lt;444,ABS(IFERROR(VALUE(LEFT(M1132,FIND("-",M1132)-1)),M1132))*100&lt;44400)),"Проверьте цену товара. Большинство товаров в выбранной категории стоят дороже 444","")))))),"")</f>
      </c>
    </row>
    <row r="1133">
      <c r="A1133" s="2" t="inlineStr">
        <is>
          <t/>
        </is>
      </c>
      <c r="B1133" s="2" t="inlineStr">
        <is>
          <t>Кружки</t>
        </is>
      </c>
      <c r="C1133" s="2">
        <v>766408968</v>
      </c>
      <c r="D1133" s="2" t="inlineStr">
        <is>
          <t>440462</t>
        </is>
      </c>
      <c r="E1133" s="2" t="inlineStr">
        <is>
          <t>2048433548032</t>
        </is>
      </c>
      <c r="F1133" s="2">
        <v>4</v>
      </c>
      <c r="G1133" s="2">
        <v>0</v>
      </c>
      <c r="H1133" s="2">
        <v>999</v>
      </c>
      <c r="I1133" s="2" t="inlineStr">
        <is>
          <t>10931</t>
        </is>
      </c>
      <c r="J1133" s="4"/>
      <c r="K1133" s="2">
        <v>80</v>
      </c>
      <c r="L1133" s="6"/>
      <c r="M1133" s="2" t="str">
        <f>IF(J1133="",ROUND(I1133*(1-IF(ISBLANK(L1133),K1133,L1133)/100),2),ROUND(J1133*(1-IF(ISBLANK(L1133),K1133,L1133)/100),2))</f>
      </c>
      <c r="N1133" s="7" t="str">
        <f>IF(NOT(AND(J1133="",L1133="")),IF(OR(AND(L1133&lt;&gt;"",NOT(ISNUMBER(L1133))),IFERROR(MOD(L1133,1),1)&gt;0,AND(ISNUMBER(L1133),OR(L1133&lt;0,L1133&gt;95))),"Введите целое число от 0 до 95",IF(OR(AND(J1133&lt;&gt;"",NOT(ISNUMBER(J1133))),IFERROR(MOD(J1133,1),1)&gt;0,AND(ISNUMBER(J1133),OR(J1133&lt;50,J1133&gt;20000000))),"Введите целое число от 50 до 20000000",IF(NOT(ABS(IFERROR(VALUE(LEFT(M1133,FIND("-",M1133)-1)),M1133)*100-(2500+2000000000)/2)&lt;=ABS(2500-2000000000)/2),"Цена со скидкой должна быть от 25 до 20000000",IF(AND(IFERROR(VALUE(LEFT(M1133,FIND("-",M1133)-1)),M1133)*150&lt;=218619,IFERROR(VALUE(LEFT(M1133,FIND("-",M1133)-1)),M1133)*200&gt;218619),"Вы уменьшили цену в несколько раз, товар попадет в карантин цен",IF(IFERROR(VALUE(LEFT(M1133,FIND("-",M1133)-1)),M1133)*200&lt;=218619,"Не сохранили изменения, чтобы защитить от ошибки — новые цены меньше текущих более чем в 2 раза. Снижайте их постепенно",IF(AND(IFERROR(VALUE(I1133),0)=0,ISNUMBER(J1133),OR(J1133&lt;444,ABS(IFERROR(VALUE(LEFT(M1133,FIND("-",M1133)-1)),M1133))*100&lt;44400)),"Проверьте цену товара. Большинство товаров в выбранной категории стоят дороже 444","")))))),"")</f>
      </c>
    </row>
    <row r="1134">
      <c r="A1134" s="2" t="inlineStr">
        <is>
          <t/>
        </is>
      </c>
      <c r="B1134" s="2" t="inlineStr">
        <is>
          <t>Турки</t>
        </is>
      </c>
      <c r="C1134" s="2">
        <v>766415883</v>
      </c>
      <c r="D1134" s="2" t="inlineStr">
        <is>
          <t>82884</t>
        </is>
      </c>
      <c r="E1134" s="2" t="inlineStr">
        <is>
          <t>2048433646622</t>
        </is>
      </c>
      <c r="F1134" s="2">
        <v>13</v>
      </c>
      <c r="G1134" s="2">
        <v>21</v>
      </c>
      <c r="H1134" s="2">
        <v>999</v>
      </c>
      <c r="I1134" s="2" t="inlineStr">
        <is>
          <t>5096</t>
        </is>
      </c>
      <c r="J1134" s="4"/>
      <c r="K1134" s="2">
        <v>81</v>
      </c>
      <c r="L1134" s="6"/>
      <c r="M1134" s="2" t="str">
        <f>IF(J1134="",ROUND(I1134*(1-IF(ISBLANK(L1134),K1134,L1134)/100),2),ROUND(J1134*(1-IF(ISBLANK(L1134),K1134,L1134)/100),2))</f>
      </c>
      <c r="N1134" s="7" t="str">
        <f>IF(NOT(AND(J1134="",L1134="")),IF(OR(AND(L1134&lt;&gt;"",NOT(ISNUMBER(L1134))),IFERROR(MOD(L1134,1),1)&gt;0,AND(ISNUMBER(L1134),OR(L1134&lt;0,L1134&gt;95))),"Введите целое число от 0 до 95",IF(OR(AND(J1134&lt;&gt;"",NOT(ISNUMBER(J1134))),IFERROR(MOD(J1134,1),1)&gt;0,AND(ISNUMBER(J1134),OR(J1134&lt;50,J1134&gt;20000000))),"Введите целое число от 50 до 20000000",IF(NOT(ABS(IFERROR(VALUE(LEFT(M1134,FIND("-",M1134)-1)),M1134)*100-(2500+2000000000)/2)&lt;=ABS(2500-2000000000)/2),"Цена со скидкой должна быть от 25 до 20000000",IF(AND(IFERROR(VALUE(LEFT(M1134,FIND("-",M1134)-1)),M1134)*150&lt;=96823,IFERROR(VALUE(LEFT(M1134,FIND("-",M1134)-1)),M1134)*200&gt;96823),"Вы уменьшили цену в несколько раз, товар попадет в карантин цен",IF(IFERROR(VALUE(LEFT(M1134,FIND("-",M1134)-1)),M1134)*200&lt;=96823,"Не сохранили изменения, чтобы защитить от ошибки — новые цены меньше текущих более чем в 2 раза. Снижайте их постепенно",IF(AND(IFERROR(VALUE(I1134),0)=0,ISNUMBER(J1134),OR(J1134&lt;643,ABS(IFERROR(VALUE(LEFT(M1134,FIND("-",M1134)-1)),M1134))*100&lt;64300)),"Проверьте цену товара. Большинство товаров в выбранной категории стоят дороже 643","")))))),"")</f>
      </c>
    </row>
    <row r="1135">
      <c r="A1135" s="2" t="inlineStr">
        <is>
          <t/>
        </is>
      </c>
      <c r="B1135" s="2" t="inlineStr">
        <is>
          <t>Ножи столовые</t>
        </is>
      </c>
      <c r="C1135" s="2">
        <v>765989805</v>
      </c>
      <c r="D1135" s="2" t="inlineStr">
        <is>
          <t>36636</t>
        </is>
      </c>
      <c r="E1135" s="2" t="inlineStr">
        <is>
          <t>2048429345478</t>
        </is>
      </c>
      <c r="F1135" s="2">
        <v>15</v>
      </c>
      <c r="G1135" s="2">
        <v>5</v>
      </c>
      <c r="H1135" s="2">
        <v>999</v>
      </c>
      <c r="I1135" s="2" t="inlineStr">
        <is>
          <t>4864</t>
        </is>
      </c>
      <c r="J1135" s="4"/>
      <c r="K1135" s="2">
        <v>80</v>
      </c>
      <c r="L1135" s="6"/>
      <c r="M1135" s="2" t="str">
        <f>IF(J1135="",ROUND(I1135*(1-IF(ISBLANK(L1135),K1135,L1135)/100),2),ROUND(J1135*(1-IF(ISBLANK(L1135),K1135,L1135)/100),2))</f>
      </c>
      <c r="N1135" s="7" t="str">
        <f>IF(NOT(AND(J1135="",L1135="")),IF(OR(AND(L1135&lt;&gt;"",NOT(ISNUMBER(L1135))),IFERROR(MOD(L1135,1),1)&gt;0,AND(ISNUMBER(L1135),OR(L1135&lt;0,L1135&gt;95))),"Введите целое число от 0 до 95",IF(OR(AND(J1135&lt;&gt;"",NOT(ISNUMBER(J1135))),IFERROR(MOD(J1135,1),1)&gt;0,AND(ISNUMBER(J1135),OR(J1135&lt;50,J1135&gt;20000000))),"Введите целое число от 50 до 20000000",IF(NOT(ABS(IFERROR(VALUE(LEFT(M1135,FIND("-",M1135)-1)),M1135)*100-(2500+2000000000)/2)&lt;=ABS(2500-2000000000)/2),"Цена со скидкой должна быть от 25 до 20000000",IF(AND(IFERROR(VALUE(LEFT(M1135,FIND("-",M1135)-1)),M1135)*150&lt;=97279,IFERROR(VALUE(LEFT(M1135,FIND("-",M1135)-1)),M1135)*200&gt;97279),"Вы уменьшили цену в несколько раз, товар попадет в карантин цен",IF(IFERROR(VALUE(LEFT(M1135,FIND("-",M1135)-1)),M1135)*200&lt;=97279,"Не сохранили изменения, чтобы защитить от ошибки — новые цены меньше текущих более чем в 2 раза. Снижайте их постепенно",IF(AND(IFERROR(VALUE(I1135),0)=0,ISNUMBER(J1135),OR(J1135&lt;348,ABS(IFERROR(VALUE(LEFT(M1135,FIND("-",M1135)-1)),M1135))*100&lt;34800)),"Проверьте цену товара. Большинство товаров в выбранной категории стоят дороже 348","")))))),"")</f>
      </c>
    </row>
    <row r="1136">
      <c r="A1136" s="2" t="inlineStr">
        <is>
          <t/>
        </is>
      </c>
      <c r="B1136" s="2" t="inlineStr">
        <is>
          <t>Ножи столовые</t>
        </is>
      </c>
      <c r="C1136" s="2">
        <v>765989806</v>
      </c>
      <c r="D1136" s="2" t="inlineStr">
        <is>
          <t>36639</t>
        </is>
      </c>
      <c r="E1136" s="2" t="inlineStr">
        <is>
          <t>2048429345492</t>
        </is>
      </c>
      <c r="F1136" s="2">
        <v>10</v>
      </c>
      <c r="G1136" s="2">
        <v>3</v>
      </c>
      <c r="H1136" s="2">
        <v>999</v>
      </c>
      <c r="I1136" s="2" t="inlineStr">
        <is>
          <t>3664</t>
        </is>
      </c>
      <c r="J1136" s="4"/>
      <c r="K1136" s="2">
        <v>80</v>
      </c>
      <c r="L1136" s="6"/>
      <c r="M1136" s="2" t="str">
        <f>IF(J1136="",ROUND(I1136*(1-IF(ISBLANK(L1136),K1136,L1136)/100),2),ROUND(J1136*(1-IF(ISBLANK(L1136),K1136,L1136)/100),2))</f>
      </c>
      <c r="N1136" s="7" t="str">
        <f>IF(NOT(AND(J1136="",L1136="")),IF(OR(AND(L1136&lt;&gt;"",NOT(ISNUMBER(L1136))),IFERROR(MOD(L1136,1),1)&gt;0,AND(ISNUMBER(L1136),OR(L1136&lt;0,L1136&gt;95))),"Введите целое число от 0 до 95",IF(OR(AND(J1136&lt;&gt;"",NOT(ISNUMBER(J1136))),IFERROR(MOD(J1136,1),1)&gt;0,AND(ISNUMBER(J1136),OR(J1136&lt;50,J1136&gt;20000000))),"Введите целое число от 50 до 20000000",IF(NOT(ABS(IFERROR(VALUE(LEFT(M1136,FIND("-",M1136)-1)),M1136)*100-(2500+2000000000)/2)&lt;=ABS(2500-2000000000)/2),"Цена со скидкой должна быть от 25 до 20000000",IF(AND(IFERROR(VALUE(LEFT(M1136,FIND("-",M1136)-1)),M1136)*150&lt;=73279,IFERROR(VALUE(LEFT(M1136,FIND("-",M1136)-1)),M1136)*200&gt;73279),"Вы уменьшили цену в несколько раз, товар попадет в карантин цен",IF(IFERROR(VALUE(LEFT(M1136,FIND("-",M1136)-1)),M1136)*200&lt;=73279,"Не сохранили изменения, чтобы защитить от ошибки — новые цены меньше текущих более чем в 2 раза. Снижайте их постепенно",IF(AND(IFERROR(VALUE(I1136),0)=0,ISNUMBER(J1136),OR(J1136&lt;348,ABS(IFERROR(VALUE(LEFT(M1136,FIND("-",M1136)-1)),M1136))*100&lt;34800)),"Проверьте цену товара. Большинство товаров в выбранной категории стоят дороже 348","")))))),"")</f>
      </c>
    </row>
    <row r="1137">
      <c r="A1137" s="2" t="inlineStr">
        <is>
          <t/>
        </is>
      </c>
      <c r="B1137" s="2" t="inlineStr">
        <is>
          <t>Сумки хозяйственные</t>
        </is>
      </c>
      <c r="C1137" s="2">
        <v>607797386</v>
      </c>
      <c r="D1137" s="2" t="inlineStr">
        <is>
          <t>522129</t>
        </is>
      </c>
      <c r="E1137" s="2" t="inlineStr">
        <is>
          <t>2047198412978</t>
        </is>
      </c>
      <c r="F1137" s="2">
        <v>17</v>
      </c>
      <c r="G1137" s="2">
        <v>24</v>
      </c>
      <c r="H1137" s="2">
        <v>999</v>
      </c>
      <c r="I1137" s="2" t="inlineStr">
        <is>
          <t>2804</t>
        </is>
      </c>
      <c r="J1137" s="4"/>
      <c r="K1137" s="2">
        <v>80</v>
      </c>
      <c r="L1137" s="6"/>
      <c r="M1137" s="2" t="str">
        <f>IF(J1137="",ROUND(I1137*(1-IF(ISBLANK(L1137),K1137,L1137)/100),2),ROUND(J1137*(1-IF(ISBLANK(L1137),K1137,L1137)/100),2))</f>
      </c>
      <c r="N1137" s="7" t="str">
        <f>IF(NOT(AND(J1137="",L1137="")),IF(OR(AND(L1137&lt;&gt;"",NOT(ISNUMBER(L1137))),IFERROR(MOD(L1137,1),1)&gt;0,AND(ISNUMBER(L1137),OR(L1137&lt;0,L1137&gt;95))),"Введите целое число от 0 до 95",IF(OR(AND(J1137&lt;&gt;"",NOT(ISNUMBER(J1137))),IFERROR(MOD(J1137,1),1)&gt;0,AND(ISNUMBER(J1137),OR(J1137&lt;50,J1137&gt;20000000))),"Введите целое число от 50 до 20000000",IF(NOT(ABS(IFERROR(VALUE(LEFT(M1137,FIND("-",M1137)-1)),M1137)*100-(2500+2000000000)/2)&lt;=ABS(2500-2000000000)/2),"Цена со скидкой должна быть от 25 до 20000000",IF(AND(IFERROR(VALUE(LEFT(M1137,FIND("-",M1137)-1)),M1137)*150&lt;=56079,IFERROR(VALUE(LEFT(M1137,FIND("-",M1137)-1)),M1137)*200&gt;56079),"Вы уменьшили цену в несколько раз, товар попадет в карантин цен",IF(IFERROR(VALUE(LEFT(M1137,FIND("-",M1137)-1)),M1137)*200&lt;=56079,"Не сохранили изменения, чтобы защитить от ошибки — новые цены меньше текущих более чем в 2 раза. Снижайте их постепенно",IF(AND(IFERROR(VALUE(I1137),0)=0,ISNUMBER(J1137),OR(J1137&lt;281,ABS(IFERROR(VALUE(LEFT(M1137,FIND("-",M1137)-1)),M1137))*100&lt;28100)),"Проверьте цену товара. Большинство товаров в выбранной категории стоят дороже 281","")))))),"")</f>
      </c>
    </row>
    <row r="1138">
      <c r="A1138" s="2" t="inlineStr">
        <is>
          <t/>
        </is>
      </c>
      <c r="B1138" s="2" t="inlineStr">
        <is>
          <t>Сумки хозяйственные</t>
        </is>
      </c>
      <c r="C1138" s="2">
        <v>766599147</v>
      </c>
      <c r="D1138" s="2" t="inlineStr">
        <is>
          <t>522483</t>
        </is>
      </c>
      <c r="E1138" s="2" t="inlineStr">
        <is>
          <t>2048435149824</t>
        </is>
      </c>
      <c r="F1138" s="2">
        <v>0</v>
      </c>
      <c r="G1138" s="2">
        <v>59</v>
      </c>
      <c r="H1138" s="2" t="inlineStr">
        <is>
          <t/>
        </is>
      </c>
      <c r="I1138" s="2" t="inlineStr">
        <is>
          <t>2208</t>
        </is>
      </c>
      <c r="J1138" s="4"/>
      <c r="K1138" s="2">
        <v>78</v>
      </c>
      <c r="L1138" s="6"/>
      <c r="M1138" s="2" t="str">
        <f>IF(J1138="",ROUND(I1138*(1-IF(ISBLANK(L1138),K1138,L1138)/100),2),ROUND(J1138*(1-IF(ISBLANK(L1138),K1138,L1138)/100),2))</f>
      </c>
      <c r="N1138" s="7" t="str">
        <f>IF(NOT(AND(J1138="",L1138="")),IF(OR(AND(L1138&lt;&gt;"",NOT(ISNUMBER(L1138))),IFERROR(MOD(L1138,1),1)&gt;0,AND(ISNUMBER(L1138),OR(L1138&lt;0,L1138&gt;95))),"Введите целое число от 0 до 95",IF(OR(AND(J1138&lt;&gt;"",NOT(ISNUMBER(J1138))),IFERROR(MOD(J1138,1),1)&gt;0,AND(ISNUMBER(J1138),OR(J1138&lt;50,J1138&gt;20000000))),"Введите целое число от 50 до 20000000",IF(NOT(ABS(IFERROR(VALUE(LEFT(M1138,FIND("-",M1138)-1)),M1138)*100-(2500+2000000000)/2)&lt;=ABS(2500-2000000000)/2),"Цена со скидкой должна быть от 25 до 20000000",IF(AND(IFERROR(VALUE(LEFT(M1138,FIND("-",M1138)-1)),M1138)*150&lt;=48575,IFERROR(VALUE(LEFT(M1138,FIND("-",M1138)-1)),M1138)*200&gt;48575),"Вы уменьшили цену в несколько раз, товар попадет в карантин цен",IF(IFERROR(VALUE(LEFT(M1138,FIND("-",M1138)-1)),M1138)*200&lt;=48575,"Не сохранили изменения, чтобы защитить от ошибки — новые цены меньше текущих более чем в 2 раза. Снижайте их постепенно",IF(AND(IFERROR(VALUE(I1138),0)=0,ISNUMBER(J1138),OR(J1138&lt;281,ABS(IFERROR(VALUE(LEFT(M1138,FIND("-",M1138)-1)),M1138))*100&lt;28100)),"Проверьте цену товара. Большинство товаров в выбранной категории стоят дороже 281","")))))),"")</f>
      </c>
    </row>
    <row r="1139">
      <c r="A1139" s="2" t="inlineStr">
        <is>
          <t/>
        </is>
      </c>
      <c r="B1139" s="2" t="inlineStr">
        <is>
          <t>Гели для стирки</t>
        </is>
      </c>
      <c r="C1139" s="2">
        <v>766459814</v>
      </c>
      <c r="D1139" s="2" t="inlineStr">
        <is>
          <t>710130</t>
        </is>
      </c>
      <c r="E1139" s="2" t="inlineStr">
        <is>
          <t>2048434004148</t>
        </is>
      </c>
      <c r="F1139" s="2">
        <v>0</v>
      </c>
      <c r="G1139" s="2">
        <v>0</v>
      </c>
      <c r="H1139" s="2" t="inlineStr">
        <is>
          <t/>
        </is>
      </c>
      <c r="I1139" s="2" t="inlineStr">
        <is>
          <t>4419</t>
        </is>
      </c>
      <c r="J1139" s="4"/>
      <c r="K1139" s="2">
        <v>65</v>
      </c>
      <c r="L1139" s="6"/>
      <c r="M1139" s="2" t="str">
        <f>IF(J1139="",ROUND(I1139*(1-IF(ISBLANK(L1139),K1139,L1139)/100),2),ROUND(J1139*(1-IF(ISBLANK(L1139),K1139,L1139)/100),2))</f>
      </c>
      <c r="N1139" s="7" t="str">
        <f>IF(NOT(AND(J1139="",L1139="")),IF(OR(AND(L1139&lt;&gt;"",NOT(ISNUMBER(L1139))),IFERROR(MOD(L1139,1),1)&gt;0,AND(ISNUMBER(L1139),OR(L1139&lt;0,L1139&gt;95))),"Введите целое число от 0 до 95",IF(OR(AND(J1139&lt;&gt;"",NOT(ISNUMBER(J1139))),IFERROR(MOD(J1139,1),1)&gt;0,AND(ISNUMBER(J1139),OR(J1139&lt;50,J1139&gt;20000000))),"Введите целое число от 50 до 20000000",IF(NOT(ABS(IFERROR(VALUE(LEFT(M1139,FIND("-",M1139)-1)),M1139)*100-(2500+2000000000)/2)&lt;=ABS(2500-2000000000)/2),"Цена со скидкой должна быть от 25 до 20000000",IF(AND(IFERROR(VALUE(LEFT(M1139,FIND("-",M1139)-1)),M1139)*150&lt;=154665,IFERROR(VALUE(LEFT(M1139,FIND("-",M1139)-1)),M1139)*200&gt;154665),"Вы уменьшили цену в несколько раз, товар попадет в карантин цен",IF(IFERROR(VALUE(LEFT(M1139,FIND("-",M1139)-1)),M1139)*200&lt;=154665,"Не сохранили изменения, чтобы защитить от ошибки — новые цены меньше текущих более чем в 2 раза. Снижайте их постепенно",IF(AND(IFERROR(VALUE(I1139),0)=0,ISNUMBER(J1139),OR(J1139&lt;342,ABS(IFERROR(VALUE(LEFT(M1139,FIND("-",M1139)-1)),M1139))*100&lt;34200)),"Проверьте цену товара. Большинство товаров в выбранной категории стоят дороже 342","")))))),"")</f>
      </c>
    </row>
    <row r="1140">
      <c r="A1140" s="2" t="inlineStr">
        <is>
          <t/>
        </is>
      </c>
      <c r="B1140" s="2" t="inlineStr">
        <is>
          <t>Тросы и ленты для авто</t>
        </is>
      </c>
      <c r="C1140" s="2">
        <v>766452882</v>
      </c>
      <c r="D1140" s="2" t="inlineStr">
        <is>
          <t>891279</t>
        </is>
      </c>
      <c r="E1140" s="2" t="inlineStr">
        <is>
          <t>2048433960254</t>
        </is>
      </c>
      <c r="F1140" s="2" t="inlineStr">
        <is>
          <t/>
        </is>
      </c>
      <c r="G1140" s="2" t="inlineStr">
        <is>
          <t/>
        </is>
      </c>
      <c r="H1140" s="2" t="inlineStr">
        <is>
          <t/>
        </is>
      </c>
      <c r="I1140" s="2" t="inlineStr">
        <is>
          <t>13111</t>
        </is>
      </c>
      <c r="J1140" s="4"/>
      <c r="K1140" s="2">
        <v>65</v>
      </c>
      <c r="L1140" s="6"/>
      <c r="M1140" s="2" t="str">
        <f>IF(J1140="",ROUND(I1140*(1-IF(ISBLANK(L1140),K1140,L1140)/100),2),ROUND(J1140*(1-IF(ISBLANK(L1140),K1140,L1140)/100),2))</f>
      </c>
      <c r="N1140" s="7" t="str">
        <f>IF(NOT(AND(J1140="",L1140="")),IF(OR(AND(L1140&lt;&gt;"",NOT(ISNUMBER(L1140))),IFERROR(MOD(L1140,1),1)&gt;0,AND(ISNUMBER(L1140),OR(L1140&lt;0,L1140&gt;95))),"Введите целое число от 0 до 95",IF(OR(AND(J1140&lt;&gt;"",NOT(ISNUMBER(J1140))),IFERROR(MOD(J1140,1),1)&gt;0,AND(ISNUMBER(J1140),OR(J1140&lt;50,J1140&gt;20000000))),"Введите целое число от 50 до 20000000",IF(NOT(ABS(IFERROR(VALUE(LEFT(M1140,FIND("-",M1140)-1)),M1140)*100-(2500+2000000000)/2)&lt;=ABS(2500-2000000000)/2),"Цена со скидкой должна быть от 25 до 20000000",IF(AND(IFERROR(VALUE(LEFT(M1140,FIND("-",M1140)-1)),M1140)*150&lt;=458884,IFERROR(VALUE(LEFT(M1140,FIND("-",M1140)-1)),M1140)*200&gt;458884),"Вы уменьшили цену в несколько раз, товар попадет в карантин цен",IF(IFERROR(VALUE(LEFT(M1140,FIND("-",M1140)-1)),M1140)*200&lt;=458884,"Не сохранили изменения, чтобы защитить от ошибки — новые цены меньше текущих более чем в 2 раза. Снижайте их постепенно",IF(AND(IFERROR(VALUE(I1140),0)=0,ISNUMBER(J1140),OR(J1140&lt;284,ABS(IFERROR(VALUE(LEFT(M1140,FIND("-",M1140)-1)),M1140))*100&lt;28400)),"Проверьте цену товара. Большинство товаров в выбранной категории стоят дороже 284","")))))),"")</f>
      </c>
    </row>
    <row r="1141">
      <c r="A1141" s="2" t="inlineStr">
        <is>
          <t/>
        </is>
      </c>
      <c r="B1141" s="2" t="inlineStr">
        <is>
          <t>Сумки хозяйственные</t>
        </is>
      </c>
      <c r="C1141" s="2">
        <v>607797381</v>
      </c>
      <c r="D1141" s="2" t="inlineStr">
        <is>
          <t>521520</t>
        </is>
      </c>
      <c r="E1141" s="2" t="inlineStr">
        <is>
          <t>2047198412909</t>
        </is>
      </c>
      <c r="F1141" s="2">
        <v>0</v>
      </c>
      <c r="G1141" s="2">
        <v>0</v>
      </c>
      <c r="H1141" s="2" t="inlineStr">
        <is>
          <t/>
        </is>
      </c>
      <c r="I1141" s="2" t="inlineStr">
        <is>
          <t>1980</t>
        </is>
      </c>
      <c r="J1141" s="4"/>
      <c r="K1141" s="2">
        <v>65</v>
      </c>
      <c r="L1141" s="6"/>
      <c r="M1141" s="2" t="str">
        <f>IF(J1141="",ROUND(I1141*(1-IF(ISBLANK(L1141),K1141,L1141)/100),2),ROUND(J1141*(1-IF(ISBLANK(L1141),K1141,L1141)/100),2))</f>
      </c>
      <c r="N1141" s="7" t="str">
        <f>IF(NOT(AND(J1141="",L1141="")),IF(OR(AND(L1141&lt;&gt;"",NOT(ISNUMBER(L1141))),IFERROR(MOD(L1141,1),1)&gt;0,AND(ISNUMBER(L1141),OR(L1141&lt;0,L1141&gt;95))),"Введите целое число от 0 до 95",IF(OR(AND(J1141&lt;&gt;"",NOT(ISNUMBER(J1141))),IFERROR(MOD(J1141,1),1)&gt;0,AND(ISNUMBER(J1141),OR(J1141&lt;50,J1141&gt;20000000))),"Введите целое число от 50 до 20000000",IF(NOT(ABS(IFERROR(VALUE(LEFT(M1141,FIND("-",M1141)-1)),M1141)*100-(2500+2000000000)/2)&lt;=ABS(2500-2000000000)/2),"Цена со скидкой должна быть от 25 до 20000000",IF(AND(IFERROR(VALUE(LEFT(M1141,FIND("-",M1141)-1)),M1141)*150&lt;=69300,IFERROR(VALUE(LEFT(M1141,FIND("-",M1141)-1)),M1141)*200&gt;69300),"Вы уменьшили цену в несколько раз, товар попадет в карантин цен",IF(IFERROR(VALUE(LEFT(M1141,FIND("-",M1141)-1)),M1141)*200&lt;=69300,"Не сохранили изменения, чтобы защитить от ошибки — новые цены меньше текущих более чем в 2 раза. Снижайте их постепенно",IF(AND(IFERROR(VALUE(I1141),0)=0,ISNUMBER(J1141),OR(J1141&lt;281,ABS(IFERROR(VALUE(LEFT(M1141,FIND("-",M1141)-1)),M1141))*100&lt;28100)),"Проверьте цену товара. Большинство товаров в выбранной категории стоят дороже 281","")))))),"")</f>
      </c>
    </row>
    <row r="1142">
      <c r="A1142" s="2" t="inlineStr">
        <is>
          <t/>
        </is>
      </c>
      <c r="B1142" s="2" t="inlineStr">
        <is>
          <t>Сумки хозяйственные</t>
        </is>
      </c>
      <c r="C1142" s="2">
        <v>607797387</v>
      </c>
      <c r="D1142" s="2" t="inlineStr">
        <is>
          <t>450715</t>
        </is>
      </c>
      <c r="E1142" s="2" t="inlineStr">
        <is>
          <t>2047198412985</t>
        </is>
      </c>
      <c r="F1142" s="2">
        <v>8</v>
      </c>
      <c r="G1142" s="2">
        <v>0</v>
      </c>
      <c r="H1142" s="2">
        <v>999</v>
      </c>
      <c r="I1142" s="2" t="inlineStr">
        <is>
          <t>5228</t>
        </is>
      </c>
      <c r="J1142" s="4"/>
      <c r="K1142" s="2">
        <v>79</v>
      </c>
      <c r="L1142" s="6"/>
      <c r="M1142" s="2" t="str">
        <f>IF(J1142="",ROUND(I1142*(1-IF(ISBLANK(L1142),K1142,L1142)/100),2),ROUND(J1142*(1-IF(ISBLANK(L1142),K1142,L1142)/100),2))</f>
      </c>
      <c r="N1142" s="7" t="str">
        <f>IF(NOT(AND(J1142="",L1142="")),IF(OR(AND(L1142&lt;&gt;"",NOT(ISNUMBER(L1142))),IFERROR(MOD(L1142,1),1)&gt;0,AND(ISNUMBER(L1142),OR(L1142&lt;0,L1142&gt;95))),"Введите целое число от 0 до 95",IF(OR(AND(J1142&lt;&gt;"",NOT(ISNUMBER(J1142))),IFERROR(MOD(J1142,1),1)&gt;0,AND(ISNUMBER(J1142),OR(J1142&lt;50,J1142&gt;20000000))),"Введите целое число от 50 до 20000000",IF(NOT(ABS(IFERROR(VALUE(LEFT(M1142,FIND("-",M1142)-1)),M1142)*100-(2500+2000000000)/2)&lt;=ABS(2500-2000000000)/2),"Цена со скидкой должна быть от 25 до 20000000",IF(AND(IFERROR(VALUE(LEFT(M1142,FIND("-",M1142)-1)),M1142)*150&lt;=109787,IFERROR(VALUE(LEFT(M1142,FIND("-",M1142)-1)),M1142)*200&gt;109787),"Вы уменьшили цену в несколько раз, товар попадет в карантин цен",IF(IFERROR(VALUE(LEFT(M1142,FIND("-",M1142)-1)),M1142)*200&lt;=109787,"Не сохранили изменения, чтобы защитить от ошибки — новые цены меньше текущих более чем в 2 раза. Снижайте их постепенно",IF(AND(IFERROR(VALUE(I1142),0)=0,ISNUMBER(J1142),OR(J1142&lt;281,ABS(IFERROR(VALUE(LEFT(M1142,FIND("-",M1142)-1)),M1142))*100&lt;28100)),"Проверьте цену товара. Большинство товаров в выбранной категории стоят дороже 281","")))))),"")</f>
      </c>
    </row>
    <row r="1143">
      <c r="A1143" s="2" t="inlineStr">
        <is>
          <t/>
        </is>
      </c>
      <c r="B1143" s="2" t="inlineStr">
        <is>
          <t>Шторы для ванной</t>
        </is>
      </c>
      <c r="C1143" s="2">
        <v>766623315</v>
      </c>
      <c r="D1143" s="2" t="inlineStr">
        <is>
          <t>420531</t>
        </is>
      </c>
      <c r="E1143" s="2" t="inlineStr">
        <is>
          <t>2048435361929</t>
        </is>
      </c>
      <c r="F1143" s="2">
        <v>20</v>
      </c>
      <c r="G1143" s="2">
        <v>28</v>
      </c>
      <c r="H1143" s="2">
        <v>999</v>
      </c>
      <c r="I1143" s="2" t="inlineStr">
        <is>
          <t>4629</t>
        </is>
      </c>
      <c r="J1143" s="4"/>
      <c r="K1143" s="2">
        <v>81</v>
      </c>
      <c r="L1143" s="6"/>
      <c r="M1143" s="2" t="str">
        <f>IF(J1143="",ROUND(I1143*(1-IF(ISBLANK(L1143),K1143,L1143)/100),2),ROUND(J1143*(1-IF(ISBLANK(L1143),K1143,L1143)/100),2))</f>
      </c>
      <c r="N1143" s="7" t="str">
        <f>IF(NOT(AND(J1143="",L1143="")),IF(OR(AND(L1143&lt;&gt;"",NOT(ISNUMBER(L1143))),IFERROR(MOD(L1143,1),1)&gt;0,AND(ISNUMBER(L1143),OR(L1143&lt;0,L1143&gt;95))),"Введите целое число от 0 до 95",IF(OR(AND(J1143&lt;&gt;"",NOT(ISNUMBER(J1143))),IFERROR(MOD(J1143,1),1)&gt;0,AND(ISNUMBER(J1143),OR(J1143&lt;50,J1143&gt;20000000))),"Введите целое число от 50 до 20000000",IF(NOT(ABS(IFERROR(VALUE(LEFT(M1143,FIND("-",M1143)-1)),M1143)*100-(2500+2000000000)/2)&lt;=ABS(2500-2000000000)/2),"Цена со скидкой должна быть от 25 до 20000000",IF(AND(IFERROR(VALUE(LEFT(M1143,FIND("-",M1143)-1)),M1143)*150&lt;=87950,IFERROR(VALUE(LEFT(M1143,FIND("-",M1143)-1)),M1143)*200&gt;87950),"Вы уменьшили цену в несколько раз, товар попадет в карантин цен",IF(IFERROR(VALUE(LEFT(M1143,FIND("-",M1143)-1)),M1143)*200&lt;=87950,"Не сохранили изменения, чтобы защитить от ошибки — новые цены меньше текущих более чем в 2 раза. Снижайте их постепенно",IF(AND(IFERROR(VALUE(I1143),0)=0,ISNUMBER(J1143),OR(J1143&lt;491,ABS(IFERROR(VALUE(LEFT(M1143,FIND("-",M1143)-1)),M1143))*100&lt;49100)),"Проверьте цену товара. Большинство товаров в выбранной категории стоят дороже 491","")))))),"")</f>
      </c>
    </row>
    <row r="1144">
      <c r="A1144" s="2" t="inlineStr">
        <is>
          <t/>
        </is>
      </c>
      <c r="B1144" s="2" t="inlineStr">
        <is>
          <t>Сумки хозяйственные</t>
        </is>
      </c>
      <c r="C1144" s="2">
        <v>766599148</v>
      </c>
      <c r="D1144" s="2" t="inlineStr">
        <is>
          <t>521142</t>
        </is>
      </c>
      <c r="E1144" s="2" t="inlineStr">
        <is>
          <t>2048435205179</t>
        </is>
      </c>
      <c r="F1144" s="2">
        <v>14</v>
      </c>
      <c r="G1144" s="2">
        <v>6</v>
      </c>
      <c r="H1144" s="2">
        <v>999</v>
      </c>
      <c r="I1144" s="2" t="inlineStr">
        <is>
          <t>4556</t>
        </is>
      </c>
      <c r="J1144" s="4"/>
      <c r="K1144" s="2">
        <v>81</v>
      </c>
      <c r="L1144" s="6"/>
      <c r="M1144" s="2" t="str">
        <f>IF(J1144="",ROUND(I1144*(1-IF(ISBLANK(L1144),K1144,L1144)/100),2),ROUND(J1144*(1-IF(ISBLANK(L1144),K1144,L1144)/100),2))</f>
      </c>
      <c r="N1144" s="7" t="str">
        <f>IF(NOT(AND(J1144="",L1144="")),IF(OR(AND(L1144&lt;&gt;"",NOT(ISNUMBER(L1144))),IFERROR(MOD(L1144,1),1)&gt;0,AND(ISNUMBER(L1144),OR(L1144&lt;0,L1144&gt;95))),"Введите целое число от 0 до 95",IF(OR(AND(J1144&lt;&gt;"",NOT(ISNUMBER(J1144))),IFERROR(MOD(J1144,1),1)&gt;0,AND(ISNUMBER(J1144),OR(J1144&lt;50,J1144&gt;20000000))),"Введите целое число от 50 до 20000000",IF(NOT(ABS(IFERROR(VALUE(LEFT(M1144,FIND("-",M1144)-1)),M1144)*100-(2500+2000000000)/2)&lt;=ABS(2500-2000000000)/2),"Цена со скидкой должна быть от 25 до 20000000",IF(AND(IFERROR(VALUE(LEFT(M1144,FIND("-",M1144)-1)),M1144)*150&lt;=86563,IFERROR(VALUE(LEFT(M1144,FIND("-",M1144)-1)),M1144)*200&gt;86563),"Вы уменьшили цену в несколько раз, товар попадет в карантин цен",IF(IFERROR(VALUE(LEFT(M1144,FIND("-",M1144)-1)),M1144)*200&lt;=86563,"Не сохранили изменения, чтобы защитить от ошибки — новые цены меньше текущих более чем в 2 раза. Снижайте их постепенно",IF(AND(IFERROR(VALUE(I1144),0)=0,ISNUMBER(J1144),OR(J1144&lt;281,ABS(IFERROR(VALUE(LEFT(M1144,FIND("-",M1144)-1)),M1144))*100&lt;28100)),"Проверьте цену товара. Большинство товаров в выбранной категории стоят дороже 281","")))))),"")</f>
      </c>
    </row>
    <row r="1145">
      <c r="A1145" s="2" t="inlineStr">
        <is>
          <t/>
        </is>
      </c>
      <c r="B1145" s="2" t="inlineStr">
        <is>
          <t>Шторы для ванной</t>
        </is>
      </c>
      <c r="C1145" s="2">
        <v>766623317</v>
      </c>
      <c r="D1145" s="2" t="inlineStr">
        <is>
          <t>420527</t>
        </is>
      </c>
      <c r="E1145" s="2" t="inlineStr">
        <is>
          <t>2048435361950</t>
        </is>
      </c>
      <c r="F1145" s="2">
        <v>2</v>
      </c>
      <c r="G1145" s="2">
        <v>53</v>
      </c>
      <c r="H1145" s="2">
        <v>999</v>
      </c>
      <c r="I1145" s="2" t="inlineStr">
        <is>
          <t>5228</t>
        </is>
      </c>
      <c r="J1145" s="4"/>
      <c r="K1145" s="2">
        <v>81</v>
      </c>
      <c r="L1145" s="6"/>
      <c r="M1145" s="2" t="str">
        <f>IF(J1145="",ROUND(I1145*(1-IF(ISBLANK(L1145),K1145,L1145)/100),2),ROUND(J1145*(1-IF(ISBLANK(L1145),K1145,L1145)/100),2))</f>
      </c>
      <c r="N1145" s="7" t="str">
        <f>IF(NOT(AND(J1145="",L1145="")),IF(OR(AND(L1145&lt;&gt;"",NOT(ISNUMBER(L1145))),IFERROR(MOD(L1145,1),1)&gt;0,AND(ISNUMBER(L1145),OR(L1145&lt;0,L1145&gt;95))),"Введите целое число от 0 до 95",IF(OR(AND(J1145&lt;&gt;"",NOT(ISNUMBER(J1145))),IFERROR(MOD(J1145,1),1)&gt;0,AND(ISNUMBER(J1145),OR(J1145&lt;50,J1145&gt;20000000))),"Введите целое число от 50 до 20000000",IF(NOT(ABS(IFERROR(VALUE(LEFT(M1145,FIND("-",M1145)-1)),M1145)*100-(2500+2000000000)/2)&lt;=ABS(2500-2000000000)/2),"Цена со скидкой должна быть от 25 до 20000000",IF(AND(IFERROR(VALUE(LEFT(M1145,FIND("-",M1145)-1)),M1145)*150&lt;=99331,IFERROR(VALUE(LEFT(M1145,FIND("-",M1145)-1)),M1145)*200&gt;99331),"Вы уменьшили цену в несколько раз, товар попадет в карантин цен",IF(IFERROR(VALUE(LEFT(M1145,FIND("-",M1145)-1)),M1145)*200&lt;=99331,"Не сохранили изменения, чтобы защитить от ошибки — новые цены меньше текущих более чем в 2 раза. Снижайте их постепенно",IF(AND(IFERROR(VALUE(I1145),0)=0,ISNUMBER(J1145),OR(J1145&lt;491,ABS(IFERROR(VALUE(LEFT(M1145,FIND("-",M1145)-1)),M1145))*100&lt;49100)),"Проверьте цену товара. Большинство товаров в выбранной категории стоят дороже 491","")))))),"")</f>
      </c>
    </row>
    <row r="1146">
      <c r="A1146" s="2" t="inlineStr">
        <is>
          <t/>
        </is>
      </c>
      <c r="B1146" s="2" t="inlineStr">
        <is>
          <t>Перчатки хозяйственные</t>
        </is>
      </c>
      <c r="C1146" s="2">
        <v>618362527</v>
      </c>
      <c r="D1146" s="2" t="inlineStr">
        <is>
          <t>790785</t>
        </is>
      </c>
      <c r="E1146" s="2" t="inlineStr">
        <is>
          <t>2047308267245</t>
        </is>
      </c>
      <c r="F1146" s="2">
        <v>0</v>
      </c>
      <c r="G1146" s="2">
        <v>0</v>
      </c>
      <c r="H1146" s="2" t="inlineStr">
        <is>
          <t/>
        </is>
      </c>
      <c r="I1146" s="2" t="inlineStr">
        <is>
          <t>4333</t>
        </is>
      </c>
      <c r="J1146" s="4"/>
      <c r="K1146" s="2">
        <v>65</v>
      </c>
      <c r="L1146" s="6"/>
      <c r="M1146" s="2" t="str">
        <f>IF(J1146="",ROUND(I1146*(1-IF(ISBLANK(L1146),K1146,L1146)/100),2),ROUND(J1146*(1-IF(ISBLANK(L1146),K1146,L1146)/100),2))</f>
      </c>
      <c r="N1146" s="7" t="str">
        <f>IF(NOT(AND(J1146="",L1146="")),IF(OR(AND(L1146&lt;&gt;"",NOT(ISNUMBER(L1146))),IFERROR(MOD(L1146,1),1)&gt;0,AND(ISNUMBER(L1146),OR(L1146&lt;0,L1146&gt;95))),"Введите целое число от 0 до 95",IF(OR(AND(J1146&lt;&gt;"",NOT(ISNUMBER(J1146))),IFERROR(MOD(J1146,1),1)&gt;0,AND(ISNUMBER(J1146),OR(J1146&lt;50,J1146&gt;20000000))),"Введите целое число от 50 до 20000000",IF(NOT(ABS(IFERROR(VALUE(LEFT(M1146,FIND("-",M1146)-1)),M1146)*100-(2500+2000000000)/2)&lt;=ABS(2500-2000000000)/2),"Цена со скидкой должна быть от 25 до 20000000",IF(AND(IFERROR(VALUE(LEFT(M1146,FIND("-",M1146)-1)),M1146)*150&lt;=151655,IFERROR(VALUE(LEFT(M1146,FIND("-",M1146)-1)),M1146)*200&gt;151655),"Вы уменьшили цену в несколько раз, товар попадет в карантин цен",IF(IFERROR(VALUE(LEFT(M1146,FIND("-",M1146)-1)),M1146)*200&lt;=151655,"Не сохранили изменения, чтобы защитить от ошибки — новые цены меньше текущих более чем в 2 раза. Снижайте их постепенно",IF(AND(IFERROR(VALUE(I1146),0)=0,ISNUMBER(J1146),OR(J1146&lt;227,ABS(IFERROR(VALUE(LEFT(M1146,FIND("-",M1146)-1)),M1146))*100&lt;22700)),"Проверьте цену товара. Большинство товаров в выбранной категории стоят дороже 227","")))))),"")</f>
      </c>
    </row>
    <row r="1147">
      <c r="A1147" s="2" t="inlineStr">
        <is>
          <t/>
        </is>
      </c>
      <c r="B1147" s="2" t="inlineStr">
        <is>
          <t>Шторы для ванной</t>
        </is>
      </c>
      <c r="C1147" s="2">
        <v>766623318</v>
      </c>
      <c r="D1147" s="2" t="inlineStr">
        <is>
          <t>420510</t>
        </is>
      </c>
      <c r="E1147" s="2" t="inlineStr">
        <is>
          <t>2048435361967</t>
        </is>
      </c>
      <c r="F1147" s="2">
        <v>13</v>
      </c>
      <c r="G1147" s="2">
        <v>0</v>
      </c>
      <c r="H1147" s="2">
        <v>999</v>
      </c>
      <c r="I1147" s="2" t="inlineStr">
        <is>
          <t>4737</t>
        </is>
      </c>
      <c r="J1147" s="4"/>
      <c r="K1147" s="2">
        <v>84</v>
      </c>
      <c r="L1147" s="6"/>
      <c r="M1147" s="2" t="str">
        <f>IF(J1147="",ROUND(I1147*(1-IF(ISBLANK(L1147),K1147,L1147)/100),2),ROUND(J1147*(1-IF(ISBLANK(L1147),K1147,L1147)/100),2))</f>
      </c>
      <c r="N1147" s="7" t="str">
        <f>IF(NOT(AND(J1147="",L1147="")),IF(OR(AND(L1147&lt;&gt;"",NOT(ISNUMBER(L1147))),IFERROR(MOD(L1147,1),1)&gt;0,AND(ISNUMBER(L1147),OR(L1147&lt;0,L1147&gt;95))),"Введите целое число от 0 до 95",IF(OR(AND(J1147&lt;&gt;"",NOT(ISNUMBER(J1147))),IFERROR(MOD(J1147,1),1)&gt;0,AND(ISNUMBER(J1147),OR(J1147&lt;50,J1147&gt;20000000))),"Введите целое число от 50 до 20000000",IF(NOT(ABS(IFERROR(VALUE(LEFT(M1147,FIND("-",M1147)-1)),M1147)*100-(2500+2000000000)/2)&lt;=ABS(2500-2000000000)/2),"Цена со скидкой должна быть от 25 до 20000000",IF(AND(IFERROR(VALUE(LEFT(M1147,FIND("-",M1147)-1)),M1147)*150&lt;=75792,IFERROR(VALUE(LEFT(M1147,FIND("-",M1147)-1)),M1147)*200&gt;75792),"Вы уменьшили цену в несколько раз, товар попадет в карантин цен",IF(IFERROR(VALUE(LEFT(M1147,FIND("-",M1147)-1)),M1147)*200&lt;=75792,"Не сохранили изменения, чтобы защитить от ошибки — новые цены меньше текущих более чем в 2 раза. Снижайте их постепенно",IF(AND(IFERROR(VALUE(I1147),0)=0,ISNUMBER(J1147),OR(J1147&lt;491,ABS(IFERROR(VALUE(LEFT(M1147,FIND("-",M1147)-1)),M1147))*100&lt;49100)),"Проверьте цену товара. Большинство товаров в выбранной категории стоят дороже 491","")))))),"")</f>
      </c>
    </row>
    <row r="1148">
      <c r="A1148" s="2" t="inlineStr">
        <is>
          <t/>
        </is>
      </c>
      <c r="B1148" s="2" t="inlineStr">
        <is>
          <t>Сумки хозяйственные</t>
        </is>
      </c>
      <c r="C1148" s="2">
        <v>766599149</v>
      </c>
      <c r="D1148" s="2" t="inlineStr">
        <is>
          <t>521143</t>
        </is>
      </c>
      <c r="E1148" s="2" t="inlineStr">
        <is>
          <t>2048435205186</t>
        </is>
      </c>
      <c r="F1148" s="2">
        <v>7</v>
      </c>
      <c r="G1148" s="2">
        <v>38</v>
      </c>
      <c r="H1148" s="2">
        <v>214</v>
      </c>
      <c r="I1148" s="2" t="inlineStr">
        <is>
          <t>4640</t>
        </is>
      </c>
      <c r="J1148" s="4"/>
      <c r="K1148" s="2">
        <v>80</v>
      </c>
      <c r="L1148" s="6"/>
      <c r="M1148" s="2" t="str">
        <f>IF(J1148="",ROUND(I1148*(1-IF(ISBLANK(L1148),K1148,L1148)/100),2),ROUND(J1148*(1-IF(ISBLANK(L1148),K1148,L1148)/100),2))</f>
      </c>
      <c r="N1148" s="7" t="str">
        <f>IF(NOT(AND(J1148="",L1148="")),IF(OR(AND(L1148&lt;&gt;"",NOT(ISNUMBER(L1148))),IFERROR(MOD(L1148,1),1)&gt;0,AND(ISNUMBER(L1148),OR(L1148&lt;0,L1148&gt;95))),"Введите целое число от 0 до 95",IF(OR(AND(J1148&lt;&gt;"",NOT(ISNUMBER(J1148))),IFERROR(MOD(J1148,1),1)&gt;0,AND(ISNUMBER(J1148),OR(J1148&lt;50,J1148&gt;20000000))),"Введите целое число от 50 до 20000000",IF(NOT(ABS(IFERROR(VALUE(LEFT(M1148,FIND("-",M1148)-1)),M1148)*100-(2500+2000000000)/2)&lt;=ABS(2500-2000000000)/2),"Цена со скидкой должна быть от 25 до 20000000",IF(AND(IFERROR(VALUE(LEFT(M1148,FIND("-",M1148)-1)),M1148)*150&lt;=92799,IFERROR(VALUE(LEFT(M1148,FIND("-",M1148)-1)),M1148)*200&gt;92799),"Вы уменьшили цену в несколько раз, товар попадет в карантин цен",IF(IFERROR(VALUE(LEFT(M1148,FIND("-",M1148)-1)),M1148)*200&lt;=92799,"Не сохранили изменения, чтобы защитить от ошибки — новые цены меньше текущих более чем в 2 раза. Снижайте их постепенно",IF(AND(IFERROR(VALUE(I1148),0)=0,ISNUMBER(J1148),OR(J1148&lt;281,ABS(IFERROR(VALUE(LEFT(M1148,FIND("-",M1148)-1)),M1148))*100&lt;28100)),"Проверьте цену товара. Большинство товаров в выбранной категории стоят дороже 281","")))))),"")</f>
      </c>
    </row>
    <row r="1149">
      <c r="A1149" s="2" t="inlineStr">
        <is>
          <t/>
        </is>
      </c>
      <c r="B1149" s="2" t="inlineStr">
        <is>
          <t>Перчатки хозяйственные</t>
        </is>
      </c>
      <c r="C1149" s="2">
        <v>766637056</v>
      </c>
      <c r="D1149" s="2" t="inlineStr">
        <is>
          <t>790796</t>
        </is>
      </c>
      <c r="E1149" s="2" t="inlineStr">
        <is>
          <t>2048435424297</t>
        </is>
      </c>
      <c r="F1149" s="2">
        <v>15</v>
      </c>
      <c r="G1149" s="2">
        <v>0</v>
      </c>
      <c r="H1149" s="2">
        <v>999</v>
      </c>
      <c r="I1149" s="2" t="inlineStr">
        <is>
          <t>4448</t>
        </is>
      </c>
      <c r="J1149" s="4"/>
      <c r="K1149" s="2">
        <v>81</v>
      </c>
      <c r="L1149" s="6"/>
      <c r="M1149" s="2" t="str">
        <f>IF(J1149="",ROUND(I1149*(1-IF(ISBLANK(L1149),K1149,L1149)/100),2),ROUND(J1149*(1-IF(ISBLANK(L1149),K1149,L1149)/100),2))</f>
      </c>
      <c r="N1149" s="7" t="str">
        <f>IF(NOT(AND(J1149="",L1149="")),IF(OR(AND(L1149&lt;&gt;"",NOT(ISNUMBER(L1149))),IFERROR(MOD(L1149,1),1)&gt;0,AND(ISNUMBER(L1149),OR(L1149&lt;0,L1149&gt;95))),"Введите целое число от 0 до 95",IF(OR(AND(J1149&lt;&gt;"",NOT(ISNUMBER(J1149))),IFERROR(MOD(J1149,1),1)&gt;0,AND(ISNUMBER(J1149),OR(J1149&lt;50,J1149&gt;20000000))),"Введите целое число от 50 до 20000000",IF(NOT(ABS(IFERROR(VALUE(LEFT(M1149,FIND("-",M1149)-1)),M1149)*100-(2500+2000000000)/2)&lt;=ABS(2500-2000000000)/2),"Цена со скидкой должна быть от 25 до 20000000",IF(AND(IFERROR(VALUE(LEFT(M1149,FIND("-",M1149)-1)),M1149)*150&lt;=84511,IFERROR(VALUE(LEFT(M1149,FIND("-",M1149)-1)),M1149)*200&gt;84511),"Вы уменьшили цену в несколько раз, товар попадет в карантин цен",IF(IFERROR(VALUE(LEFT(M1149,FIND("-",M1149)-1)),M1149)*200&lt;=84511,"Не сохранили изменения, чтобы защитить от ошибки — новые цены меньше текущих более чем в 2 раза. Снижайте их постепенно",IF(AND(IFERROR(VALUE(I1149),0)=0,ISNUMBER(J1149),OR(J1149&lt;227,ABS(IFERROR(VALUE(LEFT(M1149,FIND("-",M1149)-1)),M1149))*100&lt;22700)),"Проверьте цену товара. Большинство товаров в выбранной категории стоят дороже 227","")))))),"")</f>
      </c>
    </row>
    <row r="1150">
      <c r="A1150" s="2" t="inlineStr">
        <is>
          <t>Veloria</t>
        </is>
      </c>
      <c r="B1150" s="2" t="inlineStr">
        <is>
          <t>Скатерти</t>
        </is>
      </c>
      <c r="C1150" s="2">
        <v>727195902</v>
      </c>
      <c r="D1150" s="2" t="inlineStr">
        <is>
          <t>434804</t>
        </is>
      </c>
      <c r="E1150" s="2" t="inlineStr">
        <is>
          <t>2048060785817</t>
        </is>
      </c>
      <c r="F1150" s="2">
        <v>0</v>
      </c>
      <c r="G1150" s="2">
        <v>0</v>
      </c>
      <c r="H1150" s="2" t="inlineStr">
        <is>
          <t/>
        </is>
      </c>
      <c r="I1150" s="2" t="inlineStr">
        <is>
          <t>6032</t>
        </is>
      </c>
      <c r="J1150" s="4"/>
      <c r="K1150" s="2">
        <v>78</v>
      </c>
      <c r="L1150" s="6"/>
      <c r="M1150" s="2" t="str">
        <f>IF(J1150="",ROUND(I1150*(1-IF(ISBLANK(L1150),K1150,L1150)/100),2),ROUND(J1150*(1-IF(ISBLANK(L1150),K1150,L1150)/100),2))</f>
      </c>
      <c r="N1150" s="7" t="str">
        <f>IF(NOT(AND(J1150="",L1150="")),IF(OR(AND(L1150&lt;&gt;"",NOT(ISNUMBER(L1150))),IFERROR(MOD(L1150,1),1)&gt;0,AND(ISNUMBER(L1150),OR(L1150&lt;0,L1150&gt;95))),"Введите целое число от 0 до 95",IF(OR(AND(J1150&lt;&gt;"",NOT(ISNUMBER(J1150))),IFERROR(MOD(J1150,1),1)&gt;0,AND(ISNUMBER(J1150),OR(J1150&lt;50,J1150&gt;20000000))),"Введите целое число от 50 до 20000000",IF(NOT(ABS(IFERROR(VALUE(LEFT(M1150,FIND("-",M1150)-1)),M1150)*100-(2500+2000000000)/2)&lt;=ABS(2500-2000000000)/2),"Цена со скидкой должна быть от 25 до 20000000",IF(AND(IFERROR(VALUE(LEFT(M1150,FIND("-",M1150)-1)),M1150)*150&lt;=132703,IFERROR(VALUE(LEFT(M1150,FIND("-",M1150)-1)),M1150)*200&gt;132703),"Вы уменьшили цену в несколько раз, товар попадет в карантин цен",IF(IFERROR(VALUE(LEFT(M1150,FIND("-",M1150)-1)),M1150)*200&lt;=132703,"Не сохранили изменения, чтобы защитить от ошибки — новые цены меньше текущих более чем в 2 раза. Снижайте их постепенно",IF(AND(IFERROR(VALUE(I1150),0)=0,ISNUMBER(J1150),OR(J1150&lt;385,ABS(IFERROR(VALUE(LEFT(M1150,FIND("-",M1150)-1)),M1150))*100&lt;38500)),"Проверьте цену товара. Большинство товаров в выбранной категории стоят дороже 385","")))))),"")</f>
      </c>
    </row>
    <row r="1151">
      <c r="A1151" s="2" t="inlineStr">
        <is>
          <t>Veloria</t>
        </is>
      </c>
      <c r="B1151" s="2" t="inlineStr">
        <is>
          <t>Скатерти</t>
        </is>
      </c>
      <c r="C1151" s="2">
        <v>727195879</v>
      </c>
      <c r="D1151" s="2" t="inlineStr">
        <is>
          <t>454170</t>
        </is>
      </c>
      <c r="E1151" s="2" t="inlineStr">
        <is>
          <t>2414433059425</t>
        </is>
      </c>
      <c r="F1151" s="2">
        <v>3</v>
      </c>
      <c r="G1151" s="2">
        <v>0</v>
      </c>
      <c r="H1151" s="2">
        <v>999</v>
      </c>
      <c r="I1151" s="2" t="inlineStr">
        <is>
          <t>4316</t>
        </is>
      </c>
      <c r="J1151" s="4"/>
      <c r="K1151" s="2">
        <v>80</v>
      </c>
      <c r="L1151" s="6"/>
      <c r="M1151" s="2" t="str">
        <f>IF(J1151="",ROUND(I1151*(1-IF(ISBLANK(L1151),K1151,L1151)/100),2),ROUND(J1151*(1-IF(ISBLANK(L1151),K1151,L1151)/100),2))</f>
      </c>
      <c r="N1151" s="7" t="str">
        <f>IF(NOT(AND(J1151="",L1151="")),IF(OR(AND(L1151&lt;&gt;"",NOT(ISNUMBER(L1151))),IFERROR(MOD(L1151,1),1)&gt;0,AND(ISNUMBER(L1151),OR(L1151&lt;0,L1151&gt;95))),"Введите целое число от 0 до 95",IF(OR(AND(J1151&lt;&gt;"",NOT(ISNUMBER(J1151))),IFERROR(MOD(J1151,1),1)&gt;0,AND(ISNUMBER(J1151),OR(J1151&lt;50,J1151&gt;20000000))),"Введите целое число от 50 до 20000000",IF(NOT(ABS(IFERROR(VALUE(LEFT(M1151,FIND("-",M1151)-1)),M1151)*100-(2500+2000000000)/2)&lt;=ABS(2500-2000000000)/2),"Цена со скидкой должна быть от 25 до 20000000",IF(AND(IFERROR(VALUE(LEFT(M1151,FIND("-",M1151)-1)),M1151)*150&lt;=86319,IFERROR(VALUE(LEFT(M1151,FIND("-",M1151)-1)),M1151)*200&gt;86319),"Вы уменьшили цену в несколько раз, товар попадет в карантин цен",IF(IFERROR(VALUE(LEFT(M1151,FIND("-",M1151)-1)),M1151)*200&lt;=86319,"Не сохранили изменения, чтобы защитить от ошибки — новые цены меньше текущих более чем в 2 раза. Снижайте их постепенно",IF(AND(IFERROR(VALUE(I1151),0)=0,ISNUMBER(J1151),OR(J1151&lt;385,ABS(IFERROR(VALUE(LEFT(M1151,FIND("-",M1151)-1)),M1151))*100&lt;38500)),"Проверьте цену товара. Большинство товаров в выбранной категории стоят дороже 385","")))))),"")</f>
      </c>
    </row>
    <row r="1152">
      <c r="A1152" s="2" t="inlineStr">
        <is>
          <t/>
        </is>
      </c>
      <c r="B1152" s="2" t="inlineStr">
        <is>
          <t>Швабры</t>
        </is>
      </c>
      <c r="C1152" s="2">
        <v>766661015</v>
      </c>
      <c r="D1152" s="2" t="inlineStr">
        <is>
          <t>514113</t>
        </is>
      </c>
      <c r="E1152" s="2" t="inlineStr">
        <is>
          <t>2048435646088</t>
        </is>
      </c>
      <c r="F1152" s="2">
        <v>5</v>
      </c>
      <c r="G1152" s="2">
        <v>0</v>
      </c>
      <c r="H1152" s="2">
        <v>999</v>
      </c>
      <c r="I1152" s="2" t="inlineStr">
        <is>
          <t>15682</t>
        </is>
      </c>
      <c r="J1152" s="4"/>
      <c r="K1152" s="2">
        <v>80</v>
      </c>
      <c r="L1152" s="6"/>
      <c r="M1152" s="2" t="str">
        <f>IF(J1152="",ROUND(I1152*(1-IF(ISBLANK(L1152),K1152,L1152)/100),2),ROUND(J1152*(1-IF(ISBLANK(L1152),K1152,L1152)/100),2))</f>
      </c>
      <c r="N1152" s="7" t="str">
        <f>IF(NOT(AND(J1152="",L1152="")),IF(OR(AND(L1152&lt;&gt;"",NOT(ISNUMBER(L1152))),IFERROR(MOD(L1152,1),1)&gt;0,AND(ISNUMBER(L1152),OR(L1152&lt;0,L1152&gt;95))),"Введите целое число от 0 до 95",IF(OR(AND(J1152&lt;&gt;"",NOT(ISNUMBER(J1152))),IFERROR(MOD(J1152,1),1)&gt;0,AND(ISNUMBER(J1152),OR(J1152&lt;50,J1152&gt;20000000))),"Введите целое число от 50 до 20000000",IF(NOT(ABS(IFERROR(VALUE(LEFT(M1152,FIND("-",M1152)-1)),M1152)*100-(2500+2000000000)/2)&lt;=ABS(2500-2000000000)/2),"Цена со скидкой должна быть от 25 до 20000000",IF(AND(IFERROR(VALUE(LEFT(M1152,FIND("-",M1152)-1)),M1152)*150&lt;=313639,IFERROR(VALUE(LEFT(M1152,FIND("-",M1152)-1)),M1152)*200&gt;313639),"Вы уменьшили цену в несколько раз, товар попадет в карантин цен",IF(IFERROR(VALUE(LEFT(M1152,FIND("-",M1152)-1)),M1152)*200&lt;=313639,"Не сохранили изменения, чтобы защитить от ошибки — новые цены меньше текущих более чем в 2 раза. Снижайте их постепенно",IF(AND(IFERROR(VALUE(I1152),0)=0,ISNUMBER(J1152),OR(J1152&lt;448,ABS(IFERROR(VALUE(LEFT(M1152,FIND("-",M1152)-1)),M1152))*100&lt;44800)),"Проверьте цену товара. Большинство товаров в выбранной категории стоят дороже 448","")))))),"")</f>
      </c>
    </row>
    <row r="1153">
      <c r="A1153" s="2" t="inlineStr">
        <is>
          <t/>
        </is>
      </c>
      <c r="B1153" s="2" t="inlineStr">
        <is>
          <t>Скатерти</t>
        </is>
      </c>
      <c r="C1153" s="2">
        <v>619525836</v>
      </c>
      <c r="D1153" s="2" t="inlineStr">
        <is>
          <t>431810</t>
        </is>
      </c>
      <c r="E1153" s="2" t="inlineStr">
        <is>
          <t>2047325447644</t>
        </is>
      </c>
      <c r="F1153" s="2">
        <v>0</v>
      </c>
      <c r="G1153" s="2">
        <v>0</v>
      </c>
      <c r="H1153" s="2">
        <v>1</v>
      </c>
      <c r="I1153" s="2" t="inlineStr">
        <is>
          <t>6415</t>
        </is>
      </c>
      <c r="J1153" s="4"/>
      <c r="K1153" s="2">
        <v>65</v>
      </c>
      <c r="L1153" s="6"/>
      <c r="M1153" s="2" t="str">
        <f>IF(J1153="",ROUND(I1153*(1-IF(ISBLANK(L1153),K1153,L1153)/100),2),ROUND(J1153*(1-IF(ISBLANK(L1153),K1153,L1153)/100),2))</f>
      </c>
      <c r="N1153" s="7" t="str">
        <f>IF(NOT(AND(J1153="",L1153="")),IF(OR(AND(L1153&lt;&gt;"",NOT(ISNUMBER(L1153))),IFERROR(MOD(L1153,1),1)&gt;0,AND(ISNUMBER(L1153),OR(L1153&lt;0,L1153&gt;95))),"Введите целое число от 0 до 95",IF(OR(AND(J1153&lt;&gt;"",NOT(ISNUMBER(J1153))),IFERROR(MOD(J1153,1),1)&gt;0,AND(ISNUMBER(J1153),OR(J1153&lt;50,J1153&gt;20000000))),"Введите целое число от 50 до 20000000",IF(NOT(ABS(IFERROR(VALUE(LEFT(M1153,FIND("-",M1153)-1)),M1153)*100-(2500+2000000000)/2)&lt;=ABS(2500-2000000000)/2),"Цена со скидкой должна быть от 25 до 20000000",IF(AND(IFERROR(VALUE(LEFT(M1153,FIND("-",M1153)-1)),M1153)*150&lt;=224525,IFERROR(VALUE(LEFT(M1153,FIND("-",M1153)-1)),M1153)*200&gt;224525),"Вы уменьшили цену в несколько раз, товар попадет в карантин цен",IF(IFERROR(VALUE(LEFT(M1153,FIND("-",M1153)-1)),M1153)*200&lt;=224525,"Не сохранили изменения, чтобы защитить от ошибки — новые цены меньше текущих более чем в 2 раза. Снижайте их постепенно",IF(AND(IFERROR(VALUE(I1153),0)=0,ISNUMBER(J1153),OR(J1153&lt;385,ABS(IFERROR(VALUE(LEFT(M1153,FIND("-",M1153)-1)),M1153))*100&lt;38500)),"Проверьте цену товара. Большинство товаров в выбранной категории стоят дороже 385","")))))),"")</f>
      </c>
    </row>
    <row r="1154">
      <c r="A1154" s="2" t="inlineStr">
        <is>
          <t/>
        </is>
      </c>
      <c r="B1154" s="2" t="inlineStr">
        <is>
          <t>Утюги</t>
        </is>
      </c>
      <c r="C1154" s="2">
        <v>600650803</v>
      </c>
      <c r="D1154" s="2" t="inlineStr">
        <is>
          <t>192534</t>
        </is>
      </c>
      <c r="E1154" s="2" t="inlineStr">
        <is>
          <t>2047129358900</t>
        </is>
      </c>
      <c r="F1154" s="2">
        <v>0</v>
      </c>
      <c r="G1154" s="2">
        <v>9</v>
      </c>
      <c r="H1154" s="2" t="inlineStr">
        <is>
          <t/>
        </is>
      </c>
      <c r="I1154" s="2" t="inlineStr">
        <is>
          <t>17604</t>
        </is>
      </c>
      <c r="J1154" s="4"/>
      <c r="K1154" s="2">
        <v>80</v>
      </c>
      <c r="L1154" s="6"/>
      <c r="M1154" s="2" t="str">
        <f>IF(J1154="",ROUND(I1154*(1-IF(ISBLANK(L1154),K1154,L1154)/100),2),ROUND(J1154*(1-IF(ISBLANK(L1154),K1154,L1154)/100),2))</f>
      </c>
      <c r="N1154" s="7" t="str">
        <f>IF(NOT(AND(J1154="",L1154="")),IF(OR(AND(L1154&lt;&gt;"",NOT(ISNUMBER(L1154))),IFERROR(MOD(L1154,1),1)&gt;0,AND(ISNUMBER(L1154),OR(L1154&lt;0,L1154&gt;95))),"Введите целое число от 0 до 95",IF(OR(AND(J1154&lt;&gt;"",NOT(ISNUMBER(J1154))),IFERROR(MOD(J1154,1),1)&gt;0,AND(ISNUMBER(J1154),OR(J1154&lt;50,J1154&gt;20000000))),"Введите целое число от 50 до 20000000",IF(NOT(ABS(IFERROR(VALUE(LEFT(M1154,FIND("-",M1154)-1)),M1154)*100-(2500+2000000000)/2)&lt;=ABS(2500-2000000000)/2),"Цена со скидкой должна быть от 25 до 20000000",IF(AND(IFERROR(VALUE(LEFT(M1154,FIND("-",M1154)-1)),M1154)*150&lt;=352079,IFERROR(VALUE(LEFT(M1154,FIND("-",M1154)-1)),M1154)*200&gt;352079),"Вы уменьшили цену в несколько раз, товар попадет в карантин цен",IF(IFERROR(VALUE(LEFT(M1154,FIND("-",M1154)-1)),M1154)*200&lt;=352079,"Не сохранили изменения, чтобы защитить от ошибки — новые цены меньше текущих более чем в 2 раза. Снижайте их постепенно",IF(AND(IFERROR(VALUE(I1154),0)=0,ISNUMBER(J1154),OR(J1154&lt;403,ABS(IFERROR(VALUE(LEFT(M1154,FIND("-",M1154)-1)),M1154))*100&lt;40300)),"Проверьте цену товара. Большинство товаров в выбранной категории стоят дороже 403","")))))),"")</f>
      </c>
    </row>
    <row r="1155">
      <c r="A1155" s="2" t="inlineStr">
        <is>
          <t/>
        </is>
      </c>
      <c r="B1155" s="2" t="inlineStr">
        <is>
          <t>Чайники электрические</t>
        </is>
      </c>
      <c r="C1155" s="2">
        <v>725312324</v>
      </c>
      <c r="D1155" s="2" t="inlineStr">
        <is>
          <t>19749</t>
        </is>
      </c>
      <c r="E1155" s="2" t="inlineStr">
        <is>
          <t>2048047081796</t>
        </is>
      </c>
      <c r="F1155" s="2">
        <v>0</v>
      </c>
      <c r="G1155" s="2">
        <v>44</v>
      </c>
      <c r="H1155" s="2" t="inlineStr">
        <is>
          <t/>
        </is>
      </c>
      <c r="I1155" s="2" t="inlineStr">
        <is>
          <t>10999</t>
        </is>
      </c>
      <c r="J1155" s="4"/>
      <c r="K1155" s="2">
        <v>65</v>
      </c>
      <c r="L1155" s="6"/>
      <c r="M1155" s="2" t="str">
        <f>IF(J1155="",ROUND(I1155*(1-IF(ISBLANK(L1155),K1155,L1155)/100),2),ROUND(J1155*(1-IF(ISBLANK(L1155),K1155,L1155)/100),2))</f>
      </c>
      <c r="N1155" s="7" t="str">
        <f>IF(NOT(AND(J1155="",L1155="")),IF(OR(AND(L1155&lt;&gt;"",NOT(ISNUMBER(L1155))),IFERROR(MOD(L1155,1),1)&gt;0,AND(ISNUMBER(L1155),OR(L1155&lt;0,L1155&gt;95))),"Введите целое число от 0 до 95",IF(OR(AND(J1155&lt;&gt;"",NOT(ISNUMBER(J1155))),IFERROR(MOD(J1155,1),1)&gt;0,AND(ISNUMBER(J1155),OR(J1155&lt;50,J1155&gt;20000000))),"Введите целое число от 50 до 20000000",IF(NOT(ABS(IFERROR(VALUE(LEFT(M1155,FIND("-",M1155)-1)),M1155)*100-(2500+2000000000)/2)&lt;=ABS(2500-2000000000)/2),"Цена со скидкой должна быть от 25 до 20000000",IF(AND(IFERROR(VALUE(LEFT(M1155,FIND("-",M1155)-1)),M1155)*150&lt;=384964,IFERROR(VALUE(LEFT(M1155,FIND("-",M1155)-1)),M1155)*200&gt;384964),"Вы уменьшили цену в несколько раз, товар попадет в карантин цен",IF(IFERROR(VALUE(LEFT(M1155,FIND("-",M1155)-1)),M1155)*200&lt;=384964,"Не сохранили изменения, чтобы защитить от ошибки — новые цены меньше текущих более чем в 2 раза. Снижайте их постепенно",IF(AND(IFERROR(VALUE(I1155),0)=0,ISNUMBER(J1155),OR(J1155&lt;496,ABS(IFERROR(VALUE(LEFT(M1155,FIND("-",M1155)-1)),M1155))*100&lt;49600)),"Проверьте цену товара. Большинство товаров в выбранной категории стоят дороже 496","")))))),"")</f>
      </c>
    </row>
    <row r="1156">
      <c r="A1156" s="2" t="inlineStr">
        <is>
          <t/>
        </is>
      </c>
      <c r="B1156" s="2" t="inlineStr">
        <is>
          <t>Чайники электрические</t>
        </is>
      </c>
      <c r="C1156" s="2">
        <v>603732353</v>
      </c>
      <c r="D1156" s="2" t="inlineStr">
        <is>
          <t>191408</t>
        </is>
      </c>
      <c r="E1156" s="2" t="inlineStr">
        <is>
          <t>2047147941450</t>
        </is>
      </c>
      <c r="F1156" s="2">
        <v>0</v>
      </c>
      <c r="G1156" s="2">
        <v>0</v>
      </c>
      <c r="H1156" s="2" t="inlineStr">
        <is>
          <t/>
        </is>
      </c>
      <c r="I1156" s="2" t="inlineStr">
        <is>
          <t>11438</t>
        </is>
      </c>
      <c r="J1156" s="4"/>
      <c r="K1156" s="2">
        <v>65</v>
      </c>
      <c r="L1156" s="6"/>
      <c r="M1156" s="2" t="str">
        <f>IF(J1156="",ROUND(I1156*(1-IF(ISBLANK(L1156),K1156,L1156)/100),2),ROUND(J1156*(1-IF(ISBLANK(L1156),K1156,L1156)/100),2))</f>
      </c>
      <c r="N1156" s="7" t="str">
        <f>IF(NOT(AND(J1156="",L1156="")),IF(OR(AND(L1156&lt;&gt;"",NOT(ISNUMBER(L1156))),IFERROR(MOD(L1156,1),1)&gt;0,AND(ISNUMBER(L1156),OR(L1156&lt;0,L1156&gt;95))),"Введите целое число от 0 до 95",IF(OR(AND(J1156&lt;&gt;"",NOT(ISNUMBER(J1156))),IFERROR(MOD(J1156,1),1)&gt;0,AND(ISNUMBER(J1156),OR(J1156&lt;50,J1156&gt;20000000))),"Введите целое число от 50 до 20000000",IF(NOT(ABS(IFERROR(VALUE(LEFT(M1156,FIND("-",M1156)-1)),M1156)*100-(2500+2000000000)/2)&lt;=ABS(2500-2000000000)/2),"Цена со скидкой должна быть от 25 до 20000000",IF(AND(IFERROR(VALUE(LEFT(M1156,FIND("-",M1156)-1)),M1156)*150&lt;=400330,IFERROR(VALUE(LEFT(M1156,FIND("-",M1156)-1)),M1156)*200&gt;400330),"Вы уменьшили цену в несколько раз, товар попадет в карантин цен",IF(IFERROR(VALUE(LEFT(M1156,FIND("-",M1156)-1)),M1156)*200&lt;=400330,"Не сохранили изменения, чтобы защитить от ошибки — новые цены меньше текущих более чем в 2 раза. Снижайте их постепенно",IF(AND(IFERROR(VALUE(I1156),0)=0,ISNUMBER(J1156),OR(J1156&lt;496,ABS(IFERROR(VALUE(LEFT(M1156,FIND("-",M1156)-1)),M1156))*100&lt;49600)),"Проверьте цену товара. Большинство товаров в выбранной категории стоят дороже 496","")))))),"")</f>
      </c>
    </row>
    <row r="1157">
      <c r="A1157" s="2" t="inlineStr">
        <is>
          <t/>
        </is>
      </c>
      <c r="B1157" s="2" t="inlineStr">
        <is>
          <t>Обувницы</t>
        </is>
      </c>
      <c r="C1157" s="2">
        <v>766697961</v>
      </c>
      <c r="D1157" s="2" t="inlineStr">
        <is>
          <t>456519</t>
        </is>
      </c>
      <c r="E1157" s="2" t="inlineStr">
        <is>
          <t>2048435901132</t>
        </is>
      </c>
      <c r="F1157" s="2">
        <v>1</v>
      </c>
      <c r="G1157" s="2">
        <v>1</v>
      </c>
      <c r="H1157" s="2">
        <v>999</v>
      </c>
      <c r="I1157" s="2" t="inlineStr">
        <is>
          <t>37642</t>
        </is>
      </c>
      <c r="J1157" s="4"/>
      <c r="K1157" s="2">
        <v>81</v>
      </c>
      <c r="L1157" s="6"/>
      <c r="M1157" s="2" t="str">
        <f>IF(J1157="",ROUND(I1157*(1-IF(ISBLANK(L1157),K1157,L1157)/100),2),ROUND(J1157*(1-IF(ISBLANK(L1157),K1157,L1157)/100),2))</f>
      </c>
      <c r="N1157" s="7" t="str">
        <f>IF(NOT(AND(J1157="",L1157="")),IF(OR(AND(L1157&lt;&gt;"",NOT(ISNUMBER(L1157))),IFERROR(MOD(L1157,1),1)&gt;0,AND(ISNUMBER(L1157),OR(L1157&lt;0,L1157&gt;95))),"Введите целое число от 0 до 95",IF(OR(AND(J1157&lt;&gt;"",NOT(ISNUMBER(J1157))),IFERROR(MOD(J1157,1),1)&gt;0,AND(ISNUMBER(J1157),OR(J1157&lt;50,J1157&gt;20000000))),"Введите целое число от 50 до 20000000",IF(NOT(ABS(IFERROR(VALUE(LEFT(M1157,FIND("-",M1157)-1)),M1157)*100-(2500+2000000000)/2)&lt;=ABS(2500-2000000000)/2),"Цена со скидкой должна быть от 25 до 20000000",IF(AND(IFERROR(VALUE(LEFT(M1157,FIND("-",M1157)-1)),M1157)*150&lt;=715197,IFERROR(VALUE(LEFT(M1157,FIND("-",M1157)-1)),M1157)*200&gt;715197),"Вы уменьшили цену в несколько раз, товар попадет в карантин цен",IF(IFERROR(VALUE(LEFT(M1157,FIND("-",M1157)-1)),M1157)*200&lt;=715197,"Не сохранили изменения, чтобы защитить от ошибки — новые цены меньше текущих более чем в 2 раза. Снижайте их постепенно",IF(AND(IFERROR(VALUE(I1157),0)=0,ISNUMBER(J1157),OR(J1157&lt;563,ABS(IFERROR(VALUE(LEFT(M1157,FIND("-",M1157)-1)),M1157))*100&lt;56300)),"Проверьте цену товара. Большинство товаров в выбранной категории стоят дороже 563","")))))),"")</f>
      </c>
    </row>
    <row r="1158">
      <c r="A1158" s="2" t="inlineStr">
        <is>
          <t/>
        </is>
      </c>
      <c r="B1158" s="2" t="inlineStr">
        <is>
          <t>Утюги</t>
        </is>
      </c>
      <c r="C1158" s="2">
        <v>600650811</v>
      </c>
      <c r="D1158" s="2" t="inlineStr">
        <is>
          <t>192198</t>
        </is>
      </c>
      <c r="E1158" s="2" t="inlineStr">
        <is>
          <t>2047129359051</t>
        </is>
      </c>
      <c r="F1158" s="2">
        <v>0</v>
      </c>
      <c r="G1158" s="2">
        <v>1</v>
      </c>
      <c r="H1158" s="2" t="inlineStr">
        <is>
          <t/>
        </is>
      </c>
      <c r="I1158" s="2" t="inlineStr">
        <is>
          <t>13204</t>
        </is>
      </c>
      <c r="J1158" s="4"/>
      <c r="K1158" s="2">
        <v>65</v>
      </c>
      <c r="L1158" s="6"/>
      <c r="M1158" s="2" t="str">
        <f>IF(J1158="",ROUND(I1158*(1-IF(ISBLANK(L1158),K1158,L1158)/100),2),ROUND(J1158*(1-IF(ISBLANK(L1158),K1158,L1158)/100),2))</f>
      </c>
      <c r="N1158" s="7" t="str">
        <f>IF(NOT(AND(J1158="",L1158="")),IF(OR(AND(L1158&lt;&gt;"",NOT(ISNUMBER(L1158))),IFERROR(MOD(L1158,1),1)&gt;0,AND(ISNUMBER(L1158),OR(L1158&lt;0,L1158&gt;95))),"Введите целое число от 0 до 95",IF(OR(AND(J1158&lt;&gt;"",NOT(ISNUMBER(J1158))),IFERROR(MOD(J1158,1),1)&gt;0,AND(ISNUMBER(J1158),OR(J1158&lt;50,J1158&gt;20000000))),"Введите целое число от 50 до 20000000",IF(NOT(ABS(IFERROR(VALUE(LEFT(M1158,FIND("-",M1158)-1)),M1158)*100-(2500+2000000000)/2)&lt;=ABS(2500-2000000000)/2),"Цена со скидкой должна быть от 25 до 20000000",IF(AND(IFERROR(VALUE(LEFT(M1158,FIND("-",M1158)-1)),M1158)*150&lt;=462139,IFERROR(VALUE(LEFT(M1158,FIND("-",M1158)-1)),M1158)*200&gt;462139),"Вы уменьшили цену в несколько раз, товар попадет в карантин цен",IF(IFERROR(VALUE(LEFT(M1158,FIND("-",M1158)-1)),M1158)*200&lt;=462139,"Не сохранили изменения, чтобы защитить от ошибки — новые цены меньше текущих более чем в 2 раза. Снижайте их постепенно",IF(AND(IFERROR(VALUE(I1158),0)=0,ISNUMBER(J1158),OR(J1158&lt;403,ABS(IFERROR(VALUE(LEFT(M1158,FIND("-",M1158)-1)),M1158))*100&lt;40300)),"Проверьте цену товара. Большинство товаров в выбранной категории стоят дороже 403","")))))),"")</f>
      </c>
    </row>
    <row r="1159">
      <c r="A1159" s="2" t="inlineStr">
        <is>
          <t/>
        </is>
      </c>
      <c r="B1159" s="2" t="inlineStr">
        <is>
          <t>Обувницы</t>
        </is>
      </c>
      <c r="C1159" s="2">
        <v>766697960</v>
      </c>
      <c r="D1159" s="2" t="inlineStr">
        <is>
          <t>456520</t>
        </is>
      </c>
      <c r="E1159" s="2" t="inlineStr">
        <is>
          <t>2048435870452</t>
        </is>
      </c>
      <c r="F1159" s="2">
        <v>1</v>
      </c>
      <c r="G1159" s="2">
        <v>3</v>
      </c>
      <c r="H1159" s="2">
        <v>999</v>
      </c>
      <c r="I1159" s="2" t="inlineStr">
        <is>
          <t>30311</t>
        </is>
      </c>
      <c r="J1159" s="4"/>
      <c r="K1159" s="2">
        <v>81</v>
      </c>
      <c r="L1159" s="6"/>
      <c r="M1159" s="2" t="str">
        <f>IF(J1159="",ROUND(I1159*(1-IF(ISBLANK(L1159),K1159,L1159)/100),2),ROUND(J1159*(1-IF(ISBLANK(L1159),K1159,L1159)/100),2))</f>
      </c>
      <c r="N1159" s="7" t="str">
        <f>IF(NOT(AND(J1159="",L1159="")),IF(OR(AND(L1159&lt;&gt;"",NOT(ISNUMBER(L1159))),IFERROR(MOD(L1159,1),1)&gt;0,AND(ISNUMBER(L1159),OR(L1159&lt;0,L1159&gt;95))),"Введите целое число от 0 до 95",IF(OR(AND(J1159&lt;&gt;"",NOT(ISNUMBER(J1159))),IFERROR(MOD(J1159,1),1)&gt;0,AND(ISNUMBER(J1159),OR(J1159&lt;50,J1159&gt;20000000))),"Введите целое число от 50 до 20000000",IF(NOT(ABS(IFERROR(VALUE(LEFT(M1159,FIND("-",M1159)-1)),M1159)*100-(2500+2000000000)/2)&lt;=ABS(2500-2000000000)/2),"Цена со скидкой должна быть от 25 до 20000000",IF(AND(IFERROR(VALUE(LEFT(M1159,FIND("-",M1159)-1)),M1159)*150&lt;=575908,IFERROR(VALUE(LEFT(M1159,FIND("-",M1159)-1)),M1159)*200&gt;575908),"Вы уменьшили цену в несколько раз, товар попадет в карантин цен",IF(IFERROR(VALUE(LEFT(M1159,FIND("-",M1159)-1)),M1159)*200&lt;=575908,"Не сохранили изменения, чтобы защитить от ошибки — новые цены меньше текущих более чем в 2 раза. Снижайте их постепенно",IF(AND(IFERROR(VALUE(I1159),0)=0,ISNUMBER(J1159),OR(J1159&lt;563,ABS(IFERROR(VALUE(LEFT(M1159,FIND("-",M1159)-1)),M1159))*100&lt;56300)),"Проверьте цену товара. Большинство товаров в выбранной категории стоят дороже 563","")))))),"")</f>
      </c>
    </row>
    <row r="1160">
      <c r="A1160" s="2" t="inlineStr">
        <is>
          <t>Veloria</t>
        </is>
      </c>
      <c r="B1160" s="2" t="inlineStr">
        <is>
          <t>Коврики для сушки посуды</t>
        </is>
      </c>
      <c r="C1160" s="2">
        <v>727214224</v>
      </c>
      <c r="D1160" s="2" t="inlineStr">
        <is>
          <t>523602</t>
        </is>
      </c>
      <c r="E1160" s="2" t="inlineStr">
        <is>
          <t>2048060956156</t>
        </is>
      </c>
      <c r="F1160" s="2">
        <v>3</v>
      </c>
      <c r="G1160" s="2">
        <v>0</v>
      </c>
      <c r="H1160" s="2">
        <v>999</v>
      </c>
      <c r="I1160" s="2" t="inlineStr">
        <is>
          <t>3300</t>
        </is>
      </c>
      <c r="J1160" s="4"/>
      <c r="K1160" s="2">
        <v>78</v>
      </c>
      <c r="L1160" s="6"/>
      <c r="M1160" s="2" t="str">
        <f>IF(J1160="",ROUND(I1160*(1-IF(ISBLANK(L1160),K1160,L1160)/100),2),ROUND(J1160*(1-IF(ISBLANK(L1160),K1160,L1160)/100),2))</f>
      </c>
      <c r="N1160" s="7" t="str">
        <f>IF(NOT(AND(J1160="",L1160="")),IF(OR(AND(L1160&lt;&gt;"",NOT(ISNUMBER(L1160))),IFERROR(MOD(L1160,1),1)&gt;0,AND(ISNUMBER(L1160),OR(L1160&lt;0,L1160&gt;95))),"Введите целое число от 0 до 95",IF(OR(AND(J1160&lt;&gt;"",NOT(ISNUMBER(J1160))),IFERROR(MOD(J1160,1),1)&gt;0,AND(ISNUMBER(J1160),OR(J1160&lt;50,J1160&gt;20000000))),"Введите целое число от 50 до 20000000",IF(NOT(ABS(IFERROR(VALUE(LEFT(M1160,FIND("-",M1160)-1)),M1160)*100-(2500+2000000000)/2)&lt;=ABS(2500-2000000000)/2),"Цена со скидкой должна быть от 25 до 20000000",IF(AND(IFERROR(VALUE(LEFT(M1160,FIND("-",M1160)-1)),M1160)*150&lt;=72599,IFERROR(VALUE(LEFT(M1160,FIND("-",M1160)-1)),M1160)*200&gt;72599),"Вы уменьшили цену в несколько раз, товар попадет в карантин цен",IF(IFERROR(VALUE(LEFT(M1160,FIND("-",M1160)-1)),M1160)*200&lt;=72599,"Не сохранили изменения, чтобы защитить от ошибки — новые цены меньше текущих более чем в 2 раза. Снижайте их постепенно",IF(AND(IFERROR(VALUE(I1160),0)=0,ISNUMBER(J1160),OR(J1160&lt;301,ABS(IFERROR(VALUE(LEFT(M1160,FIND("-",M1160)-1)),M1160))*100&lt;30100)),"Проверьте цену товара. Большинство товаров в выбранной категории стоят дороже 301","")))))),"")</f>
      </c>
    </row>
    <row r="1161">
      <c r="A1161" s="2" t="inlineStr">
        <is>
          <t/>
        </is>
      </c>
      <c r="B1161" s="2" t="inlineStr">
        <is>
          <t>Чайники электрические</t>
        </is>
      </c>
      <c r="C1161" s="2">
        <v>603736261</v>
      </c>
      <c r="D1161" s="2" t="inlineStr">
        <is>
          <t>192210</t>
        </is>
      </c>
      <c r="E1161" s="2" t="inlineStr">
        <is>
          <t>2047147983535</t>
        </is>
      </c>
      <c r="F1161" s="2">
        <v>0</v>
      </c>
      <c r="G1161" s="2">
        <v>0</v>
      </c>
      <c r="H1161" s="2" t="inlineStr">
        <is>
          <t/>
        </is>
      </c>
      <c r="I1161" s="2" t="inlineStr">
        <is>
          <t>12099</t>
        </is>
      </c>
      <c r="J1161" s="4"/>
      <c r="K1161" s="2">
        <v>65</v>
      </c>
      <c r="L1161" s="6"/>
      <c r="M1161" s="2" t="str">
        <f>IF(J1161="",ROUND(I1161*(1-IF(ISBLANK(L1161),K1161,L1161)/100),2),ROUND(J1161*(1-IF(ISBLANK(L1161),K1161,L1161)/100),2))</f>
      </c>
      <c r="N1161" s="7" t="str">
        <f>IF(NOT(AND(J1161="",L1161="")),IF(OR(AND(L1161&lt;&gt;"",NOT(ISNUMBER(L1161))),IFERROR(MOD(L1161,1),1)&gt;0,AND(ISNUMBER(L1161),OR(L1161&lt;0,L1161&gt;95))),"Введите целое число от 0 до 95",IF(OR(AND(J1161&lt;&gt;"",NOT(ISNUMBER(J1161))),IFERROR(MOD(J1161,1),1)&gt;0,AND(ISNUMBER(J1161),OR(J1161&lt;50,J1161&gt;20000000))),"Введите целое число от 50 до 20000000",IF(NOT(ABS(IFERROR(VALUE(LEFT(M1161,FIND("-",M1161)-1)),M1161)*100-(2500+2000000000)/2)&lt;=ABS(2500-2000000000)/2),"Цена со скидкой должна быть от 25 до 20000000",IF(AND(IFERROR(VALUE(LEFT(M1161,FIND("-",M1161)-1)),M1161)*150&lt;=423464,IFERROR(VALUE(LEFT(M1161,FIND("-",M1161)-1)),M1161)*200&gt;423464),"Вы уменьшили цену в несколько раз, товар попадет в карантин цен",IF(IFERROR(VALUE(LEFT(M1161,FIND("-",M1161)-1)),M1161)*200&lt;=423464,"Не сохранили изменения, чтобы защитить от ошибки — новые цены меньше текущих более чем в 2 раза. Снижайте их постепенно",IF(AND(IFERROR(VALUE(I1161),0)=0,ISNUMBER(J1161),OR(J1161&lt;496,ABS(IFERROR(VALUE(LEFT(M1161,FIND("-",M1161)-1)),M1161))*100&lt;49600)),"Проверьте цену товара. Большинство товаров в выбранной категории стоят дороже 496","")))))),"")</f>
      </c>
    </row>
    <row r="1162">
      <c r="A1162" s="2" t="inlineStr">
        <is>
          <t/>
        </is>
      </c>
      <c r="B1162" s="2" t="inlineStr">
        <is>
          <t>Чайники электрические</t>
        </is>
      </c>
      <c r="C1162" s="2">
        <v>725312320</v>
      </c>
      <c r="D1162" s="2" t="inlineStr">
        <is>
          <t>192201</t>
        </is>
      </c>
      <c r="E1162" s="2" t="inlineStr">
        <is>
          <t>2048047081758</t>
        </is>
      </c>
      <c r="F1162" s="2">
        <v>0</v>
      </c>
      <c r="G1162" s="2">
        <v>5</v>
      </c>
      <c r="H1162" s="2" t="inlineStr">
        <is>
          <t/>
        </is>
      </c>
      <c r="I1162" s="2" t="inlineStr">
        <is>
          <t>12043</t>
        </is>
      </c>
      <c r="J1162" s="4"/>
      <c r="K1162" s="2">
        <v>78</v>
      </c>
      <c r="L1162" s="6"/>
      <c r="M1162" s="2" t="str">
        <f>IF(J1162="",ROUND(I1162*(1-IF(ISBLANK(L1162),K1162,L1162)/100),2),ROUND(J1162*(1-IF(ISBLANK(L1162),K1162,L1162)/100),2))</f>
      </c>
      <c r="N1162" s="7" t="str">
        <f>IF(NOT(AND(J1162="",L1162="")),IF(OR(AND(L1162&lt;&gt;"",NOT(ISNUMBER(L1162))),IFERROR(MOD(L1162,1),1)&gt;0,AND(ISNUMBER(L1162),OR(L1162&lt;0,L1162&gt;95))),"Введите целое число от 0 до 95",IF(OR(AND(J1162&lt;&gt;"",NOT(ISNUMBER(J1162))),IFERROR(MOD(J1162,1),1)&gt;0,AND(ISNUMBER(J1162),OR(J1162&lt;50,J1162&gt;20000000))),"Введите целое число от 50 до 20000000",IF(NOT(ABS(IFERROR(VALUE(LEFT(M1162,FIND("-",M1162)-1)),M1162)*100-(2500+2000000000)/2)&lt;=ABS(2500-2000000000)/2),"Цена со скидкой должна быть от 25 до 20000000",IF(AND(IFERROR(VALUE(LEFT(M1162,FIND("-",M1162)-1)),M1162)*150&lt;=264945,IFERROR(VALUE(LEFT(M1162,FIND("-",M1162)-1)),M1162)*200&gt;264945),"Вы уменьшили цену в несколько раз, товар попадет в карантин цен",IF(IFERROR(VALUE(LEFT(M1162,FIND("-",M1162)-1)),M1162)*200&lt;=264945,"Не сохранили изменения, чтобы защитить от ошибки — новые цены меньше текущих более чем в 2 раза. Снижайте их постепенно",IF(AND(IFERROR(VALUE(I1162),0)=0,ISNUMBER(J1162),OR(J1162&lt;496,ABS(IFERROR(VALUE(LEFT(M1162,FIND("-",M1162)-1)),M1162))*100&lt;49600)),"Проверьте цену товара. Большинство товаров в выбранной категории стоят дороже 496","")))))),"")</f>
      </c>
    </row>
    <row r="1163">
      <c r="A1163" s="2" t="inlineStr">
        <is>
          <t>Veloria</t>
        </is>
      </c>
      <c r="B1163" s="2" t="inlineStr">
        <is>
          <t>Вешалки-плечики</t>
        </is>
      </c>
      <c r="C1163" s="2">
        <v>243001998</v>
      </c>
      <c r="D1163" s="2" t="inlineStr">
        <is>
          <t>456033</t>
        </is>
      </c>
      <c r="E1163" s="2" t="inlineStr">
        <is>
          <t>2040613929679</t>
        </is>
      </c>
      <c r="F1163" s="2">
        <v>1</v>
      </c>
      <c r="G1163" s="2">
        <v>0</v>
      </c>
      <c r="H1163" s="2">
        <v>40</v>
      </c>
      <c r="I1163" s="2" t="inlineStr">
        <is>
          <t>1789</t>
        </is>
      </c>
      <c r="J1163" s="4"/>
      <c r="K1163" s="2">
        <v>82</v>
      </c>
      <c r="L1163" s="6"/>
      <c r="M1163" s="2" t="str">
        <f>IF(J1163="",ROUND(I1163*(1-IF(ISBLANK(L1163),K1163,L1163)/100),2),ROUND(J1163*(1-IF(ISBLANK(L1163),K1163,L1163)/100),2))</f>
      </c>
      <c r="N1163" s="7" t="str">
        <f>IF(NOT(AND(J1163="",L1163="")),IF(OR(AND(L1163&lt;&gt;"",NOT(ISNUMBER(L1163))),IFERROR(MOD(L1163,1),1)&gt;0,AND(ISNUMBER(L1163),OR(L1163&lt;0,L1163&gt;95))),"Введите целое число от 0 до 95",IF(OR(AND(J1163&lt;&gt;"",NOT(ISNUMBER(J1163))),IFERROR(MOD(J1163,1),1)&gt;0,AND(ISNUMBER(J1163),OR(J1163&lt;50,J1163&gt;20000000))),"Введите целое число от 50 до 20000000",IF(NOT(ABS(IFERROR(VALUE(LEFT(M1163,FIND("-",M1163)-1)),M1163)*100-(2500+2000000000)/2)&lt;=ABS(2500-2000000000)/2),"Цена со скидкой должна быть от 25 до 20000000",IF(AND(IFERROR(VALUE(LEFT(M1163,FIND("-",M1163)-1)),M1163)*150&lt;=32202,IFERROR(VALUE(LEFT(M1163,FIND("-",M1163)-1)),M1163)*200&gt;32202),"Вы уменьшили цену в несколько раз, товар попадет в карантин цен",IF(IFERROR(VALUE(LEFT(M1163,FIND("-",M1163)-1)),M1163)*200&lt;=32202,"Не сохранили изменения, чтобы защитить от ошибки — новые цены меньше текущих более чем в 2 раза. Снижайте их постепенно",IF(AND(IFERROR(VALUE(I1163),0)=0,ISNUMBER(J1163),OR(J1163&lt;260,ABS(IFERROR(VALUE(LEFT(M1163,FIND("-",M1163)-1)),M1163))*100&lt;26000)),"Проверьте цену товара. Большинство товаров в выбранной категории стоят дороже 260","")))))),"")</f>
      </c>
    </row>
    <row r="1164">
      <c r="A1164" s="2" t="inlineStr">
        <is>
          <t>Veloria</t>
        </is>
      </c>
      <c r="B1164" s="2" t="inlineStr">
        <is>
          <t>Щетки для стекол</t>
        </is>
      </c>
      <c r="C1164" s="2">
        <v>243006668</v>
      </c>
      <c r="D1164" s="2" t="inlineStr">
        <is>
          <t>513657</t>
        </is>
      </c>
      <c r="E1164" s="2" t="inlineStr">
        <is>
          <t>2040615489522</t>
        </is>
      </c>
      <c r="F1164" s="2">
        <v>3</v>
      </c>
      <c r="G1164" s="2">
        <v>182</v>
      </c>
      <c r="H1164" s="2">
        <v>25</v>
      </c>
      <c r="I1164" s="2" t="inlineStr">
        <is>
          <t>5148</t>
        </is>
      </c>
      <c r="J1164" s="4"/>
      <c r="K1164" s="2">
        <v>81</v>
      </c>
      <c r="L1164" s="6"/>
      <c r="M1164" s="2" t="str">
        <f>IF(J1164="",ROUND(I1164*(1-IF(ISBLANK(L1164),K1164,L1164)/100),2),ROUND(J1164*(1-IF(ISBLANK(L1164),K1164,L1164)/100),2))</f>
      </c>
      <c r="N1164" s="7" t="str">
        <f>IF(NOT(AND(J1164="",L1164="")),IF(OR(AND(L1164&lt;&gt;"",NOT(ISNUMBER(L1164))),IFERROR(MOD(L1164,1),1)&gt;0,AND(ISNUMBER(L1164),OR(L1164&lt;0,L1164&gt;95))),"Введите целое число от 0 до 95",IF(OR(AND(J1164&lt;&gt;"",NOT(ISNUMBER(J1164))),IFERROR(MOD(J1164,1),1)&gt;0,AND(ISNUMBER(J1164),OR(J1164&lt;50,J1164&gt;20000000))),"Введите целое число от 50 до 20000000",IF(NOT(ABS(IFERROR(VALUE(LEFT(M1164,FIND("-",M1164)-1)),M1164)*100-(2500+2000000000)/2)&lt;=ABS(2500-2000000000)/2),"Цена со скидкой должна быть от 25 до 20000000",IF(AND(IFERROR(VALUE(LEFT(M1164,FIND("-",M1164)-1)),M1164)*150&lt;=97811,IFERROR(VALUE(LEFT(M1164,FIND("-",M1164)-1)),M1164)*200&gt;97811),"Вы уменьшили цену в несколько раз, товар попадет в карантин цен",IF(IFERROR(VALUE(LEFT(M1164,FIND("-",M1164)-1)),M1164)*200&lt;=97811,"Не сохранили изменения, чтобы защитить от ошибки — новые цены меньше текущих более чем в 2 раза. Снижайте их постепенно",IF(AND(IFERROR(VALUE(I1164),0)=0,ISNUMBER(J1164),OR(J1164&lt;284,ABS(IFERROR(VALUE(LEFT(M1164,FIND("-",M1164)-1)),M1164))*100&lt;28400)),"Проверьте цену товара. Большинство товаров в выбранной категории стоят дороже 284","")))))),"")</f>
      </c>
    </row>
    <row r="1165">
      <c r="A1165" s="2" t="inlineStr">
        <is>
          <t/>
        </is>
      </c>
      <c r="B1165" s="2" t="inlineStr">
        <is>
          <t>Утюги</t>
        </is>
      </c>
      <c r="C1165" s="2">
        <v>600650801</v>
      </c>
      <c r="D1165" s="2" t="inlineStr">
        <is>
          <t>192634</t>
        </is>
      </c>
      <c r="E1165" s="2" t="inlineStr">
        <is>
          <t>2047129358887</t>
        </is>
      </c>
      <c r="F1165" s="2">
        <v>0</v>
      </c>
      <c r="G1165" s="2">
        <v>0</v>
      </c>
      <c r="H1165" s="2" t="inlineStr">
        <is>
          <t/>
        </is>
      </c>
      <c r="I1165" s="2" t="inlineStr">
        <is>
          <t>14882</t>
        </is>
      </c>
      <c r="J1165" s="4"/>
      <c r="K1165" s="2">
        <v>65</v>
      </c>
      <c r="L1165" s="6"/>
      <c r="M1165" s="2" t="str">
        <f>IF(J1165="",ROUND(I1165*(1-IF(ISBLANK(L1165),K1165,L1165)/100),2),ROUND(J1165*(1-IF(ISBLANK(L1165),K1165,L1165)/100),2))</f>
      </c>
      <c r="N1165" s="7" t="str">
        <f>IF(NOT(AND(J1165="",L1165="")),IF(OR(AND(L1165&lt;&gt;"",NOT(ISNUMBER(L1165))),IFERROR(MOD(L1165,1),1)&gt;0,AND(ISNUMBER(L1165),OR(L1165&lt;0,L1165&gt;95))),"Введите целое число от 0 до 95",IF(OR(AND(J1165&lt;&gt;"",NOT(ISNUMBER(J1165))),IFERROR(MOD(J1165,1),1)&gt;0,AND(ISNUMBER(J1165),OR(J1165&lt;50,J1165&gt;20000000))),"Введите целое число от 50 до 20000000",IF(NOT(ABS(IFERROR(VALUE(LEFT(M1165,FIND("-",M1165)-1)),M1165)*100-(2500+2000000000)/2)&lt;=ABS(2500-2000000000)/2),"Цена со скидкой должна быть от 25 до 20000000",IF(AND(IFERROR(VALUE(LEFT(M1165,FIND("-",M1165)-1)),M1165)*150&lt;=520870,IFERROR(VALUE(LEFT(M1165,FIND("-",M1165)-1)),M1165)*200&gt;520870),"Вы уменьшили цену в несколько раз, товар попадет в карантин цен",IF(IFERROR(VALUE(LEFT(M1165,FIND("-",M1165)-1)),M1165)*200&lt;=520870,"Не сохранили изменения, чтобы защитить от ошибки — новые цены меньше текущих более чем в 2 раза. Снижайте их постепенно",IF(AND(IFERROR(VALUE(I1165),0)=0,ISNUMBER(J1165),OR(J1165&lt;403,ABS(IFERROR(VALUE(LEFT(M1165,FIND("-",M1165)-1)),M1165))*100&lt;40300)),"Проверьте цену товара. Большинство товаров в выбранной категории стоят дороже 403","")))))),"")</f>
      </c>
    </row>
    <row r="1166">
      <c r="A1166" s="2" t="inlineStr">
        <is>
          <t>Veloria</t>
        </is>
      </c>
      <c r="B1166" s="2" t="inlineStr">
        <is>
          <t>Щетки для стекол</t>
        </is>
      </c>
      <c r="C1166" s="2">
        <v>243006666</v>
      </c>
      <c r="D1166" s="2" t="inlineStr">
        <is>
          <t>513658</t>
        </is>
      </c>
      <c r="E1166" s="2" t="inlineStr">
        <is>
          <t>2040615423069</t>
        </is>
      </c>
      <c r="F1166" s="2">
        <v>13</v>
      </c>
      <c r="G1166" s="2">
        <v>222</v>
      </c>
      <c r="H1166" s="2">
        <v>219</v>
      </c>
      <c r="I1166" s="2" t="inlineStr">
        <is>
          <t>5680</t>
        </is>
      </c>
      <c r="J1166" s="4"/>
      <c r="K1166" s="2">
        <v>82</v>
      </c>
      <c r="L1166" s="6"/>
      <c r="M1166" s="2" t="str">
        <f>IF(J1166="",ROUND(I1166*(1-IF(ISBLANK(L1166),K1166,L1166)/100),2),ROUND(J1166*(1-IF(ISBLANK(L1166),K1166,L1166)/100),2))</f>
      </c>
      <c r="N1166" s="7" t="str">
        <f>IF(NOT(AND(J1166="",L1166="")),IF(OR(AND(L1166&lt;&gt;"",NOT(ISNUMBER(L1166))),IFERROR(MOD(L1166,1),1)&gt;0,AND(ISNUMBER(L1166),OR(L1166&lt;0,L1166&gt;95))),"Введите целое число от 0 до 95",IF(OR(AND(J1166&lt;&gt;"",NOT(ISNUMBER(J1166))),IFERROR(MOD(J1166,1),1)&gt;0,AND(ISNUMBER(J1166),OR(J1166&lt;50,J1166&gt;20000000))),"Введите целое число от 50 до 20000000",IF(NOT(ABS(IFERROR(VALUE(LEFT(M1166,FIND("-",M1166)-1)),M1166)*100-(2500+2000000000)/2)&lt;=ABS(2500-2000000000)/2),"Цена со скидкой должна быть от 25 до 20000000",IF(AND(IFERROR(VALUE(LEFT(M1166,FIND("-",M1166)-1)),M1166)*150&lt;=102240,IFERROR(VALUE(LEFT(M1166,FIND("-",M1166)-1)),M1166)*200&gt;102240),"Вы уменьшили цену в несколько раз, товар попадет в карантин цен",IF(IFERROR(VALUE(LEFT(M1166,FIND("-",M1166)-1)),M1166)*200&lt;=102240,"Не сохранили изменения, чтобы защитить от ошибки — новые цены меньше текущих более чем в 2 раза. Снижайте их постепенно",IF(AND(IFERROR(VALUE(I1166),0)=0,ISNUMBER(J1166),OR(J1166&lt;284,ABS(IFERROR(VALUE(LEFT(M1166,FIND("-",M1166)-1)),M1166))*100&lt;28400)),"Проверьте цену товара. Большинство товаров в выбранной категории стоят дороже 284","")))))),"")</f>
      </c>
    </row>
    <row r="1167">
      <c r="A1167" s="2" t="inlineStr">
        <is>
          <t/>
        </is>
      </c>
      <c r="B1167" s="2" t="inlineStr">
        <is>
          <t>Лотки для приборов</t>
        </is>
      </c>
      <c r="C1167" s="2">
        <v>727227072</v>
      </c>
      <c r="D1167" s="2" t="inlineStr">
        <is>
          <t>455427</t>
        </is>
      </c>
      <c r="E1167" s="2" t="inlineStr">
        <is>
          <t>2048061048034</t>
        </is>
      </c>
      <c r="F1167" s="2">
        <v>9</v>
      </c>
      <c r="G1167" s="2">
        <v>3</v>
      </c>
      <c r="H1167" s="2">
        <v>999</v>
      </c>
      <c r="I1167" s="2" t="inlineStr">
        <is>
          <t>6456</t>
        </is>
      </c>
      <c r="J1167" s="4"/>
      <c r="K1167" s="2">
        <v>80</v>
      </c>
      <c r="L1167" s="6"/>
      <c r="M1167" s="2" t="str">
        <f>IF(J1167="",ROUND(I1167*(1-IF(ISBLANK(L1167),K1167,L1167)/100),2),ROUND(J1167*(1-IF(ISBLANK(L1167),K1167,L1167)/100),2))</f>
      </c>
      <c r="N1167" s="7" t="str">
        <f>IF(NOT(AND(J1167="",L1167="")),IF(OR(AND(L1167&lt;&gt;"",NOT(ISNUMBER(L1167))),IFERROR(MOD(L1167,1),1)&gt;0,AND(ISNUMBER(L1167),OR(L1167&lt;0,L1167&gt;95))),"Введите целое число от 0 до 95",IF(OR(AND(J1167&lt;&gt;"",NOT(ISNUMBER(J1167))),IFERROR(MOD(J1167,1),1)&gt;0,AND(ISNUMBER(J1167),OR(J1167&lt;50,J1167&gt;20000000))),"Введите целое число от 50 до 20000000",IF(NOT(ABS(IFERROR(VALUE(LEFT(M1167,FIND("-",M1167)-1)),M1167)*100-(2500+2000000000)/2)&lt;=ABS(2500-2000000000)/2),"Цена со скидкой должна быть от 25 до 20000000",IF(AND(IFERROR(VALUE(LEFT(M1167,FIND("-",M1167)-1)),M1167)*150&lt;=129119,IFERROR(VALUE(LEFT(M1167,FIND("-",M1167)-1)),M1167)*200&gt;129119),"Вы уменьшили цену в несколько раз, товар попадет в карантин цен",IF(IFERROR(VALUE(LEFT(M1167,FIND("-",M1167)-1)),M1167)*200&lt;=129119,"Не сохранили изменения, чтобы защитить от ошибки — новые цены меньше текущих более чем в 2 раза. Снижайте их постепенно",IF(AND(IFERROR(VALUE(I1167),0)=0,ISNUMBER(J1167),OR(J1167&lt;242,ABS(IFERROR(VALUE(LEFT(M1167,FIND("-",M1167)-1)),M1167))*100&lt;24200)),"Проверьте цену товара. Большинство товаров в выбранной категории стоят дороже 242","")))))),"")</f>
      </c>
    </row>
    <row r="1168">
      <c r="A1168" s="2" t="inlineStr">
        <is>
          <t>Luxaro</t>
        </is>
      </c>
      <c r="B1168" s="2" t="inlineStr">
        <is>
          <t>Подносы</t>
        </is>
      </c>
      <c r="C1168" s="2">
        <v>249205197</v>
      </c>
      <c r="D1168" s="2" t="inlineStr">
        <is>
          <t>455236</t>
        </is>
      </c>
      <c r="E1168" s="2" t="inlineStr">
        <is>
          <t>4670294452760</t>
        </is>
      </c>
      <c r="F1168" s="2">
        <v>128</v>
      </c>
      <c r="G1168" s="2">
        <v>166</v>
      </c>
      <c r="H1168" s="2">
        <v>999</v>
      </c>
      <c r="I1168" s="2" t="inlineStr">
        <is>
          <t>4142</t>
        </is>
      </c>
      <c r="J1168" s="4"/>
      <c r="K1168" s="2">
        <v>78</v>
      </c>
      <c r="L1168" s="6"/>
      <c r="M1168" s="2" t="str">
        <f>IF(J1168="",ROUND(I1168*(1-IF(ISBLANK(L1168),K1168,L1168)/100),2),ROUND(J1168*(1-IF(ISBLANK(L1168),K1168,L1168)/100),2))</f>
      </c>
      <c r="N1168" s="7" t="str">
        <f>IF(NOT(AND(J1168="",L1168="")),IF(OR(AND(L1168&lt;&gt;"",NOT(ISNUMBER(L1168))),IFERROR(MOD(L1168,1),1)&gt;0,AND(ISNUMBER(L1168),OR(L1168&lt;0,L1168&gt;95))),"Введите целое число от 0 до 95",IF(OR(AND(J1168&lt;&gt;"",NOT(ISNUMBER(J1168))),IFERROR(MOD(J1168,1),1)&gt;0,AND(ISNUMBER(J1168),OR(J1168&lt;50,J1168&gt;20000000))),"Введите целое число от 50 до 20000000",IF(NOT(ABS(IFERROR(VALUE(LEFT(M1168,FIND("-",M1168)-1)),M1168)*100-(2500+2000000000)/2)&lt;=ABS(2500-2000000000)/2),"Цена со скидкой должна быть от 25 до 20000000",IF(AND(IFERROR(VALUE(LEFT(M1168,FIND("-",M1168)-1)),M1168)*150&lt;=91123,IFERROR(VALUE(LEFT(M1168,FIND("-",M1168)-1)),M1168)*200&gt;91123),"Вы уменьшили цену в несколько раз, товар попадет в карантин цен",IF(IFERROR(VALUE(LEFT(M1168,FIND("-",M1168)-1)),M1168)*200&lt;=91123,"Не сохранили изменения, чтобы защитить от ошибки — новые цены меньше текущих более чем в 2 раза. Снижайте их постепенно",IF(AND(IFERROR(VALUE(I1168),0)=0,ISNUMBER(J1168),OR(J1168&lt;450,ABS(IFERROR(VALUE(LEFT(M1168,FIND("-",M1168)-1)),M1168))*100&lt;45000)),"Проверьте цену товара. Большинство товаров в выбранной категории стоят дороже 450","")))))),"")</f>
      </c>
    </row>
    <row r="1169">
      <c r="A1169" s="2" t="inlineStr">
        <is>
          <t/>
        </is>
      </c>
      <c r="B1169" s="2" t="inlineStr">
        <is>
          <t>Лотки для приборов</t>
        </is>
      </c>
      <c r="C1169" s="2">
        <v>619261003</v>
      </c>
      <c r="D1169" s="2" t="inlineStr">
        <is>
          <t>456540</t>
        </is>
      </c>
      <c r="E1169" s="2" t="inlineStr">
        <is>
          <t>2047320885526</t>
        </is>
      </c>
      <c r="F1169" s="2">
        <v>33</v>
      </c>
      <c r="G1169" s="2">
        <v>18</v>
      </c>
      <c r="H1169" s="2">
        <v>999</v>
      </c>
      <c r="I1169" s="2" t="inlineStr">
        <is>
          <t>8252</t>
        </is>
      </c>
      <c r="J1169" s="4"/>
      <c r="K1169" s="2">
        <v>80</v>
      </c>
      <c r="L1169" s="6"/>
      <c r="M1169" s="2" t="str">
        <f>IF(J1169="",ROUND(I1169*(1-IF(ISBLANK(L1169),K1169,L1169)/100),2),ROUND(J1169*(1-IF(ISBLANK(L1169),K1169,L1169)/100),2))</f>
      </c>
      <c r="N1169" s="7" t="str">
        <f>IF(NOT(AND(J1169="",L1169="")),IF(OR(AND(L1169&lt;&gt;"",NOT(ISNUMBER(L1169))),IFERROR(MOD(L1169,1),1)&gt;0,AND(ISNUMBER(L1169),OR(L1169&lt;0,L1169&gt;95))),"Введите целое число от 0 до 95",IF(OR(AND(J1169&lt;&gt;"",NOT(ISNUMBER(J1169))),IFERROR(MOD(J1169,1),1)&gt;0,AND(ISNUMBER(J1169),OR(J1169&lt;50,J1169&gt;20000000))),"Введите целое число от 50 до 20000000",IF(NOT(ABS(IFERROR(VALUE(LEFT(M1169,FIND("-",M1169)-1)),M1169)*100-(2500+2000000000)/2)&lt;=ABS(2500-2000000000)/2),"Цена со скидкой должна быть от 25 до 20000000",IF(AND(IFERROR(VALUE(LEFT(M1169,FIND("-",M1169)-1)),M1169)*150&lt;=165039,IFERROR(VALUE(LEFT(M1169,FIND("-",M1169)-1)),M1169)*200&gt;165039),"Вы уменьшили цену в несколько раз, товар попадет в карантин цен",IF(IFERROR(VALUE(LEFT(M1169,FIND("-",M1169)-1)),M1169)*200&lt;=165039,"Не сохранили изменения, чтобы защитить от ошибки — новые цены меньше текущих более чем в 2 раза. Снижайте их постепенно",IF(AND(IFERROR(VALUE(I1169),0)=0,ISNUMBER(J1169),OR(J1169&lt;242,ABS(IFERROR(VALUE(LEFT(M1169,FIND("-",M1169)-1)),M1169))*100&lt;24200)),"Проверьте цену товара. Большинство товаров в выбранной категории стоят дороже 242","")))))),"")</f>
      </c>
    </row>
    <row r="1170">
      <c r="A1170" s="2" t="inlineStr">
        <is>
          <t>Veloria</t>
        </is>
      </c>
      <c r="B1170" s="2" t="inlineStr">
        <is>
          <t>Лотки для приборов</t>
        </is>
      </c>
      <c r="C1170" s="2">
        <v>249112100</v>
      </c>
      <c r="D1170" s="2" t="inlineStr">
        <is>
          <t>456857</t>
        </is>
      </c>
      <c r="E1170" s="2" t="inlineStr">
        <is>
          <t>4670294452753</t>
        </is>
      </c>
      <c r="F1170" s="2">
        <v>131</v>
      </c>
      <c r="G1170" s="2">
        <v>52</v>
      </c>
      <c r="H1170" s="2">
        <v>234</v>
      </c>
      <c r="I1170" s="2" t="inlineStr">
        <is>
          <t>5082</t>
        </is>
      </c>
      <c r="J1170" s="4"/>
      <c r="K1170" s="2">
        <v>83</v>
      </c>
      <c r="L1170" s="6"/>
      <c r="M1170" s="2" t="str">
        <f>IF(J1170="",ROUND(I1170*(1-IF(ISBLANK(L1170),K1170,L1170)/100),2),ROUND(J1170*(1-IF(ISBLANK(L1170),K1170,L1170)/100),2))</f>
      </c>
      <c r="N1170" s="7" t="str">
        <f>IF(NOT(AND(J1170="",L1170="")),IF(OR(AND(L1170&lt;&gt;"",NOT(ISNUMBER(L1170))),IFERROR(MOD(L1170,1),1)&gt;0,AND(ISNUMBER(L1170),OR(L1170&lt;0,L1170&gt;95))),"Введите целое число от 0 до 95",IF(OR(AND(J1170&lt;&gt;"",NOT(ISNUMBER(J1170))),IFERROR(MOD(J1170,1),1)&gt;0,AND(ISNUMBER(J1170),OR(J1170&lt;50,J1170&gt;20000000))),"Введите целое число от 50 до 20000000",IF(NOT(ABS(IFERROR(VALUE(LEFT(M1170,FIND("-",M1170)-1)),M1170)*100-(2500+2000000000)/2)&lt;=ABS(2500-2000000000)/2),"Цена со скидкой должна быть от 25 до 20000000",IF(AND(IFERROR(VALUE(LEFT(M1170,FIND("-",M1170)-1)),M1170)*150&lt;=86394,IFERROR(VALUE(LEFT(M1170,FIND("-",M1170)-1)),M1170)*200&gt;86394),"Вы уменьшили цену в несколько раз, товар попадет в карантин цен",IF(IFERROR(VALUE(LEFT(M1170,FIND("-",M1170)-1)),M1170)*200&lt;=86394,"Не сохранили изменения, чтобы защитить от ошибки — новые цены меньше текущих более чем в 2 раза. Снижайте их постепенно",IF(AND(IFERROR(VALUE(I1170),0)=0,ISNUMBER(J1170),OR(J1170&lt;242,ABS(IFERROR(VALUE(LEFT(M1170,FIND("-",M1170)-1)),M1170))*100&lt;24200)),"Проверьте цену товара. Большинство товаров в выбранной категории стоят дороже 242","")))))),"")</f>
      </c>
    </row>
    <row r="1171">
      <c r="A1171" s="2" t="inlineStr">
        <is>
          <t/>
        </is>
      </c>
      <c r="B1171" s="2" t="inlineStr">
        <is>
          <t>Лотки для приборов</t>
        </is>
      </c>
      <c r="C1171" s="2">
        <v>619261001</v>
      </c>
      <c r="D1171" s="2" t="inlineStr">
        <is>
          <t>452358</t>
        </is>
      </c>
      <c r="E1171" s="2" t="inlineStr">
        <is>
          <t>2047320885489</t>
        </is>
      </c>
      <c r="F1171" s="2">
        <v>24</v>
      </c>
      <c r="G1171" s="2">
        <v>13</v>
      </c>
      <c r="H1171" s="2">
        <v>999</v>
      </c>
      <c r="I1171" s="2" t="inlineStr">
        <is>
          <t>5084</t>
        </is>
      </c>
      <c r="J1171" s="4"/>
      <c r="K1171" s="2">
        <v>82</v>
      </c>
      <c r="L1171" s="6"/>
      <c r="M1171" s="2" t="str">
        <f>IF(J1171="",ROUND(I1171*(1-IF(ISBLANK(L1171),K1171,L1171)/100),2),ROUND(J1171*(1-IF(ISBLANK(L1171),K1171,L1171)/100),2))</f>
      </c>
      <c r="N1171" s="7" t="str">
        <f>IF(NOT(AND(J1171="",L1171="")),IF(OR(AND(L1171&lt;&gt;"",NOT(ISNUMBER(L1171))),IFERROR(MOD(L1171,1),1)&gt;0,AND(ISNUMBER(L1171),OR(L1171&lt;0,L1171&gt;95))),"Введите целое число от 0 до 95",IF(OR(AND(J1171&lt;&gt;"",NOT(ISNUMBER(J1171))),IFERROR(MOD(J1171,1),1)&gt;0,AND(ISNUMBER(J1171),OR(J1171&lt;50,J1171&gt;20000000))),"Введите целое число от 50 до 20000000",IF(NOT(ABS(IFERROR(VALUE(LEFT(M1171,FIND("-",M1171)-1)),M1171)*100-(2500+2000000000)/2)&lt;=ABS(2500-2000000000)/2),"Цена со скидкой должна быть от 25 до 20000000",IF(AND(IFERROR(VALUE(LEFT(M1171,FIND("-",M1171)-1)),M1171)*150&lt;=91512,IFERROR(VALUE(LEFT(M1171,FIND("-",M1171)-1)),M1171)*200&gt;91512),"Вы уменьшили цену в несколько раз, товар попадет в карантин цен",IF(IFERROR(VALUE(LEFT(M1171,FIND("-",M1171)-1)),M1171)*200&lt;=91512,"Не сохранили изменения, чтобы защитить от ошибки — новые цены меньше текущих более чем в 2 раза. Снижайте их постепенно",IF(AND(IFERROR(VALUE(I1171),0)=0,ISNUMBER(J1171),OR(J1171&lt;242,ABS(IFERROR(VALUE(LEFT(M1171,FIND("-",M1171)-1)),M1171))*100&lt;24200)),"Проверьте цену товара. Большинство товаров в выбранной категории стоят дороже 242","")))))),"")</f>
      </c>
    </row>
    <row r="1172">
      <c r="A1172" s="2" t="inlineStr">
        <is>
          <t/>
        </is>
      </c>
      <c r="B1172" s="2" t="inlineStr">
        <is>
          <t>Чайники электрические</t>
        </is>
      </c>
      <c r="C1172" s="2">
        <v>765820368</v>
      </c>
      <c r="D1172" s="2" t="inlineStr">
        <is>
          <t>192714</t>
        </is>
      </c>
      <c r="E1172" s="2" t="inlineStr">
        <is>
          <t>2048427567896</t>
        </is>
      </c>
      <c r="F1172" s="2">
        <v>0</v>
      </c>
      <c r="G1172" s="2">
        <v>1</v>
      </c>
      <c r="H1172" s="2" t="inlineStr">
        <is>
          <t/>
        </is>
      </c>
      <c r="I1172" s="2" t="inlineStr">
        <is>
          <t>18832</t>
        </is>
      </c>
      <c r="J1172" s="4"/>
      <c r="K1172" s="2">
        <v>80</v>
      </c>
      <c r="L1172" s="6"/>
      <c r="M1172" s="2" t="str">
        <f>IF(J1172="",ROUND(I1172*(1-IF(ISBLANK(L1172),K1172,L1172)/100),2),ROUND(J1172*(1-IF(ISBLANK(L1172),K1172,L1172)/100),2))</f>
      </c>
      <c r="N1172" s="7" t="str">
        <f>IF(NOT(AND(J1172="",L1172="")),IF(OR(AND(L1172&lt;&gt;"",NOT(ISNUMBER(L1172))),IFERROR(MOD(L1172,1),1)&gt;0,AND(ISNUMBER(L1172),OR(L1172&lt;0,L1172&gt;95))),"Введите целое число от 0 до 95",IF(OR(AND(J1172&lt;&gt;"",NOT(ISNUMBER(J1172))),IFERROR(MOD(J1172,1),1)&gt;0,AND(ISNUMBER(J1172),OR(J1172&lt;50,J1172&gt;20000000))),"Введите целое число от 50 до 20000000",IF(NOT(ABS(IFERROR(VALUE(LEFT(M1172,FIND("-",M1172)-1)),M1172)*100-(2500+2000000000)/2)&lt;=ABS(2500-2000000000)/2),"Цена со скидкой должна быть от 25 до 20000000",IF(AND(IFERROR(VALUE(LEFT(M1172,FIND("-",M1172)-1)),M1172)*150&lt;=376639,IFERROR(VALUE(LEFT(M1172,FIND("-",M1172)-1)),M1172)*200&gt;376639),"Вы уменьшили цену в несколько раз, товар попадет в карантин цен",IF(IFERROR(VALUE(LEFT(M1172,FIND("-",M1172)-1)),M1172)*200&lt;=376639,"Не сохранили изменения, чтобы защитить от ошибки — новые цены меньше текущих более чем в 2 раза. Снижайте их постепенно",IF(AND(IFERROR(VALUE(I1172),0)=0,ISNUMBER(J1172),OR(J1172&lt;496,ABS(IFERROR(VALUE(LEFT(M1172,FIND("-",M1172)-1)),M1172))*100&lt;49600)),"Проверьте цену товара. Большинство товаров в выбранной категории стоят дороже 496","")))))),"")</f>
      </c>
    </row>
    <row r="1173">
      <c r="A1173" s="2" t="inlineStr">
        <is>
          <t>Luxaro</t>
        </is>
      </c>
      <c r="B1173" s="2" t="inlineStr">
        <is>
          <t>Прессы для чеснока</t>
        </is>
      </c>
      <c r="C1173" s="2">
        <v>283428545</v>
      </c>
      <c r="D1173" s="2" t="inlineStr">
        <is>
          <t>522918</t>
        </is>
      </c>
      <c r="E1173" s="2" t="inlineStr">
        <is>
          <t>4680093963251</t>
        </is>
      </c>
      <c r="F1173" s="2">
        <v>80</v>
      </c>
      <c r="G1173" s="2">
        <v>436</v>
      </c>
      <c r="H1173" s="2">
        <v>236</v>
      </c>
      <c r="I1173" s="2" t="inlineStr">
        <is>
          <t>3500</t>
        </is>
      </c>
      <c r="J1173" s="4"/>
      <c r="K1173" s="2">
        <v>82</v>
      </c>
      <c r="L1173" s="6"/>
      <c r="M1173" s="2" t="str">
        <f>IF(J1173="",ROUND(I1173*(1-IF(ISBLANK(L1173),K1173,L1173)/100),2),ROUND(J1173*(1-IF(ISBLANK(L1173),K1173,L1173)/100),2))</f>
      </c>
      <c r="N1173" s="7" t="str">
        <f>IF(NOT(AND(J1173="",L1173="")),IF(OR(AND(L1173&lt;&gt;"",NOT(ISNUMBER(L1173))),IFERROR(MOD(L1173,1),1)&gt;0,AND(ISNUMBER(L1173),OR(L1173&lt;0,L1173&gt;95))),"Введите целое число от 0 до 95",IF(OR(AND(J1173&lt;&gt;"",NOT(ISNUMBER(J1173))),IFERROR(MOD(J1173,1),1)&gt;0,AND(ISNUMBER(J1173),OR(J1173&lt;50,J1173&gt;20000000))),"Введите целое число от 50 до 20000000",IF(NOT(ABS(IFERROR(VALUE(LEFT(M1173,FIND("-",M1173)-1)),M1173)*100-(2500+2000000000)/2)&lt;=ABS(2500-2000000000)/2),"Цена со скидкой должна быть от 25 до 20000000",IF(AND(IFERROR(VALUE(LEFT(M1173,FIND("-",M1173)-1)),M1173)*150&lt;=63000,IFERROR(VALUE(LEFT(M1173,FIND("-",M1173)-1)),M1173)*200&gt;63000),"Вы уменьшили цену в несколько раз, товар попадет в карантин цен",IF(IFERROR(VALUE(LEFT(M1173,FIND("-",M1173)-1)),M1173)*200&lt;=63000,"Не сохранили изменения, чтобы защитить от ошибки — новые цены меньше текущих более чем в 2 раза. Снижайте их постепенно",IF(AND(IFERROR(VALUE(I1173),0)=0,ISNUMBER(J1173),OR(J1173&lt;249,ABS(IFERROR(VALUE(LEFT(M1173,FIND("-",M1173)-1)),M1173))*100&lt;24900)),"Проверьте цену товара. Большинство товаров в выбранной категории стоят дороже 249","")))))),"")</f>
      </c>
    </row>
    <row r="1174">
      <c r="A1174" s="2" t="inlineStr">
        <is>
          <t/>
        </is>
      </c>
      <c r="B1174" s="2" t="inlineStr">
        <is>
          <t>Чайники электрические</t>
        </is>
      </c>
      <c r="C1174" s="2">
        <v>603736266</v>
      </c>
      <c r="D1174" s="2" t="inlineStr">
        <is>
          <t>191133</t>
        </is>
      </c>
      <c r="E1174" s="2" t="inlineStr">
        <is>
          <t>2047147983580</t>
        </is>
      </c>
      <c r="F1174" s="2">
        <v>0</v>
      </c>
      <c r="G1174" s="2">
        <v>0</v>
      </c>
      <c r="H1174" s="2" t="inlineStr">
        <is>
          <t/>
        </is>
      </c>
      <c r="I1174" s="2" t="inlineStr">
        <is>
          <t>12188</t>
        </is>
      </c>
      <c r="J1174" s="4"/>
      <c r="K1174" s="2">
        <v>65</v>
      </c>
      <c r="L1174" s="6"/>
      <c r="M1174" s="2" t="str">
        <f>IF(J1174="",ROUND(I1174*(1-IF(ISBLANK(L1174),K1174,L1174)/100),2),ROUND(J1174*(1-IF(ISBLANK(L1174),K1174,L1174)/100),2))</f>
      </c>
      <c r="N1174" s="7" t="str">
        <f>IF(NOT(AND(J1174="",L1174="")),IF(OR(AND(L1174&lt;&gt;"",NOT(ISNUMBER(L1174))),IFERROR(MOD(L1174,1),1)&gt;0,AND(ISNUMBER(L1174),OR(L1174&lt;0,L1174&gt;95))),"Введите целое число от 0 до 95",IF(OR(AND(J1174&lt;&gt;"",NOT(ISNUMBER(J1174))),IFERROR(MOD(J1174,1),1)&gt;0,AND(ISNUMBER(J1174),OR(J1174&lt;50,J1174&gt;20000000))),"Введите целое число от 50 до 20000000",IF(NOT(ABS(IFERROR(VALUE(LEFT(M1174,FIND("-",M1174)-1)),M1174)*100-(2500+2000000000)/2)&lt;=ABS(2500-2000000000)/2),"Цена со скидкой должна быть от 25 до 20000000",IF(AND(IFERROR(VALUE(LEFT(M1174,FIND("-",M1174)-1)),M1174)*150&lt;=426580,IFERROR(VALUE(LEFT(M1174,FIND("-",M1174)-1)),M1174)*200&gt;426580),"Вы уменьшили цену в несколько раз, товар попадет в карантин цен",IF(IFERROR(VALUE(LEFT(M1174,FIND("-",M1174)-1)),M1174)*200&lt;=426580,"Не сохранили изменения, чтобы защитить от ошибки — новые цены меньше текущих более чем в 2 раза. Снижайте их постепенно",IF(AND(IFERROR(VALUE(I1174),0)=0,ISNUMBER(J1174),OR(J1174&lt;496,ABS(IFERROR(VALUE(LEFT(M1174,FIND("-",M1174)-1)),M1174))*100&lt;49600)),"Проверьте цену товара. Большинство товаров в выбранной категории стоят дороже 496","")))))),"")</f>
      </c>
    </row>
    <row r="1175">
      <c r="A1175" s="2" t="inlineStr">
        <is>
          <t>Veloria</t>
        </is>
      </c>
      <c r="B1175" s="2" t="inlineStr">
        <is>
          <t>Лотки для приборов</t>
        </is>
      </c>
      <c r="C1175" s="2">
        <v>263693296</v>
      </c>
      <c r="D1175" s="2" t="inlineStr">
        <is>
          <t>46250</t>
        </is>
      </c>
      <c r="E1175" s="2" t="inlineStr">
        <is>
          <t>2041288942444</t>
        </is>
      </c>
      <c r="F1175" s="2">
        <v>0</v>
      </c>
      <c r="G1175" s="2">
        <v>0</v>
      </c>
      <c r="H1175" s="2">
        <v>3</v>
      </c>
      <c r="I1175" s="2" t="inlineStr">
        <is>
          <t>4333</t>
        </is>
      </c>
      <c r="J1175" s="4"/>
      <c r="K1175" s="2">
        <v>76</v>
      </c>
      <c r="L1175" s="6"/>
      <c r="M1175" s="2" t="str">
        <f>IF(J1175="",ROUND(I1175*(1-IF(ISBLANK(L1175),K1175,L1175)/100),2),ROUND(J1175*(1-IF(ISBLANK(L1175),K1175,L1175)/100),2))</f>
      </c>
      <c r="N1175" s="7" t="str">
        <f>IF(NOT(AND(J1175="",L1175="")),IF(OR(AND(L1175&lt;&gt;"",NOT(ISNUMBER(L1175))),IFERROR(MOD(L1175,1),1)&gt;0,AND(ISNUMBER(L1175),OR(L1175&lt;0,L1175&gt;95))),"Введите целое число от 0 до 95",IF(OR(AND(J1175&lt;&gt;"",NOT(ISNUMBER(J1175))),IFERROR(MOD(J1175,1),1)&gt;0,AND(ISNUMBER(J1175),OR(J1175&lt;50,J1175&gt;20000000))),"Введите целое число от 50 до 20000000",IF(NOT(ABS(IFERROR(VALUE(LEFT(M1175,FIND("-",M1175)-1)),M1175)*100-(2500+2000000000)/2)&lt;=ABS(2500-2000000000)/2),"Цена со скидкой должна быть от 25 до 20000000",IF(AND(IFERROR(VALUE(LEFT(M1175,FIND("-",M1175)-1)),M1175)*150&lt;=103992,IFERROR(VALUE(LEFT(M1175,FIND("-",M1175)-1)),M1175)*200&gt;103992),"Вы уменьшили цену в несколько раз, товар попадет в карантин цен",IF(IFERROR(VALUE(LEFT(M1175,FIND("-",M1175)-1)),M1175)*200&lt;=103992,"Не сохранили изменения, чтобы защитить от ошибки — новые цены меньше текущих более чем в 2 раза. Снижайте их постепенно",IF(AND(IFERROR(VALUE(I1175),0)=0,ISNUMBER(J1175),OR(J1175&lt;242,ABS(IFERROR(VALUE(LEFT(M1175,FIND("-",M1175)-1)),M1175))*100&lt;24200)),"Проверьте цену товара. Большинство товаров в выбранной категории стоят дороже 242","")))))),"")</f>
      </c>
    </row>
    <row r="1176">
      <c r="A1176" s="2" t="inlineStr">
        <is>
          <t/>
        </is>
      </c>
      <c r="B1176" s="2" t="inlineStr">
        <is>
          <t>Чайники электрические</t>
        </is>
      </c>
      <c r="C1176" s="2">
        <v>603736260</v>
      </c>
      <c r="D1176" s="2" t="inlineStr">
        <is>
          <t>192533</t>
        </is>
      </c>
      <c r="E1176" s="2" t="inlineStr">
        <is>
          <t>2047147983528</t>
        </is>
      </c>
      <c r="F1176" s="2">
        <v>0</v>
      </c>
      <c r="G1176" s="2">
        <v>0</v>
      </c>
      <c r="H1176" s="2" t="inlineStr">
        <is>
          <t/>
        </is>
      </c>
      <c r="I1176" s="2" t="inlineStr">
        <is>
          <t>15009</t>
        </is>
      </c>
      <c r="J1176" s="4"/>
      <c r="K1176" s="2">
        <v>65</v>
      </c>
      <c r="L1176" s="6"/>
      <c r="M1176" s="2" t="str">
        <f>IF(J1176="",ROUND(I1176*(1-IF(ISBLANK(L1176),K1176,L1176)/100),2),ROUND(J1176*(1-IF(ISBLANK(L1176),K1176,L1176)/100),2))</f>
      </c>
      <c r="N1176" s="7" t="str">
        <f>IF(NOT(AND(J1176="",L1176="")),IF(OR(AND(L1176&lt;&gt;"",NOT(ISNUMBER(L1176))),IFERROR(MOD(L1176,1),1)&gt;0,AND(ISNUMBER(L1176),OR(L1176&lt;0,L1176&gt;95))),"Введите целое число от 0 до 95",IF(OR(AND(J1176&lt;&gt;"",NOT(ISNUMBER(J1176))),IFERROR(MOD(J1176,1),1)&gt;0,AND(ISNUMBER(J1176),OR(J1176&lt;50,J1176&gt;20000000))),"Введите целое число от 50 до 20000000",IF(NOT(ABS(IFERROR(VALUE(LEFT(M1176,FIND("-",M1176)-1)),M1176)*100-(2500+2000000000)/2)&lt;=ABS(2500-2000000000)/2),"Цена со скидкой должна быть от 25 до 20000000",IF(AND(IFERROR(VALUE(LEFT(M1176,FIND("-",M1176)-1)),M1176)*150&lt;=525315,IFERROR(VALUE(LEFT(M1176,FIND("-",M1176)-1)),M1176)*200&gt;525315),"Вы уменьшили цену в несколько раз, товар попадет в карантин цен",IF(IFERROR(VALUE(LEFT(M1176,FIND("-",M1176)-1)),M1176)*200&lt;=525315,"Не сохранили изменения, чтобы защитить от ошибки — новые цены меньше текущих более чем в 2 раза. Снижайте их постепенно",IF(AND(IFERROR(VALUE(I1176),0)=0,ISNUMBER(J1176),OR(J1176&lt;496,ABS(IFERROR(VALUE(LEFT(M1176,FIND("-",M1176)-1)),M1176))*100&lt;49600)),"Проверьте цену товара. Большинство товаров в выбранной категории стоят дороже 496","")))))),"")</f>
      </c>
    </row>
    <row r="1177">
      <c r="A1177" s="2" t="inlineStr">
        <is>
          <t/>
        </is>
      </c>
      <c r="B1177" s="2" t="inlineStr">
        <is>
          <t>Чайники электрические</t>
        </is>
      </c>
      <c r="C1177" s="2">
        <v>725312322</v>
      </c>
      <c r="D1177" s="2" t="inlineStr">
        <is>
          <t>191563</t>
        </is>
      </c>
      <c r="E1177" s="2" t="inlineStr">
        <is>
          <t>2048047081772</t>
        </is>
      </c>
      <c r="F1177" s="2">
        <v>0</v>
      </c>
      <c r="G1177" s="2">
        <v>8</v>
      </c>
      <c r="H1177" s="2" t="inlineStr">
        <is>
          <t/>
        </is>
      </c>
      <c r="I1177" s="2" t="inlineStr">
        <is>
          <t>11368</t>
        </is>
      </c>
      <c r="J1177" s="4"/>
      <c r="K1177" s="2">
        <v>78</v>
      </c>
      <c r="L1177" s="6"/>
      <c r="M1177" s="2" t="str">
        <f>IF(J1177="",ROUND(I1177*(1-IF(ISBLANK(L1177),K1177,L1177)/100),2),ROUND(J1177*(1-IF(ISBLANK(L1177),K1177,L1177)/100),2))</f>
      </c>
      <c r="N1177" s="7" t="str">
        <f>IF(NOT(AND(J1177="",L1177="")),IF(OR(AND(L1177&lt;&gt;"",NOT(ISNUMBER(L1177))),IFERROR(MOD(L1177,1),1)&gt;0,AND(ISNUMBER(L1177),OR(L1177&lt;0,L1177&gt;95))),"Введите целое число от 0 до 95",IF(OR(AND(J1177&lt;&gt;"",NOT(ISNUMBER(J1177))),IFERROR(MOD(J1177,1),1)&gt;0,AND(ISNUMBER(J1177),OR(J1177&lt;50,J1177&gt;20000000))),"Введите целое число от 50 до 20000000",IF(NOT(ABS(IFERROR(VALUE(LEFT(M1177,FIND("-",M1177)-1)),M1177)*100-(2500+2000000000)/2)&lt;=ABS(2500-2000000000)/2),"Цена со скидкой должна быть от 25 до 20000000",IF(AND(IFERROR(VALUE(LEFT(M1177,FIND("-",M1177)-1)),M1177)*150&lt;=250095,IFERROR(VALUE(LEFT(M1177,FIND("-",M1177)-1)),M1177)*200&gt;250095),"Вы уменьшили цену в несколько раз, товар попадет в карантин цен",IF(IFERROR(VALUE(LEFT(M1177,FIND("-",M1177)-1)),M1177)*200&lt;=250095,"Не сохранили изменения, чтобы защитить от ошибки — новые цены меньше текущих более чем в 2 раза. Снижайте их постепенно",IF(AND(IFERROR(VALUE(I1177),0)=0,ISNUMBER(J1177),OR(J1177&lt;496,ABS(IFERROR(VALUE(LEFT(M1177,FIND("-",M1177)-1)),M1177))*100&lt;49600)),"Проверьте цену товара. Большинство товаров в выбранной категории стоят дороже 496","")))))),"")</f>
      </c>
    </row>
    <row r="1178">
      <c r="A1178" s="2" t="inlineStr">
        <is>
          <t/>
        </is>
      </c>
      <c r="B1178" s="2" t="inlineStr">
        <is>
          <t>Лотки для приборов</t>
        </is>
      </c>
      <c r="C1178" s="2">
        <v>727227077</v>
      </c>
      <c r="D1178" s="2" t="inlineStr">
        <is>
          <t>456711</t>
        </is>
      </c>
      <c r="E1178" s="2" t="inlineStr">
        <is>
          <t>2048061048096</t>
        </is>
      </c>
      <c r="F1178" s="2">
        <v>0</v>
      </c>
      <c r="G1178" s="2">
        <v>0</v>
      </c>
      <c r="H1178" s="2" t="inlineStr">
        <is>
          <t/>
        </is>
      </c>
      <c r="I1178" s="2" t="inlineStr">
        <is>
          <t>6644</t>
        </is>
      </c>
      <c r="J1178" s="4"/>
      <c r="K1178" s="2">
        <v>65</v>
      </c>
      <c r="L1178" s="6"/>
      <c r="M1178" s="2" t="str">
        <f>IF(J1178="",ROUND(I1178*(1-IF(ISBLANK(L1178),K1178,L1178)/100),2),ROUND(J1178*(1-IF(ISBLANK(L1178),K1178,L1178)/100),2))</f>
      </c>
      <c r="N1178" s="7" t="str">
        <f>IF(NOT(AND(J1178="",L1178="")),IF(OR(AND(L1178&lt;&gt;"",NOT(ISNUMBER(L1178))),IFERROR(MOD(L1178,1),1)&gt;0,AND(ISNUMBER(L1178),OR(L1178&lt;0,L1178&gt;95))),"Введите целое число от 0 до 95",IF(OR(AND(J1178&lt;&gt;"",NOT(ISNUMBER(J1178))),IFERROR(MOD(J1178,1),1)&gt;0,AND(ISNUMBER(J1178),OR(J1178&lt;50,J1178&gt;20000000))),"Введите целое число от 50 до 20000000",IF(NOT(ABS(IFERROR(VALUE(LEFT(M1178,FIND("-",M1178)-1)),M1178)*100-(2500+2000000000)/2)&lt;=ABS(2500-2000000000)/2),"Цена со скидкой должна быть от 25 до 20000000",IF(AND(IFERROR(VALUE(LEFT(M1178,FIND("-",M1178)-1)),M1178)*150&lt;=232539,IFERROR(VALUE(LEFT(M1178,FIND("-",M1178)-1)),M1178)*200&gt;232539),"Вы уменьшили цену в несколько раз, товар попадет в карантин цен",IF(IFERROR(VALUE(LEFT(M1178,FIND("-",M1178)-1)),M1178)*200&lt;=232539,"Не сохранили изменения, чтобы защитить от ошибки — новые цены меньше текущих более чем в 2 раза. Снижайте их постепенно",IF(AND(IFERROR(VALUE(I1178),0)=0,ISNUMBER(J1178),OR(J1178&lt;242,ABS(IFERROR(VALUE(LEFT(M1178,FIND("-",M1178)-1)),M1178))*100&lt;24200)),"Проверьте цену товара. Большинство товаров в выбранной категории стоят дороже 242","")))))),"")</f>
      </c>
    </row>
    <row r="1179">
      <c r="A1179" s="2" t="inlineStr">
        <is>
          <t/>
        </is>
      </c>
      <c r="B1179" s="2" t="inlineStr">
        <is>
          <t>Чайники электрические</t>
        </is>
      </c>
      <c r="C1179" s="2">
        <v>603736273</v>
      </c>
      <c r="D1179" s="2" t="inlineStr">
        <is>
          <t>191898</t>
        </is>
      </c>
      <c r="E1179" s="2" t="inlineStr">
        <is>
          <t>2047147983689</t>
        </is>
      </c>
      <c r="F1179" s="2">
        <v>0</v>
      </c>
      <c r="G1179" s="2">
        <v>2</v>
      </c>
      <c r="H1179" s="2" t="inlineStr">
        <is>
          <t/>
        </is>
      </c>
      <c r="I1179" s="2" t="inlineStr">
        <is>
          <t>9303</t>
        </is>
      </c>
      <c r="J1179" s="4"/>
      <c r="K1179" s="2">
        <v>75</v>
      </c>
      <c r="L1179" s="6"/>
      <c r="M1179" s="2" t="str">
        <f>IF(J1179="",ROUND(I1179*(1-IF(ISBLANK(L1179),K1179,L1179)/100),2),ROUND(J1179*(1-IF(ISBLANK(L1179),K1179,L1179)/100),2))</f>
      </c>
      <c r="N1179" s="7" t="str">
        <f>IF(NOT(AND(J1179="",L1179="")),IF(OR(AND(L1179&lt;&gt;"",NOT(ISNUMBER(L1179))),IFERROR(MOD(L1179,1),1)&gt;0,AND(ISNUMBER(L1179),OR(L1179&lt;0,L1179&gt;95))),"Введите целое число от 0 до 95",IF(OR(AND(J1179&lt;&gt;"",NOT(ISNUMBER(J1179))),IFERROR(MOD(J1179,1),1)&gt;0,AND(ISNUMBER(J1179),OR(J1179&lt;50,J1179&gt;20000000))),"Введите целое число от 50 до 20000000",IF(NOT(ABS(IFERROR(VALUE(LEFT(M1179,FIND("-",M1179)-1)),M1179)*100-(2500+2000000000)/2)&lt;=ABS(2500-2000000000)/2),"Цена со скидкой должна быть от 25 до 20000000",IF(AND(IFERROR(VALUE(LEFT(M1179,FIND("-",M1179)-1)),M1179)*150&lt;=232575,IFERROR(VALUE(LEFT(M1179,FIND("-",M1179)-1)),M1179)*200&gt;232575),"Вы уменьшили цену в несколько раз, товар попадет в карантин цен",IF(IFERROR(VALUE(LEFT(M1179,FIND("-",M1179)-1)),M1179)*200&lt;=232575,"Не сохранили изменения, чтобы защитить от ошибки — новые цены меньше текущих более чем в 2 раза. Снижайте их постепенно",IF(AND(IFERROR(VALUE(I1179),0)=0,ISNUMBER(J1179),OR(J1179&lt;496,ABS(IFERROR(VALUE(LEFT(M1179,FIND("-",M1179)-1)),M1179))*100&lt;49600)),"Проверьте цену товара. Большинство товаров в выбранной категории стоят дороже 496","")))))),"")</f>
      </c>
    </row>
    <row r="1180">
      <c r="A1180" s="2" t="inlineStr">
        <is>
          <t/>
        </is>
      </c>
      <c r="B1180" s="2" t="inlineStr">
        <is>
          <t>Чайники электрические</t>
        </is>
      </c>
      <c r="C1180" s="2">
        <v>603732356</v>
      </c>
      <c r="D1180" s="2" t="inlineStr">
        <is>
          <t>192182</t>
        </is>
      </c>
      <c r="E1180" s="2" t="inlineStr">
        <is>
          <t>2047147941498</t>
        </is>
      </c>
      <c r="F1180" s="2">
        <v>0</v>
      </c>
      <c r="G1180" s="2">
        <v>0</v>
      </c>
      <c r="H1180" s="2" t="inlineStr">
        <is>
          <t/>
        </is>
      </c>
      <c r="I1180" s="2" t="inlineStr">
        <is>
          <t>11380</t>
        </is>
      </c>
      <c r="J1180" s="4"/>
      <c r="K1180" s="2">
        <v>65</v>
      </c>
      <c r="L1180" s="6"/>
      <c r="M1180" s="2" t="str">
        <f>IF(J1180="",ROUND(I1180*(1-IF(ISBLANK(L1180),K1180,L1180)/100),2),ROUND(J1180*(1-IF(ISBLANK(L1180),K1180,L1180)/100),2))</f>
      </c>
      <c r="N1180" s="7" t="str">
        <f>IF(NOT(AND(J1180="",L1180="")),IF(OR(AND(L1180&lt;&gt;"",NOT(ISNUMBER(L1180))),IFERROR(MOD(L1180,1),1)&gt;0,AND(ISNUMBER(L1180),OR(L1180&lt;0,L1180&gt;95))),"Введите целое число от 0 до 95",IF(OR(AND(J1180&lt;&gt;"",NOT(ISNUMBER(J1180))),IFERROR(MOD(J1180,1),1)&gt;0,AND(ISNUMBER(J1180),OR(J1180&lt;50,J1180&gt;20000000))),"Введите целое число от 50 до 20000000",IF(NOT(ABS(IFERROR(VALUE(LEFT(M1180,FIND("-",M1180)-1)),M1180)*100-(2500+2000000000)/2)&lt;=ABS(2500-2000000000)/2),"Цена со скидкой должна быть от 25 до 20000000",IF(AND(IFERROR(VALUE(LEFT(M1180,FIND("-",M1180)-1)),M1180)*150&lt;=398299,IFERROR(VALUE(LEFT(M1180,FIND("-",M1180)-1)),M1180)*200&gt;398299),"Вы уменьшили цену в несколько раз, товар попадет в карантин цен",IF(IFERROR(VALUE(LEFT(M1180,FIND("-",M1180)-1)),M1180)*200&lt;=398299,"Не сохранили изменения, чтобы защитить от ошибки — новые цены меньше текущих более чем в 2 раза. Снижайте их постепенно",IF(AND(IFERROR(VALUE(I1180),0)=0,ISNUMBER(J1180),OR(J1180&lt;496,ABS(IFERROR(VALUE(LEFT(M1180,FIND("-",M1180)-1)),M1180))*100&lt;49600)),"Проверьте цену товара. Большинство товаров в выбранной категории стоят дороже 496","")))))),"")</f>
      </c>
    </row>
    <row r="1181">
      <c r="A1181" s="2" t="inlineStr">
        <is>
          <t/>
        </is>
      </c>
      <c r="B1181" s="2" t="inlineStr">
        <is>
          <t>Чайники электрические</t>
        </is>
      </c>
      <c r="C1181" s="2">
        <v>765820375</v>
      </c>
      <c r="D1181" s="2" t="inlineStr">
        <is>
          <t>191887</t>
        </is>
      </c>
      <c r="E1181" s="2" t="inlineStr">
        <is>
          <t>2048427567971</t>
        </is>
      </c>
      <c r="F1181" s="2">
        <v>2</v>
      </c>
      <c r="G1181" s="2">
        <v>0</v>
      </c>
      <c r="H1181" s="2">
        <v>999</v>
      </c>
      <c r="I1181" s="2" t="inlineStr">
        <is>
          <t>9328</t>
        </is>
      </c>
      <c r="J1181" s="4"/>
      <c r="K1181" s="2">
        <v>81</v>
      </c>
      <c r="L1181" s="6"/>
      <c r="M1181" s="2" t="str">
        <f>IF(J1181="",ROUND(I1181*(1-IF(ISBLANK(L1181),K1181,L1181)/100),2),ROUND(J1181*(1-IF(ISBLANK(L1181),K1181,L1181)/100),2))</f>
      </c>
      <c r="N1181" s="7" t="str">
        <f>IF(NOT(AND(J1181="",L1181="")),IF(OR(AND(L1181&lt;&gt;"",NOT(ISNUMBER(L1181))),IFERROR(MOD(L1181,1),1)&gt;0,AND(ISNUMBER(L1181),OR(L1181&lt;0,L1181&gt;95))),"Введите целое число от 0 до 95",IF(OR(AND(J1181&lt;&gt;"",NOT(ISNUMBER(J1181))),IFERROR(MOD(J1181,1),1)&gt;0,AND(ISNUMBER(J1181),OR(J1181&lt;50,J1181&gt;20000000))),"Введите целое число от 50 до 20000000",IF(NOT(ABS(IFERROR(VALUE(LEFT(M1181,FIND("-",M1181)-1)),M1181)*100-(2500+2000000000)/2)&lt;=ABS(2500-2000000000)/2),"Цена со скидкой должна быть от 25 до 20000000",IF(AND(IFERROR(VALUE(LEFT(M1181,FIND("-",M1181)-1)),M1181)*150&lt;=177231,IFERROR(VALUE(LEFT(M1181,FIND("-",M1181)-1)),M1181)*200&gt;177231),"Вы уменьшили цену в несколько раз, товар попадет в карантин цен",IF(IFERROR(VALUE(LEFT(M1181,FIND("-",M1181)-1)),M1181)*200&lt;=177231,"Не сохранили изменения, чтобы защитить от ошибки — новые цены меньше текущих более чем в 2 раза. Снижайте их постепенно",IF(AND(IFERROR(VALUE(I1181),0)=0,ISNUMBER(J1181),OR(J1181&lt;496,ABS(IFERROR(VALUE(LEFT(M1181,FIND("-",M1181)-1)),M1181))*100&lt;49600)),"Проверьте цену товара. Большинство товаров в выбранной категории стоят дороже 496","")))))),"")</f>
      </c>
    </row>
    <row r="1182">
      <c r="A1182" s="2" t="inlineStr">
        <is>
          <t/>
        </is>
      </c>
      <c r="B1182" s="2" t="inlineStr">
        <is>
          <t>Чайники электрические</t>
        </is>
      </c>
      <c r="C1182" s="2">
        <v>765820372</v>
      </c>
      <c r="D1182" s="2" t="inlineStr">
        <is>
          <t>192149</t>
        </is>
      </c>
      <c r="E1182" s="2" t="inlineStr">
        <is>
          <t>2048427567933</t>
        </is>
      </c>
      <c r="F1182" s="2">
        <v>4</v>
      </c>
      <c r="G1182" s="2">
        <v>0</v>
      </c>
      <c r="H1182" s="2">
        <v>999</v>
      </c>
      <c r="I1182" s="2" t="inlineStr">
        <is>
          <t>15363</t>
        </is>
      </c>
      <c r="J1182" s="4"/>
      <c r="K1182" s="2">
        <v>79</v>
      </c>
      <c r="L1182" s="6"/>
      <c r="M1182" s="2" t="str">
        <f>IF(J1182="",ROUND(I1182*(1-IF(ISBLANK(L1182),K1182,L1182)/100),2),ROUND(J1182*(1-IF(ISBLANK(L1182),K1182,L1182)/100),2))</f>
      </c>
      <c r="N1182" s="7" t="str">
        <f>IF(NOT(AND(J1182="",L1182="")),IF(OR(AND(L1182&lt;&gt;"",NOT(ISNUMBER(L1182))),IFERROR(MOD(L1182,1),1)&gt;0,AND(ISNUMBER(L1182),OR(L1182&lt;0,L1182&gt;95))),"Введите целое число от 0 до 95",IF(OR(AND(J1182&lt;&gt;"",NOT(ISNUMBER(J1182))),IFERROR(MOD(J1182,1),1)&gt;0,AND(ISNUMBER(J1182),OR(J1182&lt;50,J1182&gt;20000000))),"Введите целое число от 50 до 20000000",IF(NOT(ABS(IFERROR(VALUE(LEFT(M1182,FIND("-",M1182)-1)),M1182)*100-(2500+2000000000)/2)&lt;=ABS(2500-2000000000)/2),"Цена со скидкой должна быть от 25 до 20000000",IF(AND(IFERROR(VALUE(LEFT(M1182,FIND("-",M1182)-1)),M1182)*150&lt;=322622,IFERROR(VALUE(LEFT(M1182,FIND("-",M1182)-1)),M1182)*200&gt;322622),"Вы уменьшили цену в несколько раз, товар попадет в карантин цен",IF(IFERROR(VALUE(LEFT(M1182,FIND("-",M1182)-1)),M1182)*200&lt;=322622,"Не сохранили изменения, чтобы защитить от ошибки — новые цены меньше текущих более чем в 2 раза. Снижайте их постепенно",IF(AND(IFERROR(VALUE(I1182),0)=0,ISNUMBER(J1182),OR(J1182&lt;496,ABS(IFERROR(VALUE(LEFT(M1182,FIND("-",M1182)-1)),M1182))*100&lt;49600)),"Проверьте цену товара. Большинство товаров в выбранной категории стоят дороже 496","")))))),"")</f>
      </c>
    </row>
    <row r="1183">
      <c r="A1183" s="2" t="inlineStr">
        <is>
          <t>Luxaro</t>
        </is>
      </c>
      <c r="B1183" s="2" t="inlineStr">
        <is>
          <t>Тарелки</t>
        </is>
      </c>
      <c r="C1183" s="2">
        <v>306127787</v>
      </c>
      <c r="D1183" s="2" t="inlineStr">
        <is>
          <t>075046</t>
        </is>
      </c>
      <c r="E1183" s="2" t="inlineStr">
        <is>
          <t>4670294453798</t>
        </is>
      </c>
      <c r="F1183" s="2">
        <v>0</v>
      </c>
      <c r="G1183" s="2">
        <v>0</v>
      </c>
      <c r="H1183" s="2">
        <v>1</v>
      </c>
      <c r="I1183" s="2" t="inlineStr">
        <is>
          <t>6022</t>
        </is>
      </c>
      <c r="J1183" s="4"/>
      <c r="K1183" s="2">
        <v>65</v>
      </c>
      <c r="L1183" s="6"/>
      <c r="M1183" s="2" t="str">
        <f>IF(J1183="",ROUND(I1183*(1-IF(ISBLANK(L1183),K1183,L1183)/100),2),ROUND(J1183*(1-IF(ISBLANK(L1183),K1183,L1183)/100),2))</f>
      </c>
      <c r="N1183" s="7" t="str">
        <f>IF(NOT(AND(J1183="",L1183="")),IF(OR(AND(L1183&lt;&gt;"",NOT(ISNUMBER(L1183))),IFERROR(MOD(L1183,1),1)&gt;0,AND(ISNUMBER(L1183),OR(L1183&lt;0,L1183&gt;95))),"Введите целое число от 0 до 95",IF(OR(AND(J1183&lt;&gt;"",NOT(ISNUMBER(J1183))),IFERROR(MOD(J1183,1),1)&gt;0,AND(ISNUMBER(J1183),OR(J1183&lt;50,J1183&gt;20000000))),"Введите целое число от 50 до 20000000",IF(NOT(ABS(IFERROR(VALUE(LEFT(M1183,FIND("-",M1183)-1)),M1183)*100-(2500+2000000000)/2)&lt;=ABS(2500-2000000000)/2),"Цена со скидкой должна быть от 25 до 20000000",IF(AND(IFERROR(VALUE(LEFT(M1183,FIND("-",M1183)-1)),M1183)*150&lt;=210769,IFERROR(VALUE(LEFT(M1183,FIND("-",M1183)-1)),M1183)*200&gt;210769),"Вы уменьшили цену в несколько раз, товар попадет в карантин цен",IF(IFERROR(VALUE(LEFT(M1183,FIND("-",M1183)-1)),M1183)*200&lt;=210769,"Не сохранили изменения, чтобы защитить от ошибки — новые цены меньше текущих более чем в 2 раза. Снижайте их постепенно",IF(AND(IFERROR(VALUE(I1183),0)=0,ISNUMBER(J1183),OR(J1183&lt;413,ABS(IFERROR(VALUE(LEFT(M1183,FIND("-",M1183)-1)),M1183))*100&lt;41300)),"Проверьте цену товара. Большинство товаров в выбранной категории стоят дороже 413","")))))),"")</f>
      </c>
    </row>
    <row r="1184">
      <c r="A1184" s="2" t="inlineStr">
        <is>
          <t/>
        </is>
      </c>
      <c r="B1184" s="2" t="inlineStr">
        <is>
          <t>Чайники электрические</t>
        </is>
      </c>
      <c r="C1184" s="2">
        <v>603732365</v>
      </c>
      <c r="D1184" s="2" t="inlineStr">
        <is>
          <t>192380</t>
        </is>
      </c>
      <c r="E1184" s="2" t="inlineStr">
        <is>
          <t>2047147941580</t>
        </is>
      </c>
      <c r="F1184" s="2">
        <v>0</v>
      </c>
      <c r="G1184" s="2">
        <v>0</v>
      </c>
      <c r="H1184" s="2" t="inlineStr">
        <is>
          <t/>
        </is>
      </c>
      <c r="I1184" s="2" t="inlineStr">
        <is>
          <t>7302</t>
        </is>
      </c>
      <c r="J1184" s="4"/>
      <c r="K1184" s="2">
        <v>65</v>
      </c>
      <c r="L1184" s="6"/>
      <c r="M1184" s="2" t="str">
        <f>IF(J1184="",ROUND(I1184*(1-IF(ISBLANK(L1184),K1184,L1184)/100),2),ROUND(J1184*(1-IF(ISBLANK(L1184),K1184,L1184)/100),2))</f>
      </c>
      <c r="N1184" s="7" t="str">
        <f>IF(NOT(AND(J1184="",L1184="")),IF(OR(AND(L1184&lt;&gt;"",NOT(ISNUMBER(L1184))),IFERROR(MOD(L1184,1),1)&gt;0,AND(ISNUMBER(L1184),OR(L1184&lt;0,L1184&gt;95))),"Введите целое число от 0 до 95",IF(OR(AND(J1184&lt;&gt;"",NOT(ISNUMBER(J1184))),IFERROR(MOD(J1184,1),1)&gt;0,AND(ISNUMBER(J1184),OR(J1184&lt;50,J1184&gt;20000000))),"Введите целое число от 50 до 20000000",IF(NOT(ABS(IFERROR(VALUE(LEFT(M1184,FIND("-",M1184)-1)),M1184)*100-(2500+2000000000)/2)&lt;=ABS(2500-2000000000)/2),"Цена со скидкой должна быть от 25 до 20000000",IF(AND(IFERROR(VALUE(LEFT(M1184,FIND("-",M1184)-1)),M1184)*150&lt;=255569,IFERROR(VALUE(LEFT(M1184,FIND("-",M1184)-1)),M1184)*200&gt;255569),"Вы уменьшили цену в несколько раз, товар попадет в карантин цен",IF(IFERROR(VALUE(LEFT(M1184,FIND("-",M1184)-1)),M1184)*200&lt;=255569,"Не сохранили изменения, чтобы защитить от ошибки — новые цены меньше текущих более чем в 2 раза. Снижайте их постепенно",IF(AND(IFERROR(VALUE(I1184),0)=0,ISNUMBER(J1184),OR(J1184&lt;496,ABS(IFERROR(VALUE(LEFT(M1184,FIND("-",M1184)-1)),M1184))*100&lt;49600)),"Проверьте цену товара. Большинство товаров в выбранной категории стоят дороже 496","")))))),"")</f>
      </c>
    </row>
    <row r="1185">
      <c r="A1185" s="2" t="inlineStr">
        <is>
          <t/>
        </is>
      </c>
      <c r="B1185" s="2" t="inlineStr">
        <is>
          <t>Чайники электрические</t>
        </is>
      </c>
      <c r="C1185" s="2">
        <v>765820366</v>
      </c>
      <c r="D1185" s="2" t="inlineStr">
        <is>
          <t>192563</t>
        </is>
      </c>
      <c r="E1185" s="2" t="inlineStr">
        <is>
          <t>2048427567872</t>
        </is>
      </c>
      <c r="F1185" s="2">
        <v>3</v>
      </c>
      <c r="G1185" s="2">
        <v>6</v>
      </c>
      <c r="H1185" s="2">
        <v>999</v>
      </c>
      <c r="I1185" s="2" t="inlineStr">
        <is>
          <t>11883</t>
        </is>
      </c>
      <c r="J1185" s="4"/>
      <c r="K1185" s="2">
        <v>81</v>
      </c>
      <c r="L1185" s="6"/>
      <c r="M1185" s="2" t="str">
        <f>IF(J1185="",ROUND(I1185*(1-IF(ISBLANK(L1185),K1185,L1185)/100),2),ROUND(J1185*(1-IF(ISBLANK(L1185),K1185,L1185)/100),2))</f>
      </c>
      <c r="N1185" s="7" t="str">
        <f>IF(NOT(AND(J1185="",L1185="")),IF(OR(AND(L1185&lt;&gt;"",NOT(ISNUMBER(L1185))),IFERROR(MOD(L1185,1),1)&gt;0,AND(ISNUMBER(L1185),OR(L1185&lt;0,L1185&gt;95))),"Введите целое число от 0 до 95",IF(OR(AND(J1185&lt;&gt;"",NOT(ISNUMBER(J1185))),IFERROR(MOD(J1185,1),1)&gt;0,AND(ISNUMBER(J1185),OR(J1185&lt;50,J1185&gt;20000000))),"Введите целое число от 50 до 20000000",IF(NOT(ABS(IFERROR(VALUE(LEFT(M1185,FIND("-",M1185)-1)),M1185)*100-(2500+2000000000)/2)&lt;=ABS(2500-2000000000)/2),"Цена со скидкой должна быть от 25 до 20000000",IF(AND(IFERROR(VALUE(LEFT(M1185,FIND("-",M1185)-1)),M1185)*150&lt;=225776,IFERROR(VALUE(LEFT(M1185,FIND("-",M1185)-1)),M1185)*200&gt;225776),"Вы уменьшили цену в несколько раз, товар попадет в карантин цен",IF(IFERROR(VALUE(LEFT(M1185,FIND("-",M1185)-1)),M1185)*200&lt;=225776,"Не сохранили изменения, чтобы защитить от ошибки — новые цены меньше текущих более чем в 2 раза. Снижайте их постепенно",IF(AND(IFERROR(VALUE(I1185),0)=0,ISNUMBER(J1185),OR(J1185&lt;496,ABS(IFERROR(VALUE(LEFT(M1185,FIND("-",M1185)-1)),M1185))*100&lt;49600)),"Проверьте цену товара. Большинство товаров в выбранной категории стоят дороже 496","")))))),"")</f>
      </c>
    </row>
    <row r="1186">
      <c r="A1186" s="2" t="inlineStr">
        <is>
          <t/>
        </is>
      </c>
      <c r="B1186" s="2" t="inlineStr">
        <is>
          <t>Чайники электрические</t>
        </is>
      </c>
      <c r="C1186" s="2">
        <v>725312327</v>
      </c>
      <c r="D1186" s="2" t="inlineStr">
        <is>
          <t>192364</t>
        </is>
      </c>
      <c r="E1186" s="2" t="inlineStr">
        <is>
          <t>2048047081826</t>
        </is>
      </c>
      <c r="F1186" s="2">
        <v>0</v>
      </c>
      <c r="G1186" s="2">
        <v>0</v>
      </c>
      <c r="H1186" s="2" t="inlineStr">
        <is>
          <t/>
        </is>
      </c>
      <c r="I1186" s="2" t="inlineStr">
        <is>
          <t>17643</t>
        </is>
      </c>
      <c r="J1186" s="4"/>
      <c r="K1186" s="2">
        <v>65</v>
      </c>
      <c r="L1186" s="6"/>
      <c r="M1186" s="2" t="str">
        <f>IF(J1186="",ROUND(I1186*(1-IF(ISBLANK(L1186),K1186,L1186)/100),2),ROUND(J1186*(1-IF(ISBLANK(L1186),K1186,L1186)/100),2))</f>
      </c>
      <c r="N1186" s="7" t="str">
        <f>IF(NOT(AND(J1186="",L1186="")),IF(OR(AND(L1186&lt;&gt;"",NOT(ISNUMBER(L1186))),IFERROR(MOD(L1186,1),1)&gt;0,AND(ISNUMBER(L1186),OR(L1186&lt;0,L1186&gt;95))),"Введите целое число от 0 до 95",IF(OR(AND(J1186&lt;&gt;"",NOT(ISNUMBER(J1186))),IFERROR(MOD(J1186,1),1)&gt;0,AND(ISNUMBER(J1186),OR(J1186&lt;50,J1186&gt;20000000))),"Введите целое число от 50 до 20000000",IF(NOT(ABS(IFERROR(VALUE(LEFT(M1186,FIND("-",M1186)-1)),M1186)*100-(2500+2000000000)/2)&lt;=ABS(2500-2000000000)/2),"Цена со скидкой должна быть от 25 до 20000000",IF(AND(IFERROR(VALUE(LEFT(M1186,FIND("-",M1186)-1)),M1186)*150&lt;=617504,IFERROR(VALUE(LEFT(M1186,FIND("-",M1186)-1)),M1186)*200&gt;617504),"Вы уменьшили цену в несколько раз, товар попадет в карантин цен",IF(IFERROR(VALUE(LEFT(M1186,FIND("-",M1186)-1)),M1186)*200&lt;=617504,"Не сохранили изменения, чтобы защитить от ошибки — новые цены меньше текущих более чем в 2 раза. Снижайте их постепенно",IF(AND(IFERROR(VALUE(I1186),0)=0,ISNUMBER(J1186),OR(J1186&lt;496,ABS(IFERROR(VALUE(LEFT(M1186,FIND("-",M1186)-1)),M1186))*100&lt;49600)),"Проверьте цену товара. Большинство товаров в выбранной категории стоят дороже 496","")))))),"")</f>
      </c>
    </row>
    <row r="1187">
      <c r="A1187" s="2" t="inlineStr">
        <is>
          <t/>
        </is>
      </c>
      <c r="B1187" s="2" t="inlineStr">
        <is>
          <t>Чайники электрические</t>
        </is>
      </c>
      <c r="C1187" s="2">
        <v>725312313</v>
      </c>
      <c r="D1187" s="2" t="inlineStr">
        <is>
          <t>192333</t>
        </is>
      </c>
      <c r="E1187" s="2" t="inlineStr">
        <is>
          <t>2048047081680</t>
        </is>
      </c>
      <c r="F1187" s="2">
        <v>0</v>
      </c>
      <c r="G1187" s="2">
        <v>0</v>
      </c>
      <c r="H1187" s="2" t="inlineStr">
        <is>
          <t/>
        </is>
      </c>
      <c r="I1187" s="2" t="inlineStr">
        <is>
          <t>17308</t>
        </is>
      </c>
      <c r="J1187" s="4"/>
      <c r="K1187" s="2">
        <v>65</v>
      </c>
      <c r="L1187" s="6"/>
      <c r="M1187" s="2" t="str">
        <f>IF(J1187="",ROUND(I1187*(1-IF(ISBLANK(L1187),K1187,L1187)/100),2),ROUND(J1187*(1-IF(ISBLANK(L1187),K1187,L1187)/100),2))</f>
      </c>
      <c r="N1187" s="7" t="str">
        <f>IF(NOT(AND(J1187="",L1187="")),IF(OR(AND(L1187&lt;&gt;"",NOT(ISNUMBER(L1187))),IFERROR(MOD(L1187,1),1)&gt;0,AND(ISNUMBER(L1187),OR(L1187&lt;0,L1187&gt;95))),"Введите целое число от 0 до 95",IF(OR(AND(J1187&lt;&gt;"",NOT(ISNUMBER(J1187))),IFERROR(MOD(J1187,1),1)&gt;0,AND(ISNUMBER(J1187),OR(J1187&lt;50,J1187&gt;20000000))),"Введите целое число от 50 до 20000000",IF(NOT(ABS(IFERROR(VALUE(LEFT(M1187,FIND("-",M1187)-1)),M1187)*100-(2500+2000000000)/2)&lt;=ABS(2500-2000000000)/2),"Цена со скидкой должна быть от 25 до 20000000",IF(AND(IFERROR(VALUE(LEFT(M1187,FIND("-",M1187)-1)),M1187)*150&lt;=605779,IFERROR(VALUE(LEFT(M1187,FIND("-",M1187)-1)),M1187)*200&gt;605779),"Вы уменьшили цену в несколько раз, товар попадет в карантин цен",IF(IFERROR(VALUE(LEFT(M1187,FIND("-",M1187)-1)),M1187)*200&lt;=605779,"Не сохранили изменения, чтобы защитить от ошибки — новые цены меньше текущих более чем в 2 раза. Снижайте их постепенно",IF(AND(IFERROR(VALUE(I1187),0)=0,ISNUMBER(J1187),OR(J1187&lt;496,ABS(IFERROR(VALUE(LEFT(M1187,FIND("-",M1187)-1)),M1187))*100&lt;49600)),"Проверьте цену товара. Большинство товаров в выбранной категории стоят дороже 496","")))))),"")</f>
      </c>
    </row>
    <row r="1188">
      <c r="A1188" s="2" t="inlineStr">
        <is>
          <t/>
        </is>
      </c>
      <c r="B1188" s="2" t="inlineStr">
        <is>
          <t>Чайники электрические</t>
        </is>
      </c>
      <c r="C1188" s="2">
        <v>765820385</v>
      </c>
      <c r="D1188" s="2" t="inlineStr">
        <is>
          <t>192749</t>
        </is>
      </c>
      <c r="E1188" s="2" t="inlineStr">
        <is>
          <t>2048427568107</t>
        </is>
      </c>
      <c r="F1188" s="2">
        <v>2</v>
      </c>
      <c r="G1188" s="2">
        <v>0</v>
      </c>
      <c r="H1188" s="2">
        <v>999</v>
      </c>
      <c r="I1188" s="2" t="inlineStr">
        <is>
          <t>14550</t>
        </is>
      </c>
      <c r="J1188" s="4"/>
      <c r="K1188" s="2">
        <v>81</v>
      </c>
      <c r="L1188" s="6"/>
      <c r="M1188" s="2" t="str">
        <f>IF(J1188="",ROUND(I1188*(1-IF(ISBLANK(L1188),K1188,L1188)/100),2),ROUND(J1188*(1-IF(ISBLANK(L1188),K1188,L1188)/100),2))</f>
      </c>
      <c r="N1188" s="7" t="str">
        <f>IF(NOT(AND(J1188="",L1188="")),IF(OR(AND(L1188&lt;&gt;"",NOT(ISNUMBER(L1188))),IFERROR(MOD(L1188,1),1)&gt;0,AND(ISNUMBER(L1188),OR(L1188&lt;0,L1188&gt;95))),"Введите целое число от 0 до 95",IF(OR(AND(J1188&lt;&gt;"",NOT(ISNUMBER(J1188))),IFERROR(MOD(J1188,1),1)&gt;0,AND(ISNUMBER(J1188),OR(J1188&lt;50,J1188&gt;20000000))),"Введите целое число от 50 до 20000000",IF(NOT(ABS(IFERROR(VALUE(LEFT(M1188,FIND("-",M1188)-1)),M1188)*100-(2500+2000000000)/2)&lt;=ABS(2500-2000000000)/2),"Цена со скидкой должна быть от 25 до 20000000",IF(AND(IFERROR(VALUE(LEFT(M1188,FIND("-",M1188)-1)),M1188)*150&lt;=276449,IFERROR(VALUE(LEFT(M1188,FIND("-",M1188)-1)),M1188)*200&gt;276449),"Вы уменьшили цену в несколько раз, товар попадет в карантин цен",IF(IFERROR(VALUE(LEFT(M1188,FIND("-",M1188)-1)),M1188)*200&lt;=276449,"Не сохранили изменения, чтобы защитить от ошибки — новые цены меньше текущих более чем в 2 раза. Снижайте их постепенно",IF(AND(IFERROR(VALUE(I1188),0)=0,ISNUMBER(J1188),OR(J1188&lt;496,ABS(IFERROR(VALUE(LEFT(M1188,FIND("-",M1188)-1)),M1188))*100&lt;49600)),"Проверьте цену товара. Большинство товаров в выбранной категории стоят дороже 496","")))))),"")</f>
      </c>
    </row>
    <row r="1189">
      <c r="A1189" s="2" t="inlineStr">
        <is>
          <t/>
        </is>
      </c>
      <c r="B1189" s="2" t="inlineStr">
        <is>
          <t>Чайники электрические</t>
        </is>
      </c>
      <c r="C1189" s="2">
        <v>603736267</v>
      </c>
      <c r="D1189" s="2" t="inlineStr">
        <is>
          <t>192310</t>
        </is>
      </c>
      <c r="E1189" s="2" t="inlineStr">
        <is>
          <t>2047147983603</t>
        </is>
      </c>
      <c r="F1189" s="2">
        <v>0</v>
      </c>
      <c r="G1189" s="2">
        <v>80</v>
      </c>
      <c r="H1189" s="2" t="inlineStr">
        <is>
          <t/>
        </is>
      </c>
      <c r="I1189" s="2" t="inlineStr">
        <is>
          <t>8709</t>
        </is>
      </c>
      <c r="J1189" s="4"/>
      <c r="K1189" s="2">
        <v>78</v>
      </c>
      <c r="L1189" s="6"/>
      <c r="M1189" s="2" t="str">
        <f>IF(J1189="",ROUND(I1189*(1-IF(ISBLANK(L1189),K1189,L1189)/100),2),ROUND(J1189*(1-IF(ISBLANK(L1189),K1189,L1189)/100),2))</f>
      </c>
      <c r="N1189" s="7" t="str">
        <f>IF(NOT(AND(J1189="",L1189="")),IF(OR(AND(L1189&lt;&gt;"",NOT(ISNUMBER(L1189))),IFERROR(MOD(L1189,1),1)&gt;0,AND(ISNUMBER(L1189),OR(L1189&lt;0,L1189&gt;95))),"Введите целое число от 0 до 95",IF(OR(AND(J1189&lt;&gt;"",NOT(ISNUMBER(J1189))),IFERROR(MOD(J1189,1),1)&gt;0,AND(ISNUMBER(J1189),OR(J1189&lt;50,J1189&gt;20000000))),"Введите целое число от 50 до 20000000",IF(NOT(ABS(IFERROR(VALUE(LEFT(M1189,FIND("-",M1189)-1)),M1189)*100-(2500+2000000000)/2)&lt;=ABS(2500-2000000000)/2),"Цена со скидкой должна быть от 25 до 20000000",IF(AND(IFERROR(VALUE(LEFT(M1189,FIND("-",M1189)-1)),M1189)*150&lt;=191597,IFERROR(VALUE(LEFT(M1189,FIND("-",M1189)-1)),M1189)*200&gt;191597),"Вы уменьшили цену в несколько раз, товар попадет в карантин цен",IF(IFERROR(VALUE(LEFT(M1189,FIND("-",M1189)-1)),M1189)*200&lt;=191597,"Не сохранили изменения, чтобы защитить от ошибки — новые цены меньше текущих более чем в 2 раза. Снижайте их постепенно",IF(AND(IFERROR(VALUE(I1189),0)=0,ISNUMBER(J1189),OR(J1189&lt;496,ABS(IFERROR(VALUE(LEFT(M1189,FIND("-",M1189)-1)),M1189))*100&lt;49600)),"Проверьте цену товара. Большинство товаров в выбранной категории стоят дороже 496","")))))),"")</f>
      </c>
    </row>
    <row r="1190">
      <c r="A1190" s="2" t="inlineStr">
        <is>
          <t/>
        </is>
      </c>
      <c r="B1190" s="2" t="inlineStr">
        <is>
          <t>Чайники электрические</t>
        </is>
      </c>
      <c r="C1190" s="2">
        <v>765820370</v>
      </c>
      <c r="D1190" s="2" t="inlineStr">
        <is>
          <t>192203</t>
        </is>
      </c>
      <c r="E1190" s="2" t="inlineStr">
        <is>
          <t>2048427567919</t>
        </is>
      </c>
      <c r="F1190" s="2">
        <v>3</v>
      </c>
      <c r="G1190" s="2">
        <v>8</v>
      </c>
      <c r="H1190" s="2">
        <v>999</v>
      </c>
      <c r="I1190" s="2" t="inlineStr">
        <is>
          <t>12188</t>
        </is>
      </c>
      <c r="J1190" s="4"/>
      <c r="K1190" s="2">
        <v>81</v>
      </c>
      <c r="L1190" s="6"/>
      <c r="M1190" s="2" t="str">
        <f>IF(J1190="",ROUND(I1190*(1-IF(ISBLANK(L1190),K1190,L1190)/100),2),ROUND(J1190*(1-IF(ISBLANK(L1190),K1190,L1190)/100),2))</f>
      </c>
      <c r="N1190" s="7" t="str">
        <f>IF(NOT(AND(J1190="",L1190="")),IF(OR(AND(L1190&lt;&gt;"",NOT(ISNUMBER(L1190))),IFERROR(MOD(L1190,1),1)&gt;0,AND(ISNUMBER(L1190),OR(L1190&lt;0,L1190&gt;95))),"Введите целое число от 0 до 95",IF(OR(AND(J1190&lt;&gt;"",NOT(ISNUMBER(J1190))),IFERROR(MOD(J1190,1),1)&gt;0,AND(ISNUMBER(J1190),OR(J1190&lt;50,J1190&gt;20000000))),"Введите целое число от 50 до 20000000",IF(NOT(ABS(IFERROR(VALUE(LEFT(M1190,FIND("-",M1190)-1)),M1190)*100-(2500+2000000000)/2)&lt;=ABS(2500-2000000000)/2),"Цена со скидкой должна быть от 25 до 20000000",IF(AND(IFERROR(VALUE(LEFT(M1190,FIND("-",M1190)-1)),M1190)*150&lt;=231571,IFERROR(VALUE(LEFT(M1190,FIND("-",M1190)-1)),M1190)*200&gt;231571),"Вы уменьшили цену в несколько раз, товар попадет в карантин цен",IF(IFERROR(VALUE(LEFT(M1190,FIND("-",M1190)-1)),M1190)*200&lt;=231571,"Не сохранили изменения, чтобы защитить от ошибки — новые цены меньше текущих более чем в 2 раза. Снижайте их постепенно",IF(AND(IFERROR(VALUE(I1190),0)=0,ISNUMBER(J1190),OR(J1190&lt;496,ABS(IFERROR(VALUE(LEFT(M1190,FIND("-",M1190)-1)),M1190))*100&lt;49600)),"Проверьте цену товара. Большинство товаров в выбранной категории стоят дороже 496","")))))),"")</f>
      </c>
    </row>
    <row r="1191">
      <c r="A1191" s="2" t="inlineStr">
        <is>
          <t/>
        </is>
      </c>
      <c r="B1191" s="2" t="inlineStr">
        <is>
          <t>Аппараты для маникюра и педикюра</t>
        </is>
      </c>
      <c r="C1191" s="2">
        <v>912738007</v>
      </c>
      <c r="D1191" s="2" t="inlineStr">
        <is>
          <t>192676</t>
        </is>
      </c>
      <c r="E1191" s="2" t="inlineStr">
        <is>
          <t>4670294457291</t>
        </is>
      </c>
      <c r="F1191" s="2">
        <v>0</v>
      </c>
      <c r="G1191" s="2">
        <v>13</v>
      </c>
      <c r="H1191" s="2" t="inlineStr">
        <is>
          <t/>
        </is>
      </c>
      <c r="I1191" s="2" t="inlineStr">
        <is>
          <t>21880</t>
        </is>
      </c>
      <c r="J1191" s="4"/>
      <c r="K1191" s="2">
        <v>76</v>
      </c>
      <c r="L1191" s="6"/>
      <c r="M1191" s="2" t="str">
        <f>IF(J1191="",ROUND(I1191*(1-IF(ISBLANK(L1191),K1191,L1191)/100),2),ROUND(J1191*(1-IF(ISBLANK(L1191),K1191,L1191)/100),2))</f>
      </c>
      <c r="N1191" s="7" t="str">
        <f>IF(NOT(AND(J1191="",L1191="")),IF(OR(AND(L1191&lt;&gt;"",NOT(ISNUMBER(L1191))),IFERROR(MOD(L1191,1),1)&gt;0,AND(ISNUMBER(L1191),OR(L1191&lt;0,L1191&gt;95))),"Введите целое число от 0 до 95",IF(OR(AND(J1191&lt;&gt;"",NOT(ISNUMBER(J1191))),IFERROR(MOD(J1191,1),1)&gt;0,AND(ISNUMBER(J1191),OR(J1191&lt;50,J1191&gt;20000000))),"Введите целое число от 50 до 20000000",IF(NOT(ABS(IFERROR(VALUE(LEFT(M1191,FIND("-",M1191)-1)),M1191)*100-(2500+2000000000)/2)&lt;=ABS(2500-2000000000)/2),"Цена со скидкой должна быть от 25 до 20000000",IF(AND(IFERROR(VALUE(LEFT(M1191,FIND("-",M1191)-1)),M1191)*150&lt;=525120,IFERROR(VALUE(LEFT(M1191,FIND("-",M1191)-1)),M1191)*200&gt;525120),"Вы уменьшили цену в несколько раз, товар попадет в карантин цен",IF(IFERROR(VALUE(LEFT(M1191,FIND("-",M1191)-1)),M1191)*200&lt;=525120,"Не сохранили изменения, чтобы защитить от ошибки — новые цены меньше текущих более чем в 2 раза. Снижайте их постепенно",IF(AND(IFERROR(VALUE(I1191),0)=0,ISNUMBER(J1191),OR(J1191&lt;421,ABS(IFERROR(VALUE(LEFT(M1191,FIND("-",M1191)-1)),M1191))*100&lt;42100)),"Проверьте цену товара. Большинство товаров в выбранной категории стоят дороже 421","")))))),"")</f>
      </c>
    </row>
    <row r="1192">
      <c r="A1192" s="2" t="inlineStr">
        <is>
          <t/>
        </is>
      </c>
      <c r="B1192" s="2" t="inlineStr">
        <is>
          <t>Чайники электрические</t>
        </is>
      </c>
      <c r="C1192" s="2">
        <v>765820382</v>
      </c>
      <c r="D1192" s="2" t="inlineStr">
        <is>
          <t>192390</t>
        </is>
      </c>
      <c r="E1192" s="2" t="inlineStr">
        <is>
          <t>2048427568077</t>
        </is>
      </c>
      <c r="F1192" s="2">
        <v>0</v>
      </c>
      <c r="G1192" s="2">
        <v>1</v>
      </c>
      <c r="H1192" s="2" t="inlineStr">
        <is>
          <t/>
        </is>
      </c>
      <c r="I1192" s="2" t="inlineStr">
        <is>
          <t>10976</t>
        </is>
      </c>
      <c r="J1192" s="4"/>
      <c r="K1192" s="2">
        <v>65</v>
      </c>
      <c r="L1192" s="6"/>
      <c r="M1192" s="2" t="str">
        <f>IF(J1192="",ROUND(I1192*(1-IF(ISBLANK(L1192),K1192,L1192)/100),2),ROUND(J1192*(1-IF(ISBLANK(L1192),K1192,L1192)/100),2))</f>
      </c>
      <c r="N1192" s="7" t="str">
        <f>IF(NOT(AND(J1192="",L1192="")),IF(OR(AND(L1192&lt;&gt;"",NOT(ISNUMBER(L1192))),IFERROR(MOD(L1192,1),1)&gt;0,AND(ISNUMBER(L1192),OR(L1192&lt;0,L1192&gt;95))),"Введите целое число от 0 до 95",IF(OR(AND(J1192&lt;&gt;"",NOT(ISNUMBER(J1192))),IFERROR(MOD(J1192,1),1)&gt;0,AND(ISNUMBER(J1192),OR(J1192&lt;50,J1192&gt;20000000))),"Введите целое число от 50 до 20000000",IF(NOT(ABS(IFERROR(VALUE(LEFT(M1192,FIND("-",M1192)-1)),M1192)*100-(2500+2000000000)/2)&lt;=ABS(2500-2000000000)/2),"Цена со скидкой должна быть от 25 до 20000000",IF(AND(IFERROR(VALUE(LEFT(M1192,FIND("-",M1192)-1)),M1192)*150&lt;=384160,IFERROR(VALUE(LEFT(M1192,FIND("-",M1192)-1)),M1192)*200&gt;384160),"Вы уменьшили цену в несколько раз, товар попадет в карантин цен",IF(IFERROR(VALUE(LEFT(M1192,FIND("-",M1192)-1)),M1192)*200&lt;=384160,"Не сохранили изменения, чтобы защитить от ошибки — новые цены меньше текущих более чем в 2 раза. Снижайте их постепенно",IF(AND(IFERROR(VALUE(I1192),0)=0,ISNUMBER(J1192),OR(J1192&lt;496,ABS(IFERROR(VALUE(LEFT(M1192,FIND("-",M1192)-1)),M1192))*100&lt;49600)),"Проверьте цену товара. Большинство товаров в выбранной категории стоят дороже 496","")))))),"")</f>
      </c>
    </row>
    <row r="1193">
      <c r="A1193" s="2" t="inlineStr">
        <is>
          <t/>
        </is>
      </c>
      <c r="B1193" s="2" t="inlineStr">
        <is>
          <t>Пассатижи</t>
        </is>
      </c>
      <c r="C1193" s="2">
        <v>619503603</v>
      </c>
      <c r="D1193" s="2" t="inlineStr">
        <is>
          <t>891054</t>
        </is>
      </c>
      <c r="E1193" s="2" t="inlineStr">
        <is>
          <t>2047325145762</t>
        </is>
      </c>
      <c r="F1193" s="2">
        <v>36</v>
      </c>
      <c r="G1193" s="2">
        <v>0</v>
      </c>
      <c r="H1193" s="2">
        <v>999</v>
      </c>
      <c r="I1193" s="2" t="inlineStr">
        <is>
          <t>2420</t>
        </is>
      </c>
      <c r="J1193" s="4"/>
      <c r="K1193" s="2">
        <v>83</v>
      </c>
      <c r="L1193" s="6"/>
      <c r="M1193" s="2" t="str">
        <f>IF(J1193="",ROUND(I1193*(1-IF(ISBLANK(L1193),K1193,L1193)/100),2),ROUND(J1193*(1-IF(ISBLANK(L1193),K1193,L1193)/100),2))</f>
      </c>
      <c r="N1193" s="7" t="str">
        <f>IF(NOT(AND(J1193="",L1193="")),IF(OR(AND(L1193&lt;&gt;"",NOT(ISNUMBER(L1193))),IFERROR(MOD(L1193,1),1)&gt;0,AND(ISNUMBER(L1193),OR(L1193&lt;0,L1193&gt;95))),"Введите целое число от 0 до 95",IF(OR(AND(J1193&lt;&gt;"",NOT(ISNUMBER(J1193))),IFERROR(MOD(J1193,1),1)&gt;0,AND(ISNUMBER(J1193),OR(J1193&lt;50,J1193&gt;20000000))),"Введите целое число от 50 до 20000000",IF(NOT(ABS(IFERROR(VALUE(LEFT(M1193,FIND("-",M1193)-1)),M1193)*100-(2500+2000000000)/2)&lt;=ABS(2500-2000000000)/2),"Цена со скидкой должна быть от 25 до 20000000",IF(AND(IFERROR(VALUE(LEFT(M1193,FIND("-",M1193)-1)),M1193)*150&lt;=41140,IFERROR(VALUE(LEFT(M1193,FIND("-",M1193)-1)),M1193)*200&gt;41140),"Вы уменьшили цену в несколько раз, товар попадет в карантин цен",IF(IFERROR(VALUE(LEFT(M1193,FIND("-",M1193)-1)),M1193)*200&lt;=41140,"Не сохранили изменения, чтобы защитить от ошибки — новые цены меньше текущих более чем в 2 раза. Снижайте их постепенно",IF(AND(IFERROR(VALUE(I1193),0)=0,ISNUMBER(J1193),OR(J1193&lt;197,ABS(IFERROR(VALUE(LEFT(M1193,FIND("-",M1193)-1)),M1193))*100&lt;19700)),"Проверьте цену товара. Большинство товаров в выбранной категории стоят дороже 197","")))))),"")</f>
      </c>
    </row>
    <row r="1194">
      <c r="A1194" s="2" t="inlineStr">
        <is>
          <t/>
        </is>
      </c>
      <c r="B1194" s="2" t="inlineStr">
        <is>
          <t>Сумки хозяйственные</t>
        </is>
      </c>
      <c r="C1194" s="2">
        <v>607797384</v>
      </c>
      <c r="D1194" s="2" t="inlineStr">
        <is>
          <t>522233</t>
        </is>
      </c>
      <c r="E1194" s="2" t="inlineStr">
        <is>
          <t>2047198412954</t>
        </is>
      </c>
      <c r="F1194" s="2">
        <v>18</v>
      </c>
      <c r="G1194" s="2">
        <v>21</v>
      </c>
      <c r="H1194" s="2">
        <v>999</v>
      </c>
      <c r="I1194" s="2" t="inlineStr">
        <is>
          <t>5268</t>
        </is>
      </c>
      <c r="J1194" s="4"/>
      <c r="K1194" s="2">
        <v>80</v>
      </c>
      <c r="L1194" s="6"/>
      <c r="M1194" s="2" t="str">
        <f>IF(J1194="",ROUND(I1194*(1-IF(ISBLANK(L1194),K1194,L1194)/100),2),ROUND(J1194*(1-IF(ISBLANK(L1194),K1194,L1194)/100),2))</f>
      </c>
      <c r="N1194" s="7" t="str">
        <f>IF(NOT(AND(J1194="",L1194="")),IF(OR(AND(L1194&lt;&gt;"",NOT(ISNUMBER(L1194))),IFERROR(MOD(L1194,1),1)&gt;0,AND(ISNUMBER(L1194),OR(L1194&lt;0,L1194&gt;95))),"Введите целое число от 0 до 95",IF(OR(AND(J1194&lt;&gt;"",NOT(ISNUMBER(J1194))),IFERROR(MOD(J1194,1),1)&gt;0,AND(ISNUMBER(J1194),OR(J1194&lt;50,J1194&gt;20000000))),"Введите целое число от 50 до 20000000",IF(NOT(ABS(IFERROR(VALUE(LEFT(M1194,FIND("-",M1194)-1)),M1194)*100-(2500+2000000000)/2)&lt;=ABS(2500-2000000000)/2),"Цена со скидкой должна быть от 25 до 20000000",IF(AND(IFERROR(VALUE(LEFT(M1194,FIND("-",M1194)-1)),M1194)*150&lt;=105359,IFERROR(VALUE(LEFT(M1194,FIND("-",M1194)-1)),M1194)*200&gt;105359),"Вы уменьшили цену в несколько раз, товар попадет в карантин цен",IF(IFERROR(VALUE(LEFT(M1194,FIND("-",M1194)-1)),M1194)*200&lt;=105359,"Не сохранили изменения, чтобы защитить от ошибки — новые цены меньше текущих более чем в 2 раза. Снижайте их постепенно",IF(AND(IFERROR(VALUE(I1194),0)=0,ISNUMBER(J1194),OR(J1194&lt;281,ABS(IFERROR(VALUE(LEFT(M1194,FIND("-",M1194)-1)),M1194))*100&lt;28100)),"Проверьте цену товара. Большинство товаров в выбранной категории стоят дороже 281","")))))),"")</f>
      </c>
    </row>
    <row r="1195">
      <c r="A1195" s="2" t="inlineStr">
        <is>
          <t/>
        </is>
      </c>
      <c r="B1195" s="2" t="inlineStr">
        <is>
          <t>Корзины для белья</t>
        </is>
      </c>
      <c r="C1195" s="2">
        <v>932787816</v>
      </c>
      <c r="D1195" s="2" t="inlineStr">
        <is>
          <t>514223</t>
        </is>
      </c>
      <c r="E1195" s="2" t="inlineStr">
        <is>
          <t>4670294457208</t>
        </is>
      </c>
      <c r="F1195" s="2">
        <v>0</v>
      </c>
      <c r="G1195" s="2">
        <v>30</v>
      </c>
      <c r="H1195" s="2" t="inlineStr">
        <is>
          <t/>
        </is>
      </c>
      <c r="I1195" s="2" t="inlineStr">
        <is>
          <t>5988</t>
        </is>
      </c>
      <c r="J1195" s="4"/>
      <c r="K1195" s="2">
        <v>76</v>
      </c>
      <c r="L1195" s="6"/>
      <c r="M1195" s="2" t="str">
        <f>IF(J1195="",ROUND(I1195*(1-IF(ISBLANK(L1195),K1195,L1195)/100),2),ROUND(J1195*(1-IF(ISBLANK(L1195),K1195,L1195)/100),2))</f>
      </c>
      <c r="N1195" s="7" t="str">
        <f>IF(NOT(AND(J1195="",L1195="")),IF(OR(AND(L1195&lt;&gt;"",NOT(ISNUMBER(L1195))),IFERROR(MOD(L1195,1),1)&gt;0,AND(ISNUMBER(L1195),OR(L1195&lt;0,L1195&gt;95))),"Введите целое число от 0 до 95",IF(OR(AND(J1195&lt;&gt;"",NOT(ISNUMBER(J1195))),IFERROR(MOD(J1195,1),1)&gt;0,AND(ISNUMBER(J1195),OR(J1195&lt;50,J1195&gt;20000000))),"Введите целое число от 50 до 20000000",IF(NOT(ABS(IFERROR(VALUE(LEFT(M1195,FIND("-",M1195)-1)),M1195)*100-(2500+2000000000)/2)&lt;=ABS(2500-2000000000)/2),"Цена со скидкой должна быть от 25 до 20000000",IF(AND(IFERROR(VALUE(LEFT(M1195,FIND("-",M1195)-1)),M1195)*150&lt;=143712,IFERROR(VALUE(LEFT(M1195,FIND("-",M1195)-1)),M1195)*200&gt;143712),"Вы уменьшили цену в несколько раз, товар попадет в карантин цен",IF(IFERROR(VALUE(LEFT(M1195,FIND("-",M1195)-1)),M1195)*200&lt;=143712,"Не сохранили изменения, чтобы защитить от ошибки — новые цены меньше текущих более чем в 2 раза. Снижайте их постепенно",IF(AND(IFERROR(VALUE(I1195),0)=0,ISNUMBER(J1195),OR(J1195&lt;490,ABS(IFERROR(VALUE(LEFT(M1195,FIND("-",M1195)-1)),M1195))*100&lt;49000)),"Проверьте цену товара. Большинство товаров в выбранной категории стоят дороже 490","")))))),"")</f>
      </c>
    </row>
    <row r="1196">
      <c r="A1196" s="2" t="inlineStr">
        <is>
          <t/>
        </is>
      </c>
      <c r="B1196" s="2" t="inlineStr">
        <is>
          <t>Корзины для белья</t>
        </is>
      </c>
      <c r="C1196" s="2">
        <v>932787814</v>
      </c>
      <c r="D1196" s="2" t="inlineStr">
        <is>
          <t>514228</t>
        </is>
      </c>
      <c r="E1196" s="2" t="inlineStr">
        <is>
          <t>4670294457253</t>
        </is>
      </c>
      <c r="F1196" s="2">
        <v>0</v>
      </c>
      <c r="G1196" s="2">
        <v>0</v>
      </c>
      <c r="H1196" s="2" t="inlineStr">
        <is>
          <t/>
        </is>
      </c>
      <c r="I1196" s="2" t="inlineStr">
        <is>
          <t>5708</t>
        </is>
      </c>
      <c r="J1196" s="4"/>
      <c r="K1196" s="2">
        <v>76</v>
      </c>
      <c r="L1196" s="6"/>
      <c r="M1196" s="2" t="str">
        <f>IF(J1196="",ROUND(I1196*(1-IF(ISBLANK(L1196),K1196,L1196)/100),2),ROUND(J1196*(1-IF(ISBLANK(L1196),K1196,L1196)/100),2))</f>
      </c>
      <c r="N1196" s="7" t="str">
        <f>IF(NOT(AND(J1196="",L1196="")),IF(OR(AND(L1196&lt;&gt;"",NOT(ISNUMBER(L1196))),IFERROR(MOD(L1196,1),1)&gt;0,AND(ISNUMBER(L1196),OR(L1196&lt;0,L1196&gt;95))),"Введите целое число от 0 до 95",IF(OR(AND(J1196&lt;&gt;"",NOT(ISNUMBER(J1196))),IFERROR(MOD(J1196,1),1)&gt;0,AND(ISNUMBER(J1196),OR(J1196&lt;50,J1196&gt;20000000))),"Введите целое число от 50 до 20000000",IF(NOT(ABS(IFERROR(VALUE(LEFT(M1196,FIND("-",M1196)-1)),M1196)*100-(2500+2000000000)/2)&lt;=ABS(2500-2000000000)/2),"Цена со скидкой должна быть от 25 до 20000000",IF(AND(IFERROR(VALUE(LEFT(M1196,FIND("-",M1196)-1)),M1196)*150&lt;=136991,IFERROR(VALUE(LEFT(M1196,FIND("-",M1196)-1)),M1196)*200&gt;136991),"Вы уменьшили цену в несколько раз, товар попадет в карантин цен",IF(IFERROR(VALUE(LEFT(M1196,FIND("-",M1196)-1)),M1196)*200&lt;=136991,"Не сохранили изменения, чтобы защитить от ошибки — новые цены меньше текущих более чем в 2 раза. Снижайте их постепенно",IF(AND(IFERROR(VALUE(I1196),0)=0,ISNUMBER(J1196),OR(J1196&lt;490,ABS(IFERROR(VALUE(LEFT(M1196,FIND("-",M1196)-1)),M1196))*100&lt;49000)),"Проверьте цену товара. Большинство товаров в выбранной категории стоят дороже 490","")))))),"")</f>
      </c>
    </row>
    <row r="1197">
      <c r="A1197" s="2" t="inlineStr">
        <is>
          <t/>
        </is>
      </c>
      <c r="B1197" s="2" t="inlineStr">
        <is>
          <t>Сковороды</t>
        </is>
      </c>
      <c r="C1197" s="2">
        <v>729287019</v>
      </c>
      <c r="D1197" s="2" t="inlineStr">
        <is>
          <t>20479</t>
        </is>
      </c>
      <c r="E1197" s="2" t="inlineStr">
        <is>
          <t>2048080630388</t>
        </is>
      </c>
      <c r="F1197" s="2">
        <v>0</v>
      </c>
      <c r="G1197" s="2">
        <v>14</v>
      </c>
      <c r="H1197" s="2" t="inlineStr">
        <is>
          <t/>
        </is>
      </c>
      <c r="I1197" s="2" t="inlineStr">
        <is>
          <t>22294</t>
        </is>
      </c>
      <c r="J1197" s="4"/>
      <c r="K1197" s="2">
        <v>80</v>
      </c>
      <c r="L1197" s="6"/>
      <c r="M1197" s="2" t="str">
        <f>IF(J1197="",ROUND(I1197*(1-IF(ISBLANK(L1197),K1197,L1197)/100),2),ROUND(J1197*(1-IF(ISBLANK(L1197),K1197,L1197)/100),2))</f>
      </c>
      <c r="N1197" s="7" t="str">
        <f>IF(NOT(AND(J1197="",L1197="")),IF(OR(AND(L1197&lt;&gt;"",NOT(ISNUMBER(L1197))),IFERROR(MOD(L1197,1),1)&gt;0,AND(ISNUMBER(L1197),OR(L1197&lt;0,L1197&gt;95))),"Введите целое число от 0 до 95",IF(OR(AND(J1197&lt;&gt;"",NOT(ISNUMBER(J1197))),IFERROR(MOD(J1197,1),1)&gt;0,AND(ISNUMBER(J1197),OR(J1197&lt;50,J1197&gt;20000000))),"Введите целое число от 50 до 20000000",IF(NOT(ABS(IFERROR(VALUE(LEFT(M1197,FIND("-",M1197)-1)),M1197)*100-(2500+2000000000)/2)&lt;=ABS(2500-2000000000)/2),"Цена со скидкой должна быть от 25 до 20000000",IF(AND(IFERROR(VALUE(LEFT(M1197,FIND("-",M1197)-1)),M1197)*150&lt;=445879,IFERROR(VALUE(LEFT(M1197,FIND("-",M1197)-1)),M1197)*200&gt;445879),"Вы уменьшили цену в несколько раз, товар попадет в карантин цен",IF(IFERROR(VALUE(LEFT(M1197,FIND("-",M1197)-1)),M1197)*200&lt;=445879,"Не сохранили изменения, чтобы защитить от ошибки — новые цены меньше текущих более чем в 2 раза. Снижайте их постепенно",IF(AND(IFERROR(VALUE(I1197),0)=0,ISNUMBER(J1197),OR(J1197&lt;756,ABS(IFERROR(VALUE(LEFT(M1197,FIND("-",M1197)-1)),M1197))*100&lt;75600)),"Проверьте цену товара. Большинство товаров в выбранной категории стоят дороже 756","")))))),"")</f>
      </c>
    </row>
    <row r="1198">
      <c r="A1198" s="2" t="inlineStr">
        <is>
          <t/>
        </is>
      </c>
      <c r="B1198" s="2" t="inlineStr">
        <is>
          <t>Сумки хозяйственные</t>
        </is>
      </c>
      <c r="C1198" s="2">
        <v>607797391</v>
      </c>
      <c r="D1198" s="2" t="inlineStr">
        <is>
          <t>521552</t>
        </is>
      </c>
      <c r="E1198" s="2" t="inlineStr">
        <is>
          <t>2047198413036</t>
        </is>
      </c>
      <c r="F1198" s="2">
        <v>17</v>
      </c>
      <c r="G1198" s="2">
        <v>37</v>
      </c>
      <c r="H1198" s="2">
        <v>999</v>
      </c>
      <c r="I1198" s="2" t="inlineStr">
        <is>
          <t>2684</t>
        </is>
      </c>
      <c r="J1198" s="4"/>
      <c r="K1198" s="2">
        <v>79</v>
      </c>
      <c r="L1198" s="6"/>
      <c r="M1198" s="2" t="str">
        <f>IF(J1198="",ROUND(I1198*(1-IF(ISBLANK(L1198),K1198,L1198)/100),2),ROUND(J1198*(1-IF(ISBLANK(L1198),K1198,L1198)/100),2))</f>
      </c>
      <c r="N1198" s="7" t="str">
        <f>IF(NOT(AND(J1198="",L1198="")),IF(OR(AND(L1198&lt;&gt;"",NOT(ISNUMBER(L1198))),IFERROR(MOD(L1198,1),1)&gt;0,AND(ISNUMBER(L1198),OR(L1198&lt;0,L1198&gt;95))),"Введите целое число от 0 до 95",IF(OR(AND(J1198&lt;&gt;"",NOT(ISNUMBER(J1198))),IFERROR(MOD(J1198,1),1)&gt;0,AND(ISNUMBER(J1198),OR(J1198&lt;50,J1198&gt;20000000))),"Введите целое число от 50 до 20000000",IF(NOT(ABS(IFERROR(VALUE(LEFT(M1198,FIND("-",M1198)-1)),M1198)*100-(2500+2000000000)/2)&lt;=ABS(2500-2000000000)/2),"Цена со скидкой должна быть от 25 до 20000000",IF(AND(IFERROR(VALUE(LEFT(M1198,FIND("-",M1198)-1)),M1198)*150&lt;=56363,IFERROR(VALUE(LEFT(M1198,FIND("-",M1198)-1)),M1198)*200&gt;56363),"Вы уменьшили цену в несколько раз, товар попадет в карантин цен",IF(IFERROR(VALUE(LEFT(M1198,FIND("-",M1198)-1)),M1198)*200&lt;=56363,"Не сохранили изменения, чтобы защитить от ошибки — новые цены меньше текущих более чем в 2 раза. Снижайте их постепенно",IF(AND(IFERROR(VALUE(I1198),0)=0,ISNUMBER(J1198),OR(J1198&lt;281,ABS(IFERROR(VALUE(LEFT(M1198,FIND("-",M1198)-1)),M1198))*100&lt;28100)),"Проверьте цену товара. Большинство товаров в выбранной категории стоят дороже 281","")))))),"")</f>
      </c>
    </row>
    <row r="1199">
      <c r="A1199" s="2" t="inlineStr">
        <is>
          <t/>
        </is>
      </c>
      <c r="B1199" s="2" t="inlineStr">
        <is>
          <t>Часы настенные</t>
        </is>
      </c>
      <c r="C1199" s="2">
        <v>765920478</v>
      </c>
      <c r="D1199" s="2" t="inlineStr">
        <is>
          <t>660392</t>
        </is>
      </c>
      <c r="E1199" s="2" t="inlineStr">
        <is>
          <t>2048428673602</t>
        </is>
      </c>
      <c r="F1199" s="2">
        <v>0</v>
      </c>
      <c r="G1199" s="2">
        <v>19</v>
      </c>
      <c r="H1199" s="2" t="inlineStr">
        <is>
          <t/>
        </is>
      </c>
      <c r="I1199" s="2" t="inlineStr">
        <is>
          <t>5634</t>
        </is>
      </c>
      <c r="J1199" s="4"/>
      <c r="K1199" s="2">
        <v>75</v>
      </c>
      <c r="L1199" s="6"/>
      <c r="M1199" s="2" t="str">
        <f>IF(J1199="",ROUND(I1199*(1-IF(ISBLANK(L1199),K1199,L1199)/100),2),ROUND(J1199*(1-IF(ISBLANK(L1199),K1199,L1199)/100),2))</f>
      </c>
      <c r="N1199" s="7" t="str">
        <f>IF(NOT(AND(J1199="",L1199="")),IF(OR(AND(L1199&lt;&gt;"",NOT(ISNUMBER(L1199))),IFERROR(MOD(L1199,1),1)&gt;0,AND(ISNUMBER(L1199),OR(L1199&lt;0,L1199&gt;95))),"Введите целое число от 0 до 95",IF(OR(AND(J1199&lt;&gt;"",NOT(ISNUMBER(J1199))),IFERROR(MOD(J1199,1),1)&gt;0,AND(ISNUMBER(J1199),OR(J1199&lt;50,J1199&gt;20000000))),"Введите целое число от 50 до 20000000",IF(NOT(ABS(IFERROR(VALUE(LEFT(M1199,FIND("-",M1199)-1)),M1199)*100-(2500+2000000000)/2)&lt;=ABS(2500-2000000000)/2),"Цена со скидкой должна быть от 25 до 20000000",IF(AND(IFERROR(VALUE(LEFT(M1199,FIND("-",M1199)-1)),M1199)*150&lt;=140850,IFERROR(VALUE(LEFT(M1199,FIND("-",M1199)-1)),M1199)*200&gt;140850),"Вы уменьшили цену в несколько раз, товар попадет в карантин цен",IF(IFERROR(VALUE(LEFT(M1199,FIND("-",M1199)-1)),M1199)*200&lt;=140850,"Не сохранили изменения, чтобы защитить от ошибки — новые цены меньше текущих более чем в 2 раза. Снижайте их постепенно",IF(AND(IFERROR(VALUE(I1199),0)=0,ISNUMBER(J1199),OR(J1199&lt;481,ABS(IFERROR(VALUE(LEFT(M1199,FIND("-",M1199)-1)),M1199))*100&lt;48100)),"Проверьте цену товара. Большинство товаров в выбранной категории стоят дороже 481","")))))),"")</f>
      </c>
    </row>
    <row r="1200">
      <c r="A1200" s="2" t="inlineStr">
        <is>
          <t>Veloria</t>
        </is>
      </c>
      <c r="B1200" s="2" t="inlineStr">
        <is>
          <t>Скатерти</t>
        </is>
      </c>
      <c r="C1200" s="2">
        <v>727195885</v>
      </c>
      <c r="D1200" s="2" t="inlineStr">
        <is>
          <t>79604</t>
        </is>
      </c>
      <c r="E1200" s="2" t="inlineStr">
        <is>
          <t>2414433060490</t>
        </is>
      </c>
      <c r="F1200" s="2">
        <v>3</v>
      </c>
      <c r="G1200" s="2">
        <v>0</v>
      </c>
      <c r="H1200" s="2">
        <v>999</v>
      </c>
      <c r="I1200" s="2" t="inlineStr">
        <is>
          <t>4651</t>
        </is>
      </c>
      <c r="J1200" s="4"/>
      <c r="K1200" s="2">
        <v>80</v>
      </c>
      <c r="L1200" s="6"/>
      <c r="M1200" s="2" t="str">
        <f>IF(J1200="",ROUND(I1200*(1-IF(ISBLANK(L1200),K1200,L1200)/100),2),ROUND(J1200*(1-IF(ISBLANK(L1200),K1200,L1200)/100),2))</f>
      </c>
      <c r="N1200" s="7" t="str">
        <f>IF(NOT(AND(J1200="",L1200="")),IF(OR(AND(L1200&lt;&gt;"",NOT(ISNUMBER(L1200))),IFERROR(MOD(L1200,1),1)&gt;0,AND(ISNUMBER(L1200),OR(L1200&lt;0,L1200&gt;95))),"Введите целое число от 0 до 95",IF(OR(AND(J1200&lt;&gt;"",NOT(ISNUMBER(J1200))),IFERROR(MOD(J1200,1),1)&gt;0,AND(ISNUMBER(J1200),OR(J1200&lt;50,J1200&gt;20000000))),"Введите целое число от 50 до 20000000",IF(NOT(ABS(IFERROR(VALUE(LEFT(M1200,FIND("-",M1200)-1)),M1200)*100-(2500+2000000000)/2)&lt;=ABS(2500-2000000000)/2),"Цена со скидкой должна быть от 25 до 20000000",IF(AND(IFERROR(VALUE(LEFT(M1200,FIND("-",M1200)-1)),M1200)*150&lt;=93019,IFERROR(VALUE(LEFT(M1200,FIND("-",M1200)-1)),M1200)*200&gt;93019),"Вы уменьшили цену в несколько раз, товар попадет в карантин цен",IF(IFERROR(VALUE(LEFT(M1200,FIND("-",M1200)-1)),M1200)*200&lt;=93019,"Не сохранили изменения, чтобы защитить от ошибки — новые цены меньше текущих более чем в 2 раза. Снижайте их постепенно",IF(AND(IFERROR(VALUE(I1200),0)=0,ISNUMBER(J1200),OR(J1200&lt;385,ABS(IFERROR(VALUE(LEFT(M1200,FIND("-",M1200)-1)),M1200))*100&lt;38500)),"Проверьте цену товара. Большинство товаров в выбранной категории стоят дороже 385","")))))),"")</f>
      </c>
    </row>
    <row r="1201">
      <c r="A1201" s="2" t="inlineStr">
        <is>
          <t>Veloria</t>
        </is>
      </c>
      <c r="B1201" s="2" t="inlineStr">
        <is>
          <t>Скатерти</t>
        </is>
      </c>
      <c r="C1201" s="2">
        <v>727195888</v>
      </c>
      <c r="D1201" s="2" t="inlineStr">
        <is>
          <t>433943</t>
        </is>
      </c>
      <c r="E1201" s="2" t="inlineStr">
        <is>
          <t>2048060785626</t>
        </is>
      </c>
      <c r="F1201" s="2" t="inlineStr">
        <is>
          <t/>
        </is>
      </c>
      <c r="G1201" s="2" t="inlineStr">
        <is>
          <t/>
        </is>
      </c>
      <c r="H1201" s="2" t="inlineStr">
        <is>
          <t/>
        </is>
      </c>
      <c r="I1201" s="2" t="inlineStr">
        <is>
          <t>13757</t>
        </is>
      </c>
      <c r="J1201" s="4"/>
      <c r="K1201" s="2">
        <v>65</v>
      </c>
      <c r="L1201" s="6"/>
      <c r="M1201" s="2" t="str">
        <f>IF(J1201="",ROUND(I1201*(1-IF(ISBLANK(L1201),K1201,L1201)/100),2),ROUND(J1201*(1-IF(ISBLANK(L1201),K1201,L1201)/100),2))</f>
      </c>
      <c r="N1201" s="7" t="str">
        <f>IF(NOT(AND(J1201="",L1201="")),IF(OR(AND(L1201&lt;&gt;"",NOT(ISNUMBER(L1201))),IFERROR(MOD(L1201,1),1)&gt;0,AND(ISNUMBER(L1201),OR(L1201&lt;0,L1201&gt;95))),"Введите целое число от 0 до 95",IF(OR(AND(J1201&lt;&gt;"",NOT(ISNUMBER(J1201))),IFERROR(MOD(J1201,1),1)&gt;0,AND(ISNUMBER(J1201),OR(J1201&lt;50,J1201&gt;20000000))),"Введите целое число от 50 до 20000000",IF(NOT(ABS(IFERROR(VALUE(LEFT(M1201,FIND("-",M1201)-1)),M1201)*100-(2500+2000000000)/2)&lt;=ABS(2500-2000000000)/2),"Цена со скидкой должна быть от 25 до 20000000",IF(AND(IFERROR(VALUE(LEFT(M1201,FIND("-",M1201)-1)),M1201)*150&lt;=481495,IFERROR(VALUE(LEFT(M1201,FIND("-",M1201)-1)),M1201)*200&gt;481495),"Вы уменьшили цену в несколько раз, товар попадет в карантин цен",IF(IFERROR(VALUE(LEFT(M1201,FIND("-",M1201)-1)),M1201)*200&lt;=481495,"Не сохранили изменения, чтобы защитить от ошибки — новые цены меньше текущих более чем в 2 раза. Снижайте их постепенно",IF(AND(IFERROR(VALUE(I1201),0)=0,ISNUMBER(J1201),OR(J1201&lt;385,ABS(IFERROR(VALUE(LEFT(M1201,FIND("-",M1201)-1)),M1201))*100&lt;38500)),"Проверьте цену товара. Большинство товаров в выбранной категории стоят дороже 385","")))))),"")</f>
      </c>
    </row>
    <row r="1202">
      <c r="A1202" s="2" t="inlineStr">
        <is>
          <t>Veloria</t>
        </is>
      </c>
      <c r="B1202" s="2" t="inlineStr">
        <is>
          <t>Скатерти</t>
        </is>
      </c>
      <c r="C1202" s="2">
        <v>727195894</v>
      </c>
      <c r="D1202" s="2" t="inlineStr">
        <is>
          <t>401012</t>
        </is>
      </c>
      <c r="E1202" s="2" t="inlineStr">
        <is>
          <t>2048060785688</t>
        </is>
      </c>
      <c r="F1202" s="2" t="inlineStr">
        <is>
          <t/>
        </is>
      </c>
      <c r="G1202" s="2" t="inlineStr">
        <is>
          <t/>
        </is>
      </c>
      <c r="H1202" s="2" t="inlineStr">
        <is>
          <t/>
        </is>
      </c>
      <c r="I1202" s="2" t="inlineStr">
        <is>
          <t>11889</t>
        </is>
      </c>
      <c r="J1202" s="4"/>
      <c r="K1202" s="2">
        <v>65</v>
      </c>
      <c r="L1202" s="6"/>
      <c r="M1202" s="2" t="str">
        <f>IF(J1202="",ROUND(I1202*(1-IF(ISBLANK(L1202),K1202,L1202)/100),2),ROUND(J1202*(1-IF(ISBLANK(L1202),K1202,L1202)/100),2))</f>
      </c>
      <c r="N1202" s="7" t="str">
        <f>IF(NOT(AND(J1202="",L1202="")),IF(OR(AND(L1202&lt;&gt;"",NOT(ISNUMBER(L1202))),IFERROR(MOD(L1202,1),1)&gt;0,AND(ISNUMBER(L1202),OR(L1202&lt;0,L1202&gt;95))),"Введите целое число от 0 до 95",IF(OR(AND(J1202&lt;&gt;"",NOT(ISNUMBER(J1202))),IFERROR(MOD(J1202,1),1)&gt;0,AND(ISNUMBER(J1202),OR(J1202&lt;50,J1202&gt;20000000))),"Введите целое число от 50 до 20000000",IF(NOT(ABS(IFERROR(VALUE(LEFT(M1202,FIND("-",M1202)-1)),M1202)*100-(2500+2000000000)/2)&lt;=ABS(2500-2000000000)/2),"Цена со скидкой должна быть от 25 до 20000000",IF(AND(IFERROR(VALUE(LEFT(M1202,FIND("-",M1202)-1)),M1202)*150&lt;=416114,IFERROR(VALUE(LEFT(M1202,FIND("-",M1202)-1)),M1202)*200&gt;416114),"Вы уменьшили цену в несколько раз, товар попадет в карантин цен",IF(IFERROR(VALUE(LEFT(M1202,FIND("-",M1202)-1)),M1202)*200&lt;=416114,"Не сохранили изменения, чтобы защитить от ошибки — новые цены меньше текущих более чем в 2 раза. Снижайте их постепенно",IF(AND(IFERROR(VALUE(I1202),0)=0,ISNUMBER(J1202),OR(J1202&lt;385,ABS(IFERROR(VALUE(LEFT(M1202,FIND("-",M1202)-1)),M1202))*100&lt;38500)),"Проверьте цену товара. Большинство товаров в выбранной категории стоят дороже 385","")))))),"")</f>
      </c>
    </row>
    <row r="1203">
      <c r="A1203" s="2" t="inlineStr">
        <is>
          <t/>
        </is>
      </c>
      <c r="B1203" s="2" t="inlineStr">
        <is>
          <t>Сумки хозяйственные</t>
        </is>
      </c>
      <c r="C1203" s="2">
        <v>766599146</v>
      </c>
      <c r="D1203" s="2" t="inlineStr">
        <is>
          <t>522246</t>
        </is>
      </c>
      <c r="E1203" s="2" t="inlineStr">
        <is>
          <t>2048435069702</t>
        </is>
      </c>
      <c r="F1203" s="2">
        <v>9</v>
      </c>
      <c r="G1203" s="2">
        <v>11</v>
      </c>
      <c r="H1203" s="2">
        <v>999</v>
      </c>
      <c r="I1203" s="2" t="inlineStr">
        <is>
          <t>2264</t>
        </is>
      </c>
      <c r="J1203" s="4"/>
      <c r="K1203" s="2">
        <v>80</v>
      </c>
      <c r="L1203" s="6"/>
      <c r="M1203" s="2" t="str">
        <f>IF(J1203="",ROUND(I1203*(1-IF(ISBLANK(L1203),K1203,L1203)/100),2),ROUND(J1203*(1-IF(ISBLANK(L1203),K1203,L1203)/100),2))</f>
      </c>
      <c r="N1203" s="7" t="str">
        <f>IF(NOT(AND(J1203="",L1203="")),IF(OR(AND(L1203&lt;&gt;"",NOT(ISNUMBER(L1203))),IFERROR(MOD(L1203,1),1)&gt;0,AND(ISNUMBER(L1203),OR(L1203&lt;0,L1203&gt;95))),"Введите целое число от 0 до 95",IF(OR(AND(J1203&lt;&gt;"",NOT(ISNUMBER(J1203))),IFERROR(MOD(J1203,1),1)&gt;0,AND(ISNUMBER(J1203),OR(J1203&lt;50,J1203&gt;20000000))),"Введите целое число от 50 до 20000000",IF(NOT(ABS(IFERROR(VALUE(LEFT(M1203,FIND("-",M1203)-1)),M1203)*100-(2500+2000000000)/2)&lt;=ABS(2500-2000000000)/2),"Цена со скидкой должна быть от 25 до 20000000",IF(AND(IFERROR(VALUE(LEFT(M1203,FIND("-",M1203)-1)),M1203)*150&lt;=45279,IFERROR(VALUE(LEFT(M1203,FIND("-",M1203)-1)),M1203)*200&gt;45279),"Вы уменьшили цену в несколько раз, товар попадет в карантин цен",IF(IFERROR(VALUE(LEFT(M1203,FIND("-",M1203)-1)),M1203)*200&lt;=45279,"Не сохранили изменения, чтобы защитить от ошибки — новые цены меньше текущих более чем в 2 раза. Снижайте их постепенно",IF(AND(IFERROR(VALUE(I1203),0)=0,ISNUMBER(J1203),OR(J1203&lt;281,ABS(IFERROR(VALUE(LEFT(M1203,FIND("-",M1203)-1)),M1203))*100&lt;28100)),"Проверьте цену товара. Большинство товаров в выбранной категории стоят дороже 281","")))))),"")</f>
      </c>
    </row>
    <row r="1204">
      <c r="A1204" s="2" t="inlineStr">
        <is>
          <t/>
        </is>
      </c>
      <c r="B1204" s="2" t="inlineStr">
        <is>
          <t>Кастрюли</t>
        </is>
      </c>
      <c r="C1204" s="2">
        <v>729143951</v>
      </c>
      <c r="D1204" s="2" t="inlineStr">
        <is>
          <t>20179</t>
        </is>
      </c>
      <c r="E1204" s="2" t="inlineStr">
        <is>
          <t>2048079088206</t>
        </is>
      </c>
      <c r="F1204" s="2">
        <v>4</v>
      </c>
      <c r="G1204" s="2">
        <v>4</v>
      </c>
      <c r="H1204" s="2">
        <v>999</v>
      </c>
      <c r="I1204" s="2" t="inlineStr">
        <is>
          <t>23908</t>
        </is>
      </c>
      <c r="J1204" s="4"/>
      <c r="K1204" s="2">
        <v>80</v>
      </c>
      <c r="L1204" s="6"/>
      <c r="M1204" s="2" t="str">
        <f>IF(J1204="",ROUND(I1204*(1-IF(ISBLANK(L1204),K1204,L1204)/100),2),ROUND(J1204*(1-IF(ISBLANK(L1204),K1204,L1204)/100),2))</f>
      </c>
      <c r="N1204" s="7" t="str">
        <f>IF(NOT(AND(J1204="",L1204="")),IF(OR(AND(L1204&lt;&gt;"",NOT(ISNUMBER(L1204))),IFERROR(MOD(L1204,1),1)&gt;0,AND(ISNUMBER(L1204),OR(L1204&lt;0,L1204&gt;95))),"Введите целое число от 0 до 95",IF(OR(AND(J1204&lt;&gt;"",NOT(ISNUMBER(J1204))),IFERROR(MOD(J1204,1),1)&gt;0,AND(ISNUMBER(J1204),OR(J1204&lt;50,J1204&gt;20000000))),"Введите целое число от 50 до 20000000",IF(NOT(ABS(IFERROR(VALUE(LEFT(M1204,FIND("-",M1204)-1)),M1204)*100-(2500+2000000000)/2)&lt;=ABS(2500-2000000000)/2),"Цена со скидкой должна быть от 25 до 20000000",IF(AND(IFERROR(VALUE(LEFT(M1204,FIND("-",M1204)-1)),M1204)*150&lt;=478159,IFERROR(VALUE(LEFT(M1204,FIND("-",M1204)-1)),M1204)*200&gt;478159),"Вы уменьшили цену в несколько раз, товар попадет в карантин цен",IF(IFERROR(VALUE(LEFT(M1204,FIND("-",M1204)-1)),M1204)*200&lt;=478159,"Не сохранили изменения, чтобы защитить от ошибки — новые цены меньше текущих более чем в 2 раза. Снижайте их постепенно",IF(AND(IFERROR(VALUE(I1204),0)=0,ISNUMBER(J1204),OR(J1204&lt;523,ABS(IFERROR(VALUE(LEFT(M1204,FIND("-",M1204)-1)),M1204))*100&lt;52300)),"Проверьте цену товара. Большинство товаров в выбранной категории стоят дороже 523","")))))),"")</f>
      </c>
    </row>
    <row r="1205">
      <c r="A1205" s="2" t="inlineStr">
        <is>
          <t/>
        </is>
      </c>
      <c r="B1205" s="2" t="inlineStr">
        <is>
          <t>Сумки хозяйственные</t>
        </is>
      </c>
      <c r="C1205" s="2">
        <v>607797388</v>
      </c>
      <c r="D1205" s="2" t="inlineStr">
        <is>
          <t>52501</t>
        </is>
      </c>
      <c r="E1205" s="2" t="inlineStr">
        <is>
          <t>2047198413005</t>
        </is>
      </c>
      <c r="F1205" s="2">
        <v>0</v>
      </c>
      <c r="G1205" s="2">
        <v>53</v>
      </c>
      <c r="H1205" s="2" t="inlineStr">
        <is>
          <t/>
        </is>
      </c>
      <c r="I1205" s="2" t="inlineStr">
        <is>
          <t>2948</t>
        </is>
      </c>
      <c r="J1205" s="4"/>
      <c r="K1205" s="2">
        <v>78</v>
      </c>
      <c r="L1205" s="6"/>
      <c r="M1205" s="2" t="str">
        <f>IF(J1205="",ROUND(I1205*(1-IF(ISBLANK(L1205),K1205,L1205)/100),2),ROUND(J1205*(1-IF(ISBLANK(L1205),K1205,L1205)/100),2))</f>
      </c>
      <c r="N1205" s="7" t="str">
        <f>IF(NOT(AND(J1205="",L1205="")),IF(OR(AND(L1205&lt;&gt;"",NOT(ISNUMBER(L1205))),IFERROR(MOD(L1205,1),1)&gt;0,AND(ISNUMBER(L1205),OR(L1205&lt;0,L1205&gt;95))),"Введите целое число от 0 до 95",IF(OR(AND(J1205&lt;&gt;"",NOT(ISNUMBER(J1205))),IFERROR(MOD(J1205,1),1)&gt;0,AND(ISNUMBER(J1205),OR(J1205&lt;50,J1205&gt;20000000))),"Введите целое число от 50 до 20000000",IF(NOT(ABS(IFERROR(VALUE(LEFT(M1205,FIND("-",M1205)-1)),M1205)*100-(2500+2000000000)/2)&lt;=ABS(2500-2000000000)/2),"Цена со скидкой должна быть от 25 до 20000000",IF(AND(IFERROR(VALUE(LEFT(M1205,FIND("-",M1205)-1)),M1205)*150&lt;=64855,IFERROR(VALUE(LEFT(M1205,FIND("-",M1205)-1)),M1205)*200&gt;64855),"Вы уменьшили цену в несколько раз, товар попадет в карантин цен",IF(IFERROR(VALUE(LEFT(M1205,FIND("-",M1205)-1)),M1205)*200&lt;=64855,"Не сохранили изменения, чтобы защитить от ошибки — новые цены меньше текущих более чем в 2 раза. Снижайте их постепенно",IF(AND(IFERROR(VALUE(I1205),0)=0,ISNUMBER(J1205),OR(J1205&lt;281,ABS(IFERROR(VALUE(LEFT(M1205,FIND("-",M1205)-1)),M1205))*100&lt;28100)),"Проверьте цену товара. Большинство товаров в выбранной категории стоят дороже 281","")))))),"")</f>
      </c>
    </row>
    <row r="1206">
      <c r="A1206" s="2" t="inlineStr">
        <is>
          <t/>
        </is>
      </c>
      <c r="B1206" s="2" t="inlineStr">
        <is>
          <t>Кастрюли</t>
        </is>
      </c>
      <c r="C1206" s="2">
        <v>729143952</v>
      </c>
      <c r="D1206" s="2" t="inlineStr">
        <is>
          <t>20180</t>
        </is>
      </c>
      <c r="E1206" s="2" t="inlineStr">
        <is>
          <t>2048079088312</t>
        </is>
      </c>
      <c r="F1206" s="2">
        <v>2</v>
      </c>
      <c r="G1206" s="2">
        <v>3</v>
      </c>
      <c r="H1206" s="2">
        <v>999</v>
      </c>
      <c r="I1206" s="2" t="inlineStr">
        <is>
          <t>25232</t>
        </is>
      </c>
      <c r="J1206" s="4"/>
      <c r="K1206" s="2">
        <v>81</v>
      </c>
      <c r="L1206" s="6"/>
      <c r="M1206" s="2" t="str">
        <f>IF(J1206="",ROUND(I1206*(1-IF(ISBLANK(L1206),K1206,L1206)/100),2),ROUND(J1206*(1-IF(ISBLANK(L1206),K1206,L1206)/100),2))</f>
      </c>
      <c r="N1206" s="7" t="str">
        <f>IF(NOT(AND(J1206="",L1206="")),IF(OR(AND(L1206&lt;&gt;"",NOT(ISNUMBER(L1206))),IFERROR(MOD(L1206,1),1)&gt;0,AND(ISNUMBER(L1206),OR(L1206&lt;0,L1206&gt;95))),"Введите целое число от 0 до 95",IF(OR(AND(J1206&lt;&gt;"",NOT(ISNUMBER(J1206))),IFERROR(MOD(J1206,1),1)&gt;0,AND(ISNUMBER(J1206),OR(J1206&lt;50,J1206&gt;20000000))),"Введите целое число от 50 до 20000000",IF(NOT(ABS(IFERROR(VALUE(LEFT(M1206,FIND("-",M1206)-1)),M1206)*100-(2500+2000000000)/2)&lt;=ABS(2500-2000000000)/2),"Цена со скидкой должна быть от 25 до 20000000",IF(AND(IFERROR(VALUE(LEFT(M1206,FIND("-",M1206)-1)),M1206)*150&lt;=479407,IFERROR(VALUE(LEFT(M1206,FIND("-",M1206)-1)),M1206)*200&gt;479407),"Вы уменьшили цену в несколько раз, товар попадет в карантин цен",IF(IFERROR(VALUE(LEFT(M1206,FIND("-",M1206)-1)),M1206)*200&lt;=479407,"Не сохранили изменения, чтобы защитить от ошибки — новые цены меньше текущих более чем в 2 раза. Снижайте их постепенно",IF(AND(IFERROR(VALUE(I1206),0)=0,ISNUMBER(J1206),OR(J1206&lt;523,ABS(IFERROR(VALUE(LEFT(M1206,FIND("-",M1206)-1)),M1206))*100&lt;52300)),"Проверьте цену товара. Большинство товаров в выбранной категории стоят дороже 523","")))))),"")</f>
      </c>
    </row>
    <row r="1207">
      <c r="A1207" s="2" t="inlineStr">
        <is>
          <t/>
        </is>
      </c>
      <c r="B1207" s="2" t="inlineStr">
        <is>
          <t>Сковороды</t>
        </is>
      </c>
      <c r="C1207" s="2">
        <v>729286961</v>
      </c>
      <c r="D1207" s="2" t="inlineStr">
        <is>
          <t>20490</t>
        </is>
      </c>
      <c r="E1207" s="2" t="inlineStr">
        <is>
          <t>2048080629818</t>
        </is>
      </c>
      <c r="F1207" s="2">
        <v>0</v>
      </c>
      <c r="G1207" s="2">
        <v>3</v>
      </c>
      <c r="H1207" s="2" t="inlineStr">
        <is>
          <t/>
        </is>
      </c>
      <c r="I1207" s="2" t="inlineStr">
        <is>
          <t>19869</t>
        </is>
      </c>
      <c r="J1207" s="4"/>
      <c r="K1207" s="2">
        <v>80</v>
      </c>
      <c r="L1207" s="6"/>
      <c r="M1207" s="2" t="str">
        <f>IF(J1207="",ROUND(I1207*(1-IF(ISBLANK(L1207),K1207,L1207)/100),2),ROUND(J1207*(1-IF(ISBLANK(L1207),K1207,L1207)/100),2))</f>
      </c>
      <c r="N1207" s="7" t="str">
        <f>IF(NOT(AND(J1207="",L1207="")),IF(OR(AND(L1207&lt;&gt;"",NOT(ISNUMBER(L1207))),IFERROR(MOD(L1207,1),1)&gt;0,AND(ISNUMBER(L1207),OR(L1207&lt;0,L1207&gt;95))),"Введите целое число от 0 до 95",IF(OR(AND(J1207&lt;&gt;"",NOT(ISNUMBER(J1207))),IFERROR(MOD(J1207,1),1)&gt;0,AND(ISNUMBER(J1207),OR(J1207&lt;50,J1207&gt;20000000))),"Введите целое число от 50 до 20000000",IF(NOT(ABS(IFERROR(VALUE(LEFT(M1207,FIND("-",M1207)-1)),M1207)*100-(2500+2000000000)/2)&lt;=ABS(2500-2000000000)/2),"Цена со скидкой должна быть от 25 до 20000000",IF(AND(IFERROR(VALUE(LEFT(M1207,FIND("-",M1207)-1)),M1207)*150&lt;=397379,IFERROR(VALUE(LEFT(M1207,FIND("-",M1207)-1)),M1207)*200&gt;397379),"Вы уменьшили цену в несколько раз, товар попадет в карантин цен",IF(IFERROR(VALUE(LEFT(M1207,FIND("-",M1207)-1)),M1207)*200&lt;=397379,"Не сохранили изменения, чтобы защитить от ошибки — новые цены меньше текущих более чем в 2 раза. Снижайте их постепенно",IF(AND(IFERROR(VALUE(I1207),0)=0,ISNUMBER(J1207),OR(J1207&lt;756,ABS(IFERROR(VALUE(LEFT(M1207,FIND("-",M1207)-1)),M1207))*100&lt;75600)),"Проверьте цену товара. Большинство товаров в выбранной категории стоят дороже 756","")))))),"")</f>
      </c>
    </row>
    <row r="1208">
      <c r="A1208" s="2" t="inlineStr">
        <is>
          <t/>
        </is>
      </c>
      <c r="B1208" s="2" t="inlineStr">
        <is>
          <t>Кастрюли</t>
        </is>
      </c>
      <c r="C1208" s="2">
        <v>729144192</v>
      </c>
      <c r="D1208" s="2" t="inlineStr">
        <is>
          <t>240301</t>
        </is>
      </c>
      <c r="E1208" s="2" t="inlineStr">
        <is>
          <t>2048079094610</t>
        </is>
      </c>
      <c r="F1208" s="2">
        <v>1</v>
      </c>
      <c r="G1208" s="2">
        <v>1</v>
      </c>
      <c r="H1208" s="2">
        <v>60</v>
      </c>
      <c r="I1208" s="2" t="inlineStr">
        <is>
          <t>36709</t>
        </is>
      </c>
      <c r="J1208" s="4"/>
      <c r="K1208" s="2">
        <v>81</v>
      </c>
      <c r="L1208" s="6"/>
      <c r="M1208" s="2" t="str">
        <f>IF(J1208="",ROUND(I1208*(1-IF(ISBLANK(L1208),K1208,L1208)/100),2),ROUND(J1208*(1-IF(ISBLANK(L1208),K1208,L1208)/100),2))</f>
      </c>
      <c r="N1208" s="7" t="str">
        <f>IF(NOT(AND(J1208="",L1208="")),IF(OR(AND(L1208&lt;&gt;"",NOT(ISNUMBER(L1208))),IFERROR(MOD(L1208,1),1)&gt;0,AND(ISNUMBER(L1208),OR(L1208&lt;0,L1208&gt;95))),"Введите целое число от 0 до 95",IF(OR(AND(J1208&lt;&gt;"",NOT(ISNUMBER(J1208))),IFERROR(MOD(J1208,1),1)&gt;0,AND(ISNUMBER(J1208),OR(J1208&lt;50,J1208&gt;20000000))),"Введите целое число от 50 до 20000000",IF(NOT(ABS(IFERROR(VALUE(LEFT(M1208,FIND("-",M1208)-1)),M1208)*100-(2500+2000000000)/2)&lt;=ABS(2500-2000000000)/2),"Цена со скидкой должна быть от 25 до 20000000",IF(AND(IFERROR(VALUE(LEFT(M1208,FIND("-",M1208)-1)),M1208)*150&lt;=697470,IFERROR(VALUE(LEFT(M1208,FIND("-",M1208)-1)),M1208)*200&gt;697470),"Вы уменьшили цену в несколько раз, товар попадет в карантин цен",IF(IFERROR(VALUE(LEFT(M1208,FIND("-",M1208)-1)),M1208)*200&lt;=697470,"Не сохранили изменения, чтобы защитить от ошибки — новые цены меньше текущих более чем в 2 раза. Снижайте их постепенно",IF(AND(IFERROR(VALUE(I1208),0)=0,ISNUMBER(J1208),OR(J1208&lt;523,ABS(IFERROR(VALUE(LEFT(M1208,FIND("-",M1208)-1)),M1208))*100&lt;52300)),"Проверьте цену товара. Большинство товаров в выбранной категории стоят дороже 523","")))))),"")</f>
      </c>
    </row>
    <row r="1209">
      <c r="A1209" s="2" t="inlineStr">
        <is>
          <t/>
        </is>
      </c>
      <c r="B1209" s="2" t="inlineStr">
        <is>
          <t>Кастрюли</t>
        </is>
      </c>
      <c r="C1209" s="2">
        <v>729144040</v>
      </c>
      <c r="D1209" s="2" t="inlineStr">
        <is>
          <t>28675</t>
        </is>
      </c>
      <c r="E1209" s="2" t="inlineStr">
        <is>
          <t>2048079090391</t>
        </is>
      </c>
      <c r="F1209" s="2">
        <v>0</v>
      </c>
      <c r="G1209" s="2">
        <v>18</v>
      </c>
      <c r="H1209" s="2" t="inlineStr">
        <is>
          <t/>
        </is>
      </c>
      <c r="I1209" s="2" t="inlineStr">
        <is>
          <t>12505</t>
        </is>
      </c>
      <c r="J1209" s="4"/>
      <c r="K1209" s="2">
        <v>80</v>
      </c>
      <c r="L1209" s="6"/>
      <c r="M1209" s="2" t="str">
        <f>IF(J1209="",ROUND(I1209*(1-IF(ISBLANK(L1209),K1209,L1209)/100),2),ROUND(J1209*(1-IF(ISBLANK(L1209),K1209,L1209)/100),2))</f>
      </c>
      <c r="N1209" s="7" t="str">
        <f>IF(NOT(AND(J1209="",L1209="")),IF(OR(AND(L1209&lt;&gt;"",NOT(ISNUMBER(L1209))),IFERROR(MOD(L1209,1),1)&gt;0,AND(ISNUMBER(L1209),OR(L1209&lt;0,L1209&gt;95))),"Введите целое число от 0 до 95",IF(OR(AND(J1209&lt;&gt;"",NOT(ISNUMBER(J1209))),IFERROR(MOD(J1209,1),1)&gt;0,AND(ISNUMBER(J1209),OR(J1209&lt;50,J1209&gt;20000000))),"Введите целое число от 50 до 20000000",IF(NOT(ABS(IFERROR(VALUE(LEFT(M1209,FIND("-",M1209)-1)),M1209)*100-(2500+2000000000)/2)&lt;=ABS(2500-2000000000)/2),"Цена со скидкой должна быть от 25 до 20000000",IF(AND(IFERROR(VALUE(LEFT(M1209,FIND("-",M1209)-1)),M1209)*150&lt;=250099,IFERROR(VALUE(LEFT(M1209,FIND("-",M1209)-1)),M1209)*200&gt;250099),"Вы уменьшили цену в несколько раз, товар попадет в карантин цен",IF(IFERROR(VALUE(LEFT(M1209,FIND("-",M1209)-1)),M1209)*200&lt;=250099,"Не сохранили изменения, чтобы защитить от ошибки — новые цены меньше текущих более чем в 2 раза. Снижайте их постепенно",IF(AND(IFERROR(VALUE(I1209),0)=0,ISNUMBER(J1209),OR(J1209&lt;523,ABS(IFERROR(VALUE(LEFT(M1209,FIND("-",M1209)-1)),M1209))*100&lt;52300)),"Проверьте цену товара. Большинство товаров в выбранной категории стоят дороже 523","")))))),"")</f>
      </c>
    </row>
    <row r="1210">
      <c r="A1210" s="2" t="inlineStr">
        <is>
          <t/>
        </is>
      </c>
      <c r="B1210" s="2" t="inlineStr">
        <is>
          <t>Шторы для ванной</t>
        </is>
      </c>
      <c r="C1210" s="2">
        <v>619534045</v>
      </c>
      <c r="D1210" s="2" t="inlineStr">
        <is>
          <t>420558</t>
        </is>
      </c>
      <c r="E1210" s="2" t="inlineStr">
        <is>
          <t>2047325545401</t>
        </is>
      </c>
      <c r="F1210" s="2">
        <v>0</v>
      </c>
      <c r="G1210" s="2">
        <v>0</v>
      </c>
      <c r="H1210" s="2" t="inlineStr">
        <is>
          <t/>
        </is>
      </c>
      <c r="I1210" s="2" t="inlineStr">
        <is>
          <t>9793</t>
        </is>
      </c>
      <c r="J1210" s="4"/>
      <c r="K1210" s="2">
        <v>65</v>
      </c>
      <c r="L1210" s="6"/>
      <c r="M1210" s="2" t="str">
        <f>IF(J1210="",ROUND(I1210*(1-IF(ISBLANK(L1210),K1210,L1210)/100),2),ROUND(J1210*(1-IF(ISBLANK(L1210),K1210,L1210)/100),2))</f>
      </c>
      <c r="N1210" s="7" t="str">
        <f>IF(NOT(AND(J1210="",L1210="")),IF(OR(AND(L1210&lt;&gt;"",NOT(ISNUMBER(L1210))),IFERROR(MOD(L1210,1),1)&gt;0,AND(ISNUMBER(L1210),OR(L1210&lt;0,L1210&gt;95))),"Введите целое число от 0 до 95",IF(OR(AND(J1210&lt;&gt;"",NOT(ISNUMBER(J1210))),IFERROR(MOD(J1210,1),1)&gt;0,AND(ISNUMBER(J1210),OR(J1210&lt;50,J1210&gt;20000000))),"Введите целое число от 50 до 20000000",IF(NOT(ABS(IFERROR(VALUE(LEFT(M1210,FIND("-",M1210)-1)),M1210)*100-(2500+2000000000)/2)&lt;=ABS(2500-2000000000)/2),"Цена со скидкой должна быть от 25 до 20000000",IF(AND(IFERROR(VALUE(LEFT(M1210,FIND("-",M1210)-1)),M1210)*150&lt;=342755,IFERROR(VALUE(LEFT(M1210,FIND("-",M1210)-1)),M1210)*200&gt;342755),"Вы уменьшили цену в несколько раз, товар попадет в карантин цен",IF(IFERROR(VALUE(LEFT(M1210,FIND("-",M1210)-1)),M1210)*200&lt;=342755,"Не сохранили изменения, чтобы защитить от ошибки — новые цены меньше текущих более чем в 2 раза. Снижайте их постепенно",IF(AND(IFERROR(VALUE(I1210),0)=0,ISNUMBER(J1210),OR(J1210&lt;491,ABS(IFERROR(VALUE(LEFT(M1210,FIND("-",M1210)-1)),M1210))*100&lt;49100)),"Проверьте цену товара. Большинство товаров в выбранной категории стоят дороже 491","")))))),"")</f>
      </c>
    </row>
    <row r="1211">
      <c r="A1211" s="2" t="inlineStr">
        <is>
          <t/>
        </is>
      </c>
      <c r="B1211" s="2" t="inlineStr">
        <is>
          <t>Чайники заварочные</t>
        </is>
      </c>
      <c r="C1211" s="2">
        <v>729548699</v>
      </c>
      <c r="D1211" s="2" t="inlineStr">
        <is>
          <t>821133</t>
        </is>
      </c>
      <c r="E1211" s="2" t="inlineStr">
        <is>
          <t>2048083257704</t>
        </is>
      </c>
      <c r="F1211" s="2">
        <v>0</v>
      </c>
      <c r="G1211" s="2">
        <v>16</v>
      </c>
      <c r="H1211" s="2" t="inlineStr">
        <is>
          <t/>
        </is>
      </c>
      <c r="I1211" s="2" t="inlineStr">
        <is>
          <t>5727</t>
        </is>
      </c>
      <c r="J1211" s="4"/>
      <c r="K1211" s="2">
        <v>78</v>
      </c>
      <c r="L1211" s="6"/>
      <c r="M1211" s="2" t="str">
        <f>IF(J1211="",ROUND(I1211*(1-IF(ISBLANK(L1211),K1211,L1211)/100),2),ROUND(J1211*(1-IF(ISBLANK(L1211),K1211,L1211)/100),2))</f>
      </c>
      <c r="N1211" s="7" t="str">
        <f>IF(NOT(AND(J1211="",L1211="")),IF(OR(AND(L1211&lt;&gt;"",NOT(ISNUMBER(L1211))),IFERROR(MOD(L1211,1),1)&gt;0,AND(ISNUMBER(L1211),OR(L1211&lt;0,L1211&gt;95))),"Введите целое число от 0 до 95",IF(OR(AND(J1211&lt;&gt;"",NOT(ISNUMBER(J1211))),IFERROR(MOD(J1211,1),1)&gt;0,AND(ISNUMBER(J1211),OR(J1211&lt;50,J1211&gt;20000000))),"Введите целое число от 50 до 20000000",IF(NOT(ABS(IFERROR(VALUE(LEFT(M1211,FIND("-",M1211)-1)),M1211)*100-(2500+2000000000)/2)&lt;=ABS(2500-2000000000)/2),"Цена со скидкой должна быть от 25 до 20000000",IF(AND(IFERROR(VALUE(LEFT(M1211,FIND("-",M1211)-1)),M1211)*150&lt;=125993,IFERROR(VALUE(LEFT(M1211,FIND("-",M1211)-1)),M1211)*200&gt;125993),"Вы уменьшили цену в несколько раз, товар попадет в карантин цен",IF(IFERROR(VALUE(LEFT(M1211,FIND("-",M1211)-1)),M1211)*200&lt;=125993,"Не сохранили изменения, чтобы защитить от ошибки — новые цены меньше текущих более чем в 2 раза. Снижайте их постепенно",IF(AND(IFERROR(VALUE(I1211),0)=0,ISNUMBER(J1211),OR(J1211&lt;681,ABS(IFERROR(VALUE(LEFT(M1211,FIND("-",M1211)-1)),M1211))*100&lt;68100)),"Проверьте цену товара. Большинство товаров в выбранной категории стоят дороже 681","")))))),"")</f>
      </c>
    </row>
    <row r="1212">
      <c r="A1212" s="2" t="inlineStr">
        <is>
          <t/>
        </is>
      </c>
      <c r="B1212" s="2" t="inlineStr">
        <is>
          <t>Ножи кухонные</t>
        </is>
      </c>
      <c r="C1212" s="2">
        <v>727124414</v>
      </c>
      <c r="D1212" s="2" t="inlineStr">
        <is>
          <t>283576</t>
        </is>
      </c>
      <c r="E1212" s="2" t="inlineStr">
        <is>
          <t>2048060226662</t>
        </is>
      </c>
      <c r="F1212" s="2">
        <v>4</v>
      </c>
      <c r="G1212" s="2">
        <v>5</v>
      </c>
      <c r="H1212" s="2">
        <v>999</v>
      </c>
      <c r="I1212" s="2" t="inlineStr">
        <is>
          <t>13781</t>
        </is>
      </c>
      <c r="J1212" s="4"/>
      <c r="K1212" s="2">
        <v>80</v>
      </c>
      <c r="L1212" s="6"/>
      <c r="M1212" s="2" t="str">
        <f>IF(J1212="",ROUND(I1212*(1-IF(ISBLANK(L1212),K1212,L1212)/100),2),ROUND(J1212*(1-IF(ISBLANK(L1212),K1212,L1212)/100),2))</f>
      </c>
      <c r="N1212" s="7" t="str">
        <f>IF(NOT(AND(J1212="",L1212="")),IF(OR(AND(L1212&lt;&gt;"",NOT(ISNUMBER(L1212))),IFERROR(MOD(L1212,1),1)&gt;0,AND(ISNUMBER(L1212),OR(L1212&lt;0,L1212&gt;95))),"Введите целое число от 0 до 95",IF(OR(AND(J1212&lt;&gt;"",NOT(ISNUMBER(J1212))),IFERROR(MOD(J1212,1),1)&gt;0,AND(ISNUMBER(J1212),OR(J1212&lt;50,J1212&gt;20000000))),"Введите целое число от 50 до 20000000",IF(NOT(ABS(IFERROR(VALUE(LEFT(M1212,FIND("-",M1212)-1)),M1212)*100-(2500+2000000000)/2)&lt;=ABS(2500-2000000000)/2),"Цена со скидкой должна быть от 25 до 20000000",IF(AND(IFERROR(VALUE(LEFT(M1212,FIND("-",M1212)-1)),M1212)*150&lt;=275619,IFERROR(VALUE(LEFT(M1212,FIND("-",M1212)-1)),M1212)*200&gt;275619),"Вы уменьшили цену в несколько раз, товар попадет в карантин цен",IF(IFERROR(VALUE(LEFT(M1212,FIND("-",M1212)-1)),M1212)*200&lt;=275619,"Не сохранили изменения, чтобы защитить от ошибки — новые цены меньше текущих более чем в 2 раза. Снижайте их постепенно",IF(AND(IFERROR(VALUE(I1212),0)=0,ISNUMBER(J1212),OR(J1212&lt;318,ABS(IFERROR(VALUE(LEFT(M1212,FIND("-",M1212)-1)),M1212))*100&lt;31800)),"Проверьте цену товара. Большинство товаров в выбранной категории стоят дороже 318","")))))),"")</f>
      </c>
    </row>
    <row r="1213">
      <c r="A1213" s="2" t="inlineStr">
        <is>
          <t/>
        </is>
      </c>
      <c r="B1213" s="2" t="inlineStr">
        <is>
          <t>Кастрюли</t>
        </is>
      </c>
      <c r="C1213" s="2">
        <v>729145134</v>
      </c>
      <c r="D1213" s="2" t="inlineStr">
        <is>
          <t>283452</t>
        </is>
      </c>
      <c r="E1213" s="2" t="inlineStr">
        <is>
          <t>2048079111454</t>
        </is>
      </c>
      <c r="F1213" s="2">
        <v>3</v>
      </c>
      <c r="G1213" s="2">
        <v>0</v>
      </c>
      <c r="H1213" s="2">
        <v>999</v>
      </c>
      <c r="I1213" s="2" t="inlineStr">
        <is>
          <t>56020</t>
        </is>
      </c>
      <c r="J1213" s="4"/>
      <c r="K1213" s="2">
        <v>80</v>
      </c>
      <c r="L1213" s="6"/>
      <c r="M1213" s="2" t="str">
        <f>IF(J1213="",ROUND(I1213*(1-IF(ISBLANK(L1213),K1213,L1213)/100),2),ROUND(J1213*(1-IF(ISBLANK(L1213),K1213,L1213)/100),2))</f>
      </c>
      <c r="N1213" s="7" t="str">
        <f>IF(NOT(AND(J1213="",L1213="")),IF(OR(AND(L1213&lt;&gt;"",NOT(ISNUMBER(L1213))),IFERROR(MOD(L1213,1),1)&gt;0,AND(ISNUMBER(L1213),OR(L1213&lt;0,L1213&gt;95))),"Введите целое число от 0 до 95",IF(OR(AND(J1213&lt;&gt;"",NOT(ISNUMBER(J1213))),IFERROR(MOD(J1213,1),1)&gt;0,AND(ISNUMBER(J1213),OR(J1213&lt;50,J1213&gt;20000000))),"Введите целое число от 50 до 20000000",IF(NOT(ABS(IFERROR(VALUE(LEFT(M1213,FIND("-",M1213)-1)),M1213)*100-(2500+2000000000)/2)&lt;=ABS(2500-2000000000)/2),"Цена со скидкой должна быть от 25 до 20000000",IF(AND(IFERROR(VALUE(LEFT(M1213,FIND("-",M1213)-1)),M1213)*150&lt;=1120399,IFERROR(VALUE(LEFT(M1213,FIND("-",M1213)-1)),M1213)*200&gt;1120399),"Вы уменьшили цену в несколько раз, товар попадет в карантин цен",IF(IFERROR(VALUE(LEFT(M1213,FIND("-",M1213)-1)),M1213)*200&lt;=1120399,"Не сохранили изменения, чтобы защитить от ошибки — новые цены меньше текущих более чем в 2 раза. Снижайте их постепенно",IF(AND(IFERROR(VALUE(I1213),0)=0,ISNUMBER(J1213),OR(J1213&lt;523,ABS(IFERROR(VALUE(LEFT(M1213,FIND("-",M1213)-1)),M1213))*100&lt;52300)),"Проверьте цену товара. Большинство товаров в выбранной категории стоят дороже 523","")))))),"")</f>
      </c>
    </row>
    <row r="1214">
      <c r="A1214" s="2" t="inlineStr">
        <is>
          <t/>
        </is>
      </c>
      <c r="B1214" s="2" t="inlineStr">
        <is>
          <t>Сковороды</t>
        </is>
      </c>
      <c r="C1214" s="2">
        <v>765949782</v>
      </c>
      <c r="D1214" s="2" t="inlineStr">
        <is>
          <t>32265</t>
        </is>
      </c>
      <c r="E1214" s="2" t="inlineStr">
        <is>
          <t>2048428944252</t>
        </is>
      </c>
      <c r="F1214" s="2">
        <v>2</v>
      </c>
      <c r="G1214" s="2">
        <v>0</v>
      </c>
      <c r="H1214" s="2">
        <v>999</v>
      </c>
      <c r="I1214" s="2" t="inlineStr">
        <is>
          <t>13690</t>
        </is>
      </c>
      <c r="J1214" s="4"/>
      <c r="K1214" s="2">
        <v>81</v>
      </c>
      <c r="L1214" s="6"/>
      <c r="M1214" s="2" t="str">
        <f>IF(J1214="",ROUND(I1214*(1-IF(ISBLANK(L1214),K1214,L1214)/100),2),ROUND(J1214*(1-IF(ISBLANK(L1214),K1214,L1214)/100),2))</f>
      </c>
      <c r="N1214" s="7" t="str">
        <f>IF(NOT(AND(J1214="",L1214="")),IF(OR(AND(L1214&lt;&gt;"",NOT(ISNUMBER(L1214))),IFERROR(MOD(L1214,1),1)&gt;0,AND(ISNUMBER(L1214),OR(L1214&lt;0,L1214&gt;95))),"Введите целое число от 0 до 95",IF(OR(AND(J1214&lt;&gt;"",NOT(ISNUMBER(J1214))),IFERROR(MOD(J1214,1),1)&gt;0,AND(ISNUMBER(J1214),OR(J1214&lt;50,J1214&gt;20000000))),"Введите целое число от 50 до 20000000",IF(NOT(ABS(IFERROR(VALUE(LEFT(M1214,FIND("-",M1214)-1)),M1214)*100-(2500+2000000000)/2)&lt;=ABS(2500-2000000000)/2),"Цена со скидкой должна быть от 25 до 20000000",IF(AND(IFERROR(VALUE(LEFT(M1214,FIND("-",M1214)-1)),M1214)*150&lt;=260109,IFERROR(VALUE(LEFT(M1214,FIND("-",M1214)-1)),M1214)*200&gt;260109),"Вы уменьшили цену в несколько раз, товар попадет в карантин цен",IF(IFERROR(VALUE(LEFT(M1214,FIND("-",M1214)-1)),M1214)*200&lt;=260109,"Не сохранили изменения, чтобы защитить от ошибки — новые цены меньше текущих более чем в 2 раза. Снижайте их постепенно",IF(AND(IFERROR(VALUE(I1214),0)=0,ISNUMBER(J1214),OR(J1214&lt;756,ABS(IFERROR(VALUE(LEFT(M1214,FIND("-",M1214)-1)),M1214))*100&lt;75600)),"Проверьте цену товара. Большинство товаров в выбранной категории стоят дороже 756","")))))),"")</f>
      </c>
    </row>
    <row r="1215">
      <c r="A1215" s="2" t="inlineStr">
        <is>
          <t>Luxaro</t>
        </is>
      </c>
      <c r="B1215" s="2" t="inlineStr">
        <is>
          <t>Подставки кухонные</t>
        </is>
      </c>
      <c r="C1215" s="2">
        <v>543596968</v>
      </c>
      <c r="D1215" s="2" t="inlineStr">
        <is>
          <t>821517</t>
        </is>
      </c>
      <c r="E1215" s="2" t="inlineStr">
        <is>
          <t>4670294455662</t>
        </is>
      </c>
      <c r="F1215" s="2">
        <v>79</v>
      </c>
      <c r="G1215" s="2">
        <v>4</v>
      </c>
      <c r="H1215" s="2">
        <v>999</v>
      </c>
      <c r="I1215" s="2" t="inlineStr">
        <is>
          <t>5092</t>
        </is>
      </c>
      <c r="J1215" s="4"/>
      <c r="K1215" s="2">
        <v>80</v>
      </c>
      <c r="L1215" s="6"/>
      <c r="M1215" s="2" t="str">
        <f>IF(J1215="",ROUND(I1215*(1-IF(ISBLANK(L1215),K1215,L1215)/100),2),ROUND(J1215*(1-IF(ISBLANK(L1215),K1215,L1215)/100),2))</f>
      </c>
      <c r="N1215" s="7" t="str">
        <f>IF(NOT(AND(J1215="",L1215="")),IF(OR(AND(L1215&lt;&gt;"",NOT(ISNUMBER(L1215))),IFERROR(MOD(L1215,1),1)&gt;0,AND(ISNUMBER(L1215),OR(L1215&lt;0,L1215&gt;95))),"Введите целое число от 0 до 95",IF(OR(AND(J1215&lt;&gt;"",NOT(ISNUMBER(J1215))),IFERROR(MOD(J1215,1),1)&gt;0,AND(ISNUMBER(J1215),OR(J1215&lt;50,J1215&gt;20000000))),"Введите целое число от 50 до 20000000",IF(NOT(ABS(IFERROR(VALUE(LEFT(M1215,FIND("-",M1215)-1)),M1215)*100-(2500+2000000000)/2)&lt;=ABS(2500-2000000000)/2),"Цена со скидкой должна быть от 25 до 20000000",IF(AND(IFERROR(VALUE(LEFT(M1215,FIND("-",M1215)-1)),M1215)*150&lt;=101839,IFERROR(VALUE(LEFT(M1215,FIND("-",M1215)-1)),M1215)*200&gt;101839),"Вы уменьшили цену в несколько раз, товар попадет в карантин цен",IF(IFERROR(VALUE(LEFT(M1215,FIND("-",M1215)-1)),M1215)*200&lt;=101839,"Не сохранили изменения, чтобы защитить от ошибки — новые цены меньше текущих более чем в 2 раза. Снижайте их постепенно",IF(AND(IFERROR(VALUE(I1215),0)=0,ISNUMBER(J1215),OR(J1215&lt;411,ABS(IFERROR(VALUE(LEFT(M1215,FIND("-",M1215)-1)),M1215))*100&lt;41100)),"Проверьте цену товара. Большинство товаров в выбранной категории стоят дороже 411","")))))),"")</f>
      </c>
    </row>
    <row r="1216">
      <c r="A1216" s="2" t="inlineStr">
        <is>
          <t/>
        </is>
      </c>
      <c r="B1216" s="2" t="inlineStr">
        <is>
          <t>Сковороды</t>
        </is>
      </c>
      <c r="C1216" s="2">
        <v>729286691</v>
      </c>
      <c r="D1216" s="2" t="inlineStr">
        <is>
          <t>32563</t>
        </is>
      </c>
      <c r="E1216" s="2" t="inlineStr">
        <is>
          <t>2048080625803</t>
        </is>
      </c>
      <c r="F1216" s="2">
        <v>2</v>
      </c>
      <c r="G1216" s="2">
        <v>0</v>
      </c>
      <c r="H1216" s="2">
        <v>999</v>
      </c>
      <c r="I1216" s="2" t="inlineStr">
        <is>
          <t>13824</t>
        </is>
      </c>
      <c r="J1216" s="4"/>
      <c r="K1216" s="2">
        <v>81</v>
      </c>
      <c r="L1216" s="6"/>
      <c r="M1216" s="2" t="str">
        <f>IF(J1216="",ROUND(I1216*(1-IF(ISBLANK(L1216),K1216,L1216)/100),2),ROUND(J1216*(1-IF(ISBLANK(L1216),K1216,L1216)/100),2))</f>
      </c>
      <c r="N1216" s="7" t="str">
        <f>IF(NOT(AND(J1216="",L1216="")),IF(OR(AND(L1216&lt;&gt;"",NOT(ISNUMBER(L1216))),IFERROR(MOD(L1216,1),1)&gt;0,AND(ISNUMBER(L1216),OR(L1216&lt;0,L1216&gt;95))),"Введите целое число от 0 до 95",IF(OR(AND(J1216&lt;&gt;"",NOT(ISNUMBER(J1216))),IFERROR(MOD(J1216,1),1)&gt;0,AND(ISNUMBER(J1216),OR(J1216&lt;50,J1216&gt;20000000))),"Введите целое число от 50 до 20000000",IF(NOT(ABS(IFERROR(VALUE(LEFT(M1216,FIND("-",M1216)-1)),M1216)*100-(2500+2000000000)/2)&lt;=ABS(2500-2000000000)/2),"Цена со скидкой должна быть от 25 до 20000000",IF(AND(IFERROR(VALUE(LEFT(M1216,FIND("-",M1216)-1)),M1216)*150&lt;=262655,IFERROR(VALUE(LEFT(M1216,FIND("-",M1216)-1)),M1216)*200&gt;262655),"Вы уменьшили цену в несколько раз, товар попадет в карантин цен",IF(IFERROR(VALUE(LEFT(M1216,FIND("-",M1216)-1)),M1216)*200&lt;=262655,"Не сохранили изменения, чтобы защитить от ошибки — новые цены меньше текущих более чем в 2 раза. Снижайте их постепенно",IF(AND(IFERROR(VALUE(I1216),0)=0,ISNUMBER(J1216),OR(J1216&lt;756,ABS(IFERROR(VALUE(LEFT(M1216,FIND("-",M1216)-1)),M1216))*100&lt;75600)),"Проверьте цену товара. Большинство товаров в выбранной категории стоят дороже 756","")))))),"")</f>
      </c>
    </row>
    <row r="1217">
      <c r="A1217" s="2" t="inlineStr">
        <is>
          <t/>
        </is>
      </c>
      <c r="B1217" s="2" t="inlineStr">
        <is>
          <t>Ножи кухонные</t>
        </is>
      </c>
      <c r="C1217" s="2">
        <v>727124419</v>
      </c>
      <c r="D1217" s="2" t="inlineStr">
        <is>
          <t>36218</t>
        </is>
      </c>
      <c r="E1217" s="2" t="inlineStr">
        <is>
          <t>2048060226754</t>
        </is>
      </c>
      <c r="F1217" s="2">
        <v>0</v>
      </c>
      <c r="G1217" s="2">
        <v>13</v>
      </c>
      <c r="H1217" s="2" t="inlineStr">
        <is>
          <t/>
        </is>
      </c>
      <c r="I1217" s="2" t="inlineStr">
        <is>
          <t>3866</t>
        </is>
      </c>
      <c r="J1217" s="4"/>
      <c r="K1217" s="2">
        <v>78</v>
      </c>
      <c r="L1217" s="6"/>
      <c r="M1217" s="2" t="str">
        <f>IF(J1217="",ROUND(I1217*(1-IF(ISBLANK(L1217),K1217,L1217)/100),2),ROUND(J1217*(1-IF(ISBLANK(L1217),K1217,L1217)/100),2))</f>
      </c>
      <c r="N1217" s="7" t="str">
        <f>IF(NOT(AND(J1217="",L1217="")),IF(OR(AND(L1217&lt;&gt;"",NOT(ISNUMBER(L1217))),IFERROR(MOD(L1217,1),1)&gt;0,AND(ISNUMBER(L1217),OR(L1217&lt;0,L1217&gt;95))),"Введите целое число от 0 до 95",IF(OR(AND(J1217&lt;&gt;"",NOT(ISNUMBER(J1217))),IFERROR(MOD(J1217,1),1)&gt;0,AND(ISNUMBER(J1217),OR(J1217&lt;50,J1217&gt;20000000))),"Введите целое число от 50 до 20000000",IF(NOT(ABS(IFERROR(VALUE(LEFT(M1217,FIND("-",M1217)-1)),M1217)*100-(2500+2000000000)/2)&lt;=ABS(2500-2000000000)/2),"Цена со скидкой должна быть от 25 до 20000000",IF(AND(IFERROR(VALUE(LEFT(M1217,FIND("-",M1217)-1)),M1217)*150&lt;=85051,IFERROR(VALUE(LEFT(M1217,FIND("-",M1217)-1)),M1217)*200&gt;85051),"Вы уменьшили цену в несколько раз, товар попадет в карантин цен",IF(IFERROR(VALUE(LEFT(M1217,FIND("-",M1217)-1)),M1217)*200&lt;=85051,"Не сохранили изменения, чтобы защитить от ошибки — новые цены меньше текущих более чем в 2 раза. Снижайте их постепенно",IF(AND(IFERROR(VALUE(I1217),0)=0,ISNUMBER(J1217),OR(J1217&lt;318,ABS(IFERROR(VALUE(LEFT(M1217,FIND("-",M1217)-1)),M1217))*100&lt;31800)),"Проверьте цену товара. Большинство товаров в выбранной категории стоят дороже 318","")))))),"")</f>
      </c>
    </row>
    <row r="1218">
      <c r="A1218" s="2" t="inlineStr">
        <is>
          <t/>
        </is>
      </c>
      <c r="B1218" s="2" t="inlineStr">
        <is>
          <t>Ножи кухонные</t>
        </is>
      </c>
      <c r="C1218" s="2">
        <v>727124420</v>
      </c>
      <c r="D1218" s="2" t="inlineStr">
        <is>
          <t>36219</t>
        </is>
      </c>
      <c r="E1218" s="2" t="inlineStr">
        <is>
          <t>2048060226778</t>
        </is>
      </c>
      <c r="F1218" s="2">
        <v>0</v>
      </c>
      <c r="G1218" s="2">
        <v>0</v>
      </c>
      <c r="H1218" s="2" t="inlineStr">
        <is>
          <t/>
        </is>
      </c>
      <c r="I1218" s="2" t="inlineStr">
        <is>
          <t>3775</t>
        </is>
      </c>
      <c r="J1218" s="4"/>
      <c r="K1218" s="2">
        <v>82</v>
      </c>
      <c r="L1218" s="6"/>
      <c r="M1218" s="2" t="str">
        <f>IF(J1218="",ROUND(I1218*(1-IF(ISBLANK(L1218),K1218,L1218)/100),2),ROUND(J1218*(1-IF(ISBLANK(L1218),K1218,L1218)/100),2))</f>
      </c>
      <c r="N1218" s="7" t="str">
        <f>IF(NOT(AND(J1218="",L1218="")),IF(OR(AND(L1218&lt;&gt;"",NOT(ISNUMBER(L1218))),IFERROR(MOD(L1218,1),1)&gt;0,AND(ISNUMBER(L1218),OR(L1218&lt;0,L1218&gt;95))),"Введите целое число от 0 до 95",IF(OR(AND(J1218&lt;&gt;"",NOT(ISNUMBER(J1218))),IFERROR(MOD(J1218,1),1)&gt;0,AND(ISNUMBER(J1218),OR(J1218&lt;50,J1218&gt;20000000))),"Введите целое число от 50 до 20000000",IF(NOT(ABS(IFERROR(VALUE(LEFT(M1218,FIND("-",M1218)-1)),M1218)*100-(2500+2000000000)/2)&lt;=ABS(2500-2000000000)/2),"Цена со скидкой должна быть от 25 до 20000000",IF(AND(IFERROR(VALUE(LEFT(M1218,FIND("-",M1218)-1)),M1218)*150&lt;=67950,IFERROR(VALUE(LEFT(M1218,FIND("-",M1218)-1)),M1218)*200&gt;67950),"Вы уменьшили цену в несколько раз, товар попадет в карантин цен",IF(IFERROR(VALUE(LEFT(M1218,FIND("-",M1218)-1)),M1218)*200&lt;=67950,"Не сохранили изменения, чтобы защитить от ошибки — новые цены меньше текущих более чем в 2 раза. Снижайте их постепенно",IF(AND(IFERROR(VALUE(I1218),0)=0,ISNUMBER(J1218),OR(J1218&lt;318,ABS(IFERROR(VALUE(LEFT(M1218,FIND("-",M1218)-1)),M1218))*100&lt;31800)),"Проверьте цену товара. Большинство товаров в выбранной категории стоят дороже 318","")))))),"")</f>
      </c>
    </row>
    <row r="1219">
      <c r="A1219" s="2" t="inlineStr">
        <is>
          <t>Luxaro</t>
        </is>
      </c>
      <c r="B1219" s="2" t="inlineStr">
        <is>
          <t>Подставки кухонные</t>
        </is>
      </c>
      <c r="C1219" s="2">
        <v>242983675</v>
      </c>
      <c r="D1219" s="2" t="inlineStr">
        <is>
          <t>821325</t>
        </is>
      </c>
      <c r="E1219" s="2" t="inlineStr">
        <is>
          <t>2040607361409</t>
        </is>
      </c>
      <c r="F1219" s="2">
        <v>30</v>
      </c>
      <c r="G1219" s="2">
        <v>625</v>
      </c>
      <c r="H1219" s="2">
        <v>30</v>
      </c>
      <c r="I1219" s="2" t="inlineStr">
        <is>
          <t>2300</t>
        </is>
      </c>
      <c r="J1219" s="4"/>
      <c r="K1219" s="2">
        <v>78</v>
      </c>
      <c r="L1219" s="6"/>
      <c r="M1219" s="2" t="str">
        <f>IF(J1219="",ROUND(I1219*(1-IF(ISBLANK(L1219),K1219,L1219)/100),2),ROUND(J1219*(1-IF(ISBLANK(L1219),K1219,L1219)/100),2))</f>
      </c>
      <c r="N1219" s="7" t="str">
        <f>IF(NOT(AND(J1219="",L1219="")),IF(OR(AND(L1219&lt;&gt;"",NOT(ISNUMBER(L1219))),IFERROR(MOD(L1219,1),1)&gt;0,AND(ISNUMBER(L1219),OR(L1219&lt;0,L1219&gt;95))),"Введите целое число от 0 до 95",IF(OR(AND(J1219&lt;&gt;"",NOT(ISNUMBER(J1219))),IFERROR(MOD(J1219,1),1)&gt;0,AND(ISNUMBER(J1219),OR(J1219&lt;50,J1219&gt;20000000))),"Введите целое число от 50 до 20000000",IF(NOT(ABS(IFERROR(VALUE(LEFT(M1219,FIND("-",M1219)-1)),M1219)*100-(2500+2000000000)/2)&lt;=ABS(2500-2000000000)/2),"Цена со скидкой должна быть от 25 до 20000000",IF(AND(IFERROR(VALUE(LEFT(M1219,FIND("-",M1219)-1)),M1219)*150&lt;=50599,IFERROR(VALUE(LEFT(M1219,FIND("-",M1219)-1)),M1219)*200&gt;50599),"Вы уменьшили цену в несколько раз, товар попадет в карантин цен",IF(IFERROR(VALUE(LEFT(M1219,FIND("-",M1219)-1)),M1219)*200&lt;=50599,"Не сохранили изменения, чтобы защитить от ошибки — новые цены меньше текущих более чем в 2 раза. Снижайте их постепенно",IF(AND(IFERROR(VALUE(I1219),0)=0,ISNUMBER(J1219),OR(J1219&lt;411,ABS(IFERROR(VALUE(LEFT(M1219,FIND("-",M1219)-1)),M1219))*100&lt;41100)),"Проверьте цену товара. Большинство товаров в выбранной категории стоят дороже 411","")))))),"")</f>
      </c>
    </row>
    <row r="1220">
      <c r="A1220" s="2" t="inlineStr">
        <is>
          <t/>
        </is>
      </c>
      <c r="B1220" s="2" t="inlineStr">
        <is>
          <t>Сковороды</t>
        </is>
      </c>
      <c r="C1220" s="2">
        <v>729286998</v>
      </c>
      <c r="D1220" s="2" t="inlineStr">
        <is>
          <t>32542</t>
        </is>
      </c>
      <c r="E1220" s="2" t="inlineStr">
        <is>
          <t>2048080630135</t>
        </is>
      </c>
      <c r="F1220" s="2">
        <v>4</v>
      </c>
      <c r="G1220" s="2">
        <v>0</v>
      </c>
      <c r="H1220" s="2">
        <v>999</v>
      </c>
      <c r="I1220" s="2" t="inlineStr">
        <is>
          <t>13613</t>
        </is>
      </c>
      <c r="J1220" s="4"/>
      <c r="K1220" s="2">
        <v>82</v>
      </c>
      <c r="L1220" s="6"/>
      <c r="M1220" s="2" t="str">
        <f>IF(J1220="",ROUND(I1220*(1-IF(ISBLANK(L1220),K1220,L1220)/100),2),ROUND(J1220*(1-IF(ISBLANK(L1220),K1220,L1220)/100),2))</f>
      </c>
      <c r="N1220" s="7" t="str">
        <f>IF(NOT(AND(J1220="",L1220="")),IF(OR(AND(L1220&lt;&gt;"",NOT(ISNUMBER(L1220))),IFERROR(MOD(L1220,1),1)&gt;0,AND(ISNUMBER(L1220),OR(L1220&lt;0,L1220&gt;95))),"Введите целое число от 0 до 95",IF(OR(AND(J1220&lt;&gt;"",NOT(ISNUMBER(J1220))),IFERROR(MOD(J1220,1),1)&gt;0,AND(ISNUMBER(J1220),OR(J1220&lt;50,J1220&gt;20000000))),"Введите целое число от 50 до 20000000",IF(NOT(ABS(IFERROR(VALUE(LEFT(M1220,FIND("-",M1220)-1)),M1220)*100-(2500+2000000000)/2)&lt;=ABS(2500-2000000000)/2),"Цена со скидкой должна быть от 25 до 20000000",IF(AND(IFERROR(VALUE(LEFT(M1220,FIND("-",M1220)-1)),M1220)*150&lt;=245034,IFERROR(VALUE(LEFT(M1220,FIND("-",M1220)-1)),M1220)*200&gt;245034),"Вы уменьшили цену в несколько раз, товар попадет в карантин цен",IF(IFERROR(VALUE(LEFT(M1220,FIND("-",M1220)-1)),M1220)*200&lt;=245034,"Не сохранили изменения, чтобы защитить от ошибки — новые цены меньше текущих более чем в 2 раза. Снижайте их постепенно",IF(AND(IFERROR(VALUE(I1220),0)=0,ISNUMBER(J1220),OR(J1220&lt;756,ABS(IFERROR(VALUE(LEFT(M1220,FIND("-",M1220)-1)),M1220))*100&lt;75600)),"Проверьте цену товара. Большинство товаров в выбранной категории стоят дороже 756","")))))),"")</f>
      </c>
    </row>
    <row r="1221">
      <c r="A1221" s="2" t="inlineStr">
        <is>
          <t/>
        </is>
      </c>
      <c r="B1221" s="2" t="inlineStr">
        <is>
          <t>Кастрюли</t>
        </is>
      </c>
      <c r="C1221" s="2">
        <v>729144193</v>
      </c>
      <c r="D1221" s="2" t="inlineStr">
        <is>
          <t>21280</t>
        </is>
      </c>
      <c r="E1221" s="2" t="inlineStr">
        <is>
          <t>2048079094634</t>
        </is>
      </c>
      <c r="F1221" s="2">
        <v>2</v>
      </c>
      <c r="G1221" s="2">
        <v>0</v>
      </c>
      <c r="H1221" s="2">
        <v>999</v>
      </c>
      <c r="I1221" s="2" t="inlineStr">
        <is>
          <t>29349</t>
        </is>
      </c>
      <c r="J1221" s="4"/>
      <c r="K1221" s="2">
        <v>80</v>
      </c>
      <c r="L1221" s="6"/>
      <c r="M1221" s="2" t="str">
        <f>IF(J1221="",ROUND(I1221*(1-IF(ISBLANK(L1221),K1221,L1221)/100),2),ROUND(J1221*(1-IF(ISBLANK(L1221),K1221,L1221)/100),2))</f>
      </c>
      <c r="N1221" s="7" t="str">
        <f>IF(NOT(AND(J1221="",L1221="")),IF(OR(AND(L1221&lt;&gt;"",NOT(ISNUMBER(L1221))),IFERROR(MOD(L1221,1),1)&gt;0,AND(ISNUMBER(L1221),OR(L1221&lt;0,L1221&gt;95))),"Введите целое число от 0 до 95",IF(OR(AND(J1221&lt;&gt;"",NOT(ISNUMBER(J1221))),IFERROR(MOD(J1221,1),1)&gt;0,AND(ISNUMBER(J1221),OR(J1221&lt;50,J1221&gt;20000000))),"Введите целое число от 50 до 20000000",IF(NOT(ABS(IFERROR(VALUE(LEFT(M1221,FIND("-",M1221)-1)),M1221)*100-(2500+2000000000)/2)&lt;=ABS(2500-2000000000)/2),"Цена со скидкой должна быть от 25 до 20000000",IF(AND(IFERROR(VALUE(LEFT(M1221,FIND("-",M1221)-1)),M1221)*150&lt;=586979,IFERROR(VALUE(LEFT(M1221,FIND("-",M1221)-1)),M1221)*200&gt;586979),"Вы уменьшили цену в несколько раз, товар попадет в карантин цен",IF(IFERROR(VALUE(LEFT(M1221,FIND("-",M1221)-1)),M1221)*200&lt;=586979,"Не сохранили изменения, чтобы защитить от ошибки — новые цены меньше текущих более чем в 2 раза. Снижайте их постепенно",IF(AND(IFERROR(VALUE(I1221),0)=0,ISNUMBER(J1221),OR(J1221&lt;523,ABS(IFERROR(VALUE(LEFT(M1221,FIND("-",M1221)-1)),M1221))*100&lt;52300)),"Проверьте цену товара. Большинство товаров в выбранной категории стоят дороже 523","")))))),"")</f>
      </c>
    </row>
    <row r="1222">
      <c r="A1222" s="2" t="inlineStr">
        <is>
          <t/>
        </is>
      </c>
      <c r="B1222" s="2" t="inlineStr">
        <is>
          <t>Кастрюли</t>
        </is>
      </c>
      <c r="C1222" s="2">
        <v>729144138</v>
      </c>
      <c r="D1222" s="2" t="inlineStr">
        <is>
          <t>82742</t>
        </is>
      </c>
      <c r="E1222" s="2" t="inlineStr">
        <is>
          <t>2048079094122</t>
        </is>
      </c>
      <c r="F1222" s="2">
        <v>0</v>
      </c>
      <c r="G1222" s="2">
        <v>12</v>
      </c>
      <c r="H1222" s="2" t="inlineStr">
        <is>
          <t/>
        </is>
      </c>
      <c r="I1222" s="2" t="inlineStr">
        <is>
          <t>19299</t>
        </is>
      </c>
      <c r="J1222" s="4"/>
      <c r="K1222" s="2">
        <v>80</v>
      </c>
      <c r="L1222" s="6"/>
      <c r="M1222" s="2" t="str">
        <f>IF(J1222="",ROUND(I1222*(1-IF(ISBLANK(L1222),K1222,L1222)/100),2),ROUND(J1222*(1-IF(ISBLANK(L1222),K1222,L1222)/100),2))</f>
      </c>
      <c r="N1222" s="7" t="str">
        <f>IF(NOT(AND(J1222="",L1222="")),IF(OR(AND(L1222&lt;&gt;"",NOT(ISNUMBER(L1222))),IFERROR(MOD(L1222,1),1)&gt;0,AND(ISNUMBER(L1222),OR(L1222&lt;0,L1222&gt;95))),"Введите целое число от 0 до 95",IF(OR(AND(J1222&lt;&gt;"",NOT(ISNUMBER(J1222))),IFERROR(MOD(J1222,1),1)&gt;0,AND(ISNUMBER(J1222),OR(J1222&lt;50,J1222&gt;20000000))),"Введите целое число от 50 до 20000000",IF(NOT(ABS(IFERROR(VALUE(LEFT(M1222,FIND("-",M1222)-1)),M1222)*100-(2500+2000000000)/2)&lt;=ABS(2500-2000000000)/2),"Цена со скидкой должна быть от 25 до 20000000",IF(AND(IFERROR(VALUE(LEFT(M1222,FIND("-",M1222)-1)),M1222)*150&lt;=385979,IFERROR(VALUE(LEFT(M1222,FIND("-",M1222)-1)),M1222)*200&gt;385979),"Вы уменьшили цену в несколько раз, товар попадет в карантин цен",IF(IFERROR(VALUE(LEFT(M1222,FIND("-",M1222)-1)),M1222)*200&lt;=385979,"Не сохранили изменения, чтобы защитить от ошибки — новые цены меньше текущих более чем в 2 раза. Снижайте их постепенно",IF(AND(IFERROR(VALUE(I1222),0)=0,ISNUMBER(J1222),OR(J1222&lt;523,ABS(IFERROR(VALUE(LEFT(M1222,FIND("-",M1222)-1)),M1222))*100&lt;52300)),"Проверьте цену товара. Большинство товаров в выбранной категории стоят дороже 523","")))))),"")</f>
      </c>
    </row>
    <row r="1223">
      <c r="A1223" s="2" t="inlineStr">
        <is>
          <t/>
        </is>
      </c>
      <c r="B1223" s="2" t="inlineStr">
        <is>
          <t>Кастрюли</t>
        </is>
      </c>
      <c r="C1223" s="2">
        <v>729143937</v>
      </c>
      <c r="D1223" s="2" t="inlineStr">
        <is>
          <t>200116</t>
        </is>
      </c>
      <c r="E1223" s="2" t="inlineStr">
        <is>
          <t>2048079087735</t>
        </is>
      </c>
      <c r="F1223" s="2">
        <v>3</v>
      </c>
      <c r="G1223" s="2">
        <v>5</v>
      </c>
      <c r="H1223" s="2">
        <v>999</v>
      </c>
      <c r="I1223" s="2" t="inlineStr">
        <is>
          <t>24863</t>
        </is>
      </c>
      <c r="J1223" s="4"/>
      <c r="K1223" s="2">
        <v>80</v>
      </c>
      <c r="L1223" s="6"/>
      <c r="M1223" s="2" t="str">
        <f>IF(J1223="",ROUND(I1223*(1-IF(ISBLANK(L1223),K1223,L1223)/100),2),ROUND(J1223*(1-IF(ISBLANK(L1223),K1223,L1223)/100),2))</f>
      </c>
      <c r="N1223" s="7" t="str">
        <f>IF(NOT(AND(J1223="",L1223="")),IF(OR(AND(L1223&lt;&gt;"",NOT(ISNUMBER(L1223))),IFERROR(MOD(L1223,1),1)&gt;0,AND(ISNUMBER(L1223),OR(L1223&lt;0,L1223&gt;95))),"Введите целое число от 0 до 95",IF(OR(AND(J1223&lt;&gt;"",NOT(ISNUMBER(J1223))),IFERROR(MOD(J1223,1),1)&gt;0,AND(ISNUMBER(J1223),OR(J1223&lt;50,J1223&gt;20000000))),"Введите целое число от 50 до 20000000",IF(NOT(ABS(IFERROR(VALUE(LEFT(M1223,FIND("-",M1223)-1)),M1223)*100-(2500+2000000000)/2)&lt;=ABS(2500-2000000000)/2),"Цена со скидкой должна быть от 25 до 20000000",IF(AND(IFERROR(VALUE(LEFT(M1223,FIND("-",M1223)-1)),M1223)*150&lt;=497259,IFERROR(VALUE(LEFT(M1223,FIND("-",M1223)-1)),M1223)*200&gt;497259),"Вы уменьшили цену в несколько раз, товар попадет в карантин цен",IF(IFERROR(VALUE(LEFT(M1223,FIND("-",M1223)-1)),M1223)*200&lt;=497259,"Не сохранили изменения, чтобы защитить от ошибки — новые цены меньше текущих более чем в 2 раза. Снижайте их постепенно",IF(AND(IFERROR(VALUE(I1223),0)=0,ISNUMBER(J1223),OR(J1223&lt;523,ABS(IFERROR(VALUE(LEFT(M1223,FIND("-",M1223)-1)),M1223))*100&lt;52300)),"Проверьте цену товара. Большинство товаров в выбранной категории стоят дороже 523","")))))),"")</f>
      </c>
    </row>
    <row r="1224">
      <c r="A1224" s="2" t="inlineStr">
        <is>
          <t/>
        </is>
      </c>
      <c r="B1224" s="2" t="inlineStr">
        <is>
          <t>Кастрюли</t>
        </is>
      </c>
      <c r="C1224" s="2">
        <v>729143949</v>
      </c>
      <c r="D1224" s="2" t="inlineStr">
        <is>
          <t>200479</t>
        </is>
      </c>
      <c r="E1224" s="2" t="inlineStr">
        <is>
          <t>2048079088183</t>
        </is>
      </c>
      <c r="F1224" s="2">
        <v>3</v>
      </c>
      <c r="G1224" s="2">
        <v>0</v>
      </c>
      <c r="H1224" s="2">
        <v>116</v>
      </c>
      <c r="I1224" s="2" t="inlineStr">
        <is>
          <t>32274</t>
        </is>
      </c>
      <c r="J1224" s="4"/>
      <c r="K1224" s="2">
        <v>80</v>
      </c>
      <c r="L1224" s="6"/>
      <c r="M1224" s="2" t="str">
        <f>IF(J1224="",ROUND(I1224*(1-IF(ISBLANK(L1224),K1224,L1224)/100),2),ROUND(J1224*(1-IF(ISBLANK(L1224),K1224,L1224)/100),2))</f>
      </c>
      <c r="N1224" s="7" t="str">
        <f>IF(NOT(AND(J1224="",L1224="")),IF(OR(AND(L1224&lt;&gt;"",NOT(ISNUMBER(L1224))),IFERROR(MOD(L1224,1),1)&gt;0,AND(ISNUMBER(L1224),OR(L1224&lt;0,L1224&gt;95))),"Введите целое число от 0 до 95",IF(OR(AND(J1224&lt;&gt;"",NOT(ISNUMBER(J1224))),IFERROR(MOD(J1224,1),1)&gt;0,AND(ISNUMBER(J1224),OR(J1224&lt;50,J1224&gt;20000000))),"Введите целое число от 50 до 20000000",IF(NOT(ABS(IFERROR(VALUE(LEFT(M1224,FIND("-",M1224)-1)),M1224)*100-(2500+2000000000)/2)&lt;=ABS(2500-2000000000)/2),"Цена со скидкой должна быть от 25 до 20000000",IF(AND(IFERROR(VALUE(LEFT(M1224,FIND("-",M1224)-1)),M1224)*150&lt;=645479,IFERROR(VALUE(LEFT(M1224,FIND("-",M1224)-1)),M1224)*200&gt;645479),"Вы уменьшили цену в несколько раз, товар попадет в карантин цен",IF(IFERROR(VALUE(LEFT(M1224,FIND("-",M1224)-1)),M1224)*200&lt;=645479,"Не сохранили изменения, чтобы защитить от ошибки — новые цены меньше текущих более чем в 2 раза. Снижайте их постепенно",IF(AND(IFERROR(VALUE(I1224),0)=0,ISNUMBER(J1224),OR(J1224&lt;523,ABS(IFERROR(VALUE(LEFT(M1224,FIND("-",M1224)-1)),M1224))*100&lt;52300)),"Проверьте цену товара. Большинство товаров в выбранной категории стоят дороже 523","")))))),"")</f>
      </c>
    </row>
    <row r="1225">
      <c r="A1225" s="2" t="inlineStr">
        <is>
          <t/>
        </is>
      </c>
      <c r="B1225" s="2" t="inlineStr">
        <is>
          <t>Кастрюли</t>
        </is>
      </c>
      <c r="C1225" s="2">
        <v>729144190</v>
      </c>
      <c r="D1225" s="2" t="inlineStr">
        <is>
          <t>240141</t>
        </is>
      </c>
      <c r="E1225" s="2" t="inlineStr">
        <is>
          <t>2048079094528</t>
        </is>
      </c>
      <c r="F1225" s="2">
        <v>2</v>
      </c>
      <c r="G1225" s="2">
        <v>4</v>
      </c>
      <c r="H1225" s="2">
        <v>999</v>
      </c>
      <c r="I1225" s="2" t="inlineStr">
        <is>
          <t>26378</t>
        </is>
      </c>
      <c r="J1225" s="4"/>
      <c r="K1225" s="2">
        <v>81</v>
      </c>
      <c r="L1225" s="6"/>
      <c r="M1225" s="2" t="str">
        <f>IF(J1225="",ROUND(I1225*(1-IF(ISBLANK(L1225),K1225,L1225)/100),2),ROUND(J1225*(1-IF(ISBLANK(L1225),K1225,L1225)/100),2))</f>
      </c>
      <c r="N1225" s="7" t="str">
        <f>IF(NOT(AND(J1225="",L1225="")),IF(OR(AND(L1225&lt;&gt;"",NOT(ISNUMBER(L1225))),IFERROR(MOD(L1225,1),1)&gt;0,AND(ISNUMBER(L1225),OR(L1225&lt;0,L1225&gt;95))),"Введите целое число от 0 до 95",IF(OR(AND(J1225&lt;&gt;"",NOT(ISNUMBER(J1225))),IFERROR(MOD(J1225,1),1)&gt;0,AND(ISNUMBER(J1225),OR(J1225&lt;50,J1225&gt;20000000))),"Введите целое число от 50 до 20000000",IF(NOT(ABS(IFERROR(VALUE(LEFT(M1225,FIND("-",M1225)-1)),M1225)*100-(2500+2000000000)/2)&lt;=ABS(2500-2000000000)/2),"Цена со скидкой должна быть от 25 до 20000000",IF(AND(IFERROR(VALUE(LEFT(M1225,FIND("-",M1225)-1)),M1225)*150&lt;=501181,IFERROR(VALUE(LEFT(M1225,FIND("-",M1225)-1)),M1225)*200&gt;501181),"Вы уменьшили цену в несколько раз, товар попадет в карантин цен",IF(IFERROR(VALUE(LEFT(M1225,FIND("-",M1225)-1)),M1225)*200&lt;=501181,"Не сохранили изменения, чтобы защитить от ошибки — новые цены меньше текущих более чем в 2 раза. Снижайте их постепенно",IF(AND(IFERROR(VALUE(I1225),0)=0,ISNUMBER(J1225),OR(J1225&lt;523,ABS(IFERROR(VALUE(LEFT(M1225,FIND("-",M1225)-1)),M1225))*100&lt;52300)),"Проверьте цену товара. Большинство товаров в выбранной категории стоят дороже 523","")))))),"")</f>
      </c>
    </row>
    <row r="1226">
      <c r="A1226" s="2" t="inlineStr">
        <is>
          <t/>
        </is>
      </c>
      <c r="B1226" s="2" t="inlineStr">
        <is>
          <t>Лотки для приборов</t>
        </is>
      </c>
      <c r="C1226" s="2">
        <v>727227074</v>
      </c>
      <c r="D1226" s="2" t="inlineStr">
        <is>
          <t>40983</t>
        </is>
      </c>
      <c r="E1226" s="2" t="inlineStr">
        <is>
          <t>2048061048058</t>
        </is>
      </c>
      <c r="F1226" s="2">
        <v>3</v>
      </c>
      <c r="G1226" s="2">
        <v>31</v>
      </c>
      <c r="H1226" s="2">
        <v>51</v>
      </c>
      <c r="I1226" s="2" t="inlineStr">
        <is>
          <t>4976</t>
        </is>
      </c>
      <c r="J1226" s="4"/>
      <c r="K1226" s="2">
        <v>78</v>
      </c>
      <c r="L1226" s="6"/>
      <c r="M1226" s="2" t="str">
        <f>IF(J1226="",ROUND(I1226*(1-IF(ISBLANK(L1226),K1226,L1226)/100),2),ROUND(J1226*(1-IF(ISBLANK(L1226),K1226,L1226)/100),2))</f>
      </c>
      <c r="N1226" s="7" t="str">
        <f>IF(NOT(AND(J1226="",L1226="")),IF(OR(AND(L1226&lt;&gt;"",NOT(ISNUMBER(L1226))),IFERROR(MOD(L1226,1),1)&gt;0,AND(ISNUMBER(L1226),OR(L1226&lt;0,L1226&gt;95))),"Введите целое число от 0 до 95",IF(OR(AND(J1226&lt;&gt;"",NOT(ISNUMBER(J1226))),IFERROR(MOD(J1226,1),1)&gt;0,AND(ISNUMBER(J1226),OR(J1226&lt;50,J1226&gt;20000000))),"Введите целое число от 50 до 20000000",IF(NOT(ABS(IFERROR(VALUE(LEFT(M1226,FIND("-",M1226)-1)),M1226)*100-(2500+2000000000)/2)&lt;=ABS(2500-2000000000)/2),"Цена со скидкой должна быть от 25 до 20000000",IF(AND(IFERROR(VALUE(LEFT(M1226,FIND("-",M1226)-1)),M1226)*150&lt;=109471,IFERROR(VALUE(LEFT(M1226,FIND("-",M1226)-1)),M1226)*200&gt;109471),"Вы уменьшили цену в несколько раз, товар попадет в карантин цен",IF(IFERROR(VALUE(LEFT(M1226,FIND("-",M1226)-1)),M1226)*200&lt;=109471,"Не сохранили изменения, чтобы защитить от ошибки — новые цены меньше текущих более чем в 2 раза. Снижайте их постепенно",IF(AND(IFERROR(VALUE(I1226),0)=0,ISNUMBER(J1226),OR(J1226&lt;242,ABS(IFERROR(VALUE(LEFT(M1226,FIND("-",M1226)-1)),M1226))*100&lt;24200)),"Проверьте цену товара. Большинство товаров в выбранной категории стоят дороже 242","")))))),"")</f>
      </c>
    </row>
    <row r="1227">
      <c r="A1227" s="2" t="inlineStr">
        <is>
          <t/>
        </is>
      </c>
      <c r="B1227" s="2" t="inlineStr">
        <is>
          <t>Кастрюли</t>
        </is>
      </c>
      <c r="C1227" s="2">
        <v>729143940</v>
      </c>
      <c r="D1227" s="2" t="inlineStr">
        <is>
          <t>200526</t>
        </is>
      </c>
      <c r="E1227" s="2" t="inlineStr">
        <is>
          <t>2048079087889</t>
        </is>
      </c>
      <c r="F1227" s="2">
        <v>3</v>
      </c>
      <c r="G1227" s="2">
        <v>1</v>
      </c>
      <c r="H1227" s="2">
        <v>999</v>
      </c>
      <c r="I1227" s="2" t="inlineStr">
        <is>
          <t>25422</t>
        </is>
      </c>
      <c r="J1227" s="4"/>
      <c r="K1227" s="2">
        <v>80</v>
      </c>
      <c r="L1227" s="6"/>
      <c r="M1227" s="2" t="str">
        <f>IF(J1227="",ROUND(I1227*(1-IF(ISBLANK(L1227),K1227,L1227)/100),2),ROUND(J1227*(1-IF(ISBLANK(L1227),K1227,L1227)/100),2))</f>
      </c>
      <c r="N1227" s="7" t="str">
        <f>IF(NOT(AND(J1227="",L1227="")),IF(OR(AND(L1227&lt;&gt;"",NOT(ISNUMBER(L1227))),IFERROR(MOD(L1227,1),1)&gt;0,AND(ISNUMBER(L1227),OR(L1227&lt;0,L1227&gt;95))),"Введите целое число от 0 до 95",IF(OR(AND(J1227&lt;&gt;"",NOT(ISNUMBER(J1227))),IFERROR(MOD(J1227,1),1)&gt;0,AND(ISNUMBER(J1227),OR(J1227&lt;50,J1227&gt;20000000))),"Введите целое число от 50 до 20000000",IF(NOT(ABS(IFERROR(VALUE(LEFT(M1227,FIND("-",M1227)-1)),M1227)*100-(2500+2000000000)/2)&lt;=ABS(2500-2000000000)/2),"Цена со скидкой должна быть от 25 до 20000000",IF(AND(IFERROR(VALUE(LEFT(M1227,FIND("-",M1227)-1)),M1227)*150&lt;=508439,IFERROR(VALUE(LEFT(M1227,FIND("-",M1227)-1)),M1227)*200&gt;508439),"Вы уменьшили цену в несколько раз, товар попадет в карантин цен",IF(IFERROR(VALUE(LEFT(M1227,FIND("-",M1227)-1)),M1227)*200&lt;=508439,"Не сохранили изменения, чтобы защитить от ошибки — новые цены меньше текущих более чем в 2 раза. Снижайте их постепенно",IF(AND(IFERROR(VALUE(I1227),0)=0,ISNUMBER(J1227),OR(J1227&lt;523,ABS(IFERROR(VALUE(LEFT(M1227,FIND("-",M1227)-1)),M1227))*100&lt;52300)),"Проверьте цену товара. Большинство товаров в выбранной категории стоят дороже 523","")))))),"")</f>
      </c>
    </row>
    <row r="1228">
      <c r="A1228" s="2" t="inlineStr">
        <is>
          <t/>
        </is>
      </c>
      <c r="B1228" s="2" t="inlineStr">
        <is>
          <t>Кастрюли</t>
        </is>
      </c>
      <c r="C1228" s="2">
        <v>729144196</v>
      </c>
      <c r="D1228" s="2" t="inlineStr">
        <is>
          <t>240299</t>
        </is>
      </c>
      <c r="E1228" s="2" t="inlineStr">
        <is>
          <t>2048079094672</t>
        </is>
      </c>
      <c r="F1228" s="2">
        <v>4</v>
      </c>
      <c r="G1228" s="2">
        <v>0</v>
      </c>
      <c r="H1228" s="2">
        <v>999</v>
      </c>
      <c r="I1228" s="2" t="inlineStr">
        <is>
          <t>26511</t>
        </is>
      </c>
      <c r="J1228" s="4"/>
      <c r="K1228" s="2">
        <v>80</v>
      </c>
      <c r="L1228" s="6"/>
      <c r="M1228" s="2" t="str">
        <f>IF(J1228="",ROUND(I1228*(1-IF(ISBLANK(L1228),K1228,L1228)/100),2),ROUND(J1228*(1-IF(ISBLANK(L1228),K1228,L1228)/100),2))</f>
      </c>
      <c r="N1228" s="7" t="str">
        <f>IF(NOT(AND(J1228="",L1228="")),IF(OR(AND(L1228&lt;&gt;"",NOT(ISNUMBER(L1228))),IFERROR(MOD(L1228,1),1)&gt;0,AND(ISNUMBER(L1228),OR(L1228&lt;0,L1228&gt;95))),"Введите целое число от 0 до 95",IF(OR(AND(J1228&lt;&gt;"",NOT(ISNUMBER(J1228))),IFERROR(MOD(J1228,1),1)&gt;0,AND(ISNUMBER(J1228),OR(J1228&lt;50,J1228&gt;20000000))),"Введите целое число от 50 до 20000000",IF(NOT(ABS(IFERROR(VALUE(LEFT(M1228,FIND("-",M1228)-1)),M1228)*100-(2500+2000000000)/2)&lt;=ABS(2500-2000000000)/2),"Цена со скидкой должна быть от 25 до 20000000",IF(AND(IFERROR(VALUE(LEFT(M1228,FIND("-",M1228)-1)),M1228)*150&lt;=530219,IFERROR(VALUE(LEFT(M1228,FIND("-",M1228)-1)),M1228)*200&gt;530219),"Вы уменьшили цену в несколько раз, товар попадет в карантин цен",IF(IFERROR(VALUE(LEFT(M1228,FIND("-",M1228)-1)),M1228)*200&lt;=530219,"Не сохранили изменения, чтобы защитить от ошибки — новые цены меньше текущих более чем в 2 раза. Снижайте их постепенно",IF(AND(IFERROR(VALUE(I1228),0)=0,ISNUMBER(J1228),OR(J1228&lt;523,ABS(IFERROR(VALUE(LEFT(M1228,FIND("-",M1228)-1)),M1228))*100&lt;52300)),"Проверьте цену товара. Большинство товаров в выбранной категории стоят дороже 523","")))))),"")</f>
      </c>
    </row>
    <row r="1229">
      <c r="A1229" s="2" t="inlineStr">
        <is>
          <t/>
        </is>
      </c>
      <c r="B1229" s="2" t="inlineStr">
        <is>
          <t>Сумки хозяйственные</t>
        </is>
      </c>
      <c r="C1229" s="2">
        <v>607797389</v>
      </c>
      <c r="D1229" s="2" t="inlineStr">
        <is>
          <t>52214</t>
        </is>
      </c>
      <c r="E1229" s="2" t="inlineStr">
        <is>
          <t>2047198413012</t>
        </is>
      </c>
      <c r="F1229" s="2">
        <v>0</v>
      </c>
      <c r="G1229" s="2">
        <v>43</v>
      </c>
      <c r="H1229" s="2" t="inlineStr">
        <is>
          <t/>
        </is>
      </c>
      <c r="I1229" s="2" t="inlineStr">
        <is>
          <t>4004</t>
        </is>
      </c>
      <c r="J1229" s="4"/>
      <c r="K1229" s="2">
        <v>78</v>
      </c>
      <c r="L1229" s="6"/>
      <c r="M1229" s="2" t="str">
        <f>IF(J1229="",ROUND(I1229*(1-IF(ISBLANK(L1229),K1229,L1229)/100),2),ROUND(J1229*(1-IF(ISBLANK(L1229),K1229,L1229)/100),2))</f>
      </c>
      <c r="N1229" s="7" t="str">
        <f>IF(NOT(AND(J1229="",L1229="")),IF(OR(AND(L1229&lt;&gt;"",NOT(ISNUMBER(L1229))),IFERROR(MOD(L1229,1),1)&gt;0,AND(ISNUMBER(L1229),OR(L1229&lt;0,L1229&gt;95))),"Введите целое число от 0 до 95",IF(OR(AND(J1229&lt;&gt;"",NOT(ISNUMBER(J1229))),IFERROR(MOD(J1229,1),1)&gt;0,AND(ISNUMBER(J1229),OR(J1229&lt;50,J1229&gt;20000000))),"Введите целое число от 50 до 20000000",IF(NOT(ABS(IFERROR(VALUE(LEFT(M1229,FIND("-",M1229)-1)),M1229)*100-(2500+2000000000)/2)&lt;=ABS(2500-2000000000)/2),"Цена со скидкой должна быть от 25 до 20000000",IF(AND(IFERROR(VALUE(LEFT(M1229,FIND("-",M1229)-1)),M1229)*150&lt;=88087,IFERROR(VALUE(LEFT(M1229,FIND("-",M1229)-1)),M1229)*200&gt;88087),"Вы уменьшили цену в несколько раз, товар попадет в карантин цен",IF(IFERROR(VALUE(LEFT(M1229,FIND("-",M1229)-1)),M1229)*200&lt;=88087,"Не сохранили изменения, чтобы защитить от ошибки — новые цены меньше текущих более чем в 2 раза. Снижайте их постепенно",IF(AND(IFERROR(VALUE(I1229),0)=0,ISNUMBER(J1229),OR(J1229&lt;281,ABS(IFERROR(VALUE(LEFT(M1229,FIND("-",M1229)-1)),M1229))*100&lt;28100)),"Проверьте цену товара. Большинство товаров в выбранной категории стоят дороже 281","")))))),"")</f>
      </c>
    </row>
    <row r="1230">
      <c r="A1230" s="2" t="inlineStr">
        <is>
          <t/>
        </is>
      </c>
      <c r="B1230" s="2" t="inlineStr">
        <is>
          <t>Кастрюли</t>
        </is>
      </c>
      <c r="C1230" s="2">
        <v>729144195</v>
      </c>
      <c r="D1230" s="2" t="inlineStr">
        <is>
          <t>240300</t>
        </is>
      </c>
      <c r="E1230" s="2" t="inlineStr">
        <is>
          <t>2048079094658</t>
        </is>
      </c>
      <c r="F1230" s="2">
        <v>4</v>
      </c>
      <c r="G1230" s="2">
        <v>0</v>
      </c>
      <c r="H1230" s="2">
        <v>999</v>
      </c>
      <c r="I1230" s="2" t="inlineStr">
        <is>
          <t>36361</t>
        </is>
      </c>
      <c r="J1230" s="4"/>
      <c r="K1230" s="2">
        <v>80</v>
      </c>
      <c r="L1230" s="6"/>
      <c r="M1230" s="2" t="str">
        <f>IF(J1230="",ROUND(I1230*(1-IF(ISBLANK(L1230),K1230,L1230)/100),2),ROUND(J1230*(1-IF(ISBLANK(L1230),K1230,L1230)/100),2))</f>
      </c>
      <c r="N1230" s="7" t="str">
        <f>IF(NOT(AND(J1230="",L1230="")),IF(OR(AND(L1230&lt;&gt;"",NOT(ISNUMBER(L1230))),IFERROR(MOD(L1230,1),1)&gt;0,AND(ISNUMBER(L1230),OR(L1230&lt;0,L1230&gt;95))),"Введите целое число от 0 до 95",IF(OR(AND(J1230&lt;&gt;"",NOT(ISNUMBER(J1230))),IFERROR(MOD(J1230,1),1)&gt;0,AND(ISNUMBER(J1230),OR(J1230&lt;50,J1230&gt;20000000))),"Введите целое число от 50 до 20000000",IF(NOT(ABS(IFERROR(VALUE(LEFT(M1230,FIND("-",M1230)-1)),M1230)*100-(2500+2000000000)/2)&lt;=ABS(2500-2000000000)/2),"Цена со скидкой должна быть от 25 до 20000000",IF(AND(IFERROR(VALUE(LEFT(M1230,FIND("-",M1230)-1)),M1230)*150&lt;=727219,IFERROR(VALUE(LEFT(M1230,FIND("-",M1230)-1)),M1230)*200&gt;727219),"Вы уменьшили цену в несколько раз, товар попадет в карантин цен",IF(IFERROR(VALUE(LEFT(M1230,FIND("-",M1230)-1)),M1230)*200&lt;=727219,"Не сохранили изменения, чтобы защитить от ошибки — новые цены меньше текущих более чем в 2 раза. Снижайте их постепенно",IF(AND(IFERROR(VALUE(I1230),0)=0,ISNUMBER(J1230),OR(J1230&lt;523,ABS(IFERROR(VALUE(LEFT(M1230,FIND("-",M1230)-1)),M1230))*100&lt;52300)),"Проверьте цену товара. Большинство товаров в выбранной категории стоят дороже 523","")))))),"")</f>
      </c>
    </row>
    <row r="1231">
      <c r="A1231" s="2" t="inlineStr">
        <is>
          <t/>
        </is>
      </c>
      <c r="B1231" s="2" t="inlineStr">
        <is>
          <t>Кастрюли</t>
        </is>
      </c>
      <c r="C1231" s="2">
        <v>729145115</v>
      </c>
      <c r="D1231" s="2" t="inlineStr">
        <is>
          <t>282855</t>
        </is>
      </c>
      <c r="E1231" s="2" t="inlineStr">
        <is>
          <t>2048079111201</t>
        </is>
      </c>
      <c r="F1231" s="2">
        <v>2</v>
      </c>
      <c r="G1231" s="2">
        <v>1</v>
      </c>
      <c r="H1231" s="2">
        <v>999</v>
      </c>
      <c r="I1231" s="2" t="inlineStr">
        <is>
          <t>34411</t>
        </is>
      </c>
      <c r="J1231" s="4"/>
      <c r="K1231" s="2">
        <v>81</v>
      </c>
      <c r="L1231" s="6"/>
      <c r="M1231" s="2" t="str">
        <f>IF(J1231="",ROUND(I1231*(1-IF(ISBLANK(L1231),K1231,L1231)/100),2),ROUND(J1231*(1-IF(ISBLANK(L1231),K1231,L1231)/100),2))</f>
      </c>
      <c r="N1231" s="7" t="str">
        <f>IF(NOT(AND(J1231="",L1231="")),IF(OR(AND(L1231&lt;&gt;"",NOT(ISNUMBER(L1231))),IFERROR(MOD(L1231,1),1)&gt;0,AND(ISNUMBER(L1231),OR(L1231&lt;0,L1231&gt;95))),"Введите целое число от 0 до 95",IF(OR(AND(J1231&lt;&gt;"",NOT(ISNUMBER(J1231))),IFERROR(MOD(J1231,1),1)&gt;0,AND(ISNUMBER(J1231),OR(J1231&lt;50,J1231&gt;20000000))),"Введите целое число от 50 до 20000000",IF(NOT(ABS(IFERROR(VALUE(LEFT(M1231,FIND("-",M1231)-1)),M1231)*100-(2500+2000000000)/2)&lt;=ABS(2500-2000000000)/2),"Цена со скидкой должна быть от 25 до 20000000",IF(AND(IFERROR(VALUE(LEFT(M1231,FIND("-",M1231)-1)),M1231)*150&lt;=653808,IFERROR(VALUE(LEFT(M1231,FIND("-",M1231)-1)),M1231)*200&gt;653808),"Вы уменьшили цену в несколько раз, товар попадет в карантин цен",IF(IFERROR(VALUE(LEFT(M1231,FIND("-",M1231)-1)),M1231)*200&lt;=653808,"Не сохранили изменения, чтобы защитить от ошибки — новые цены меньше текущих более чем в 2 раза. Снижайте их постепенно",IF(AND(IFERROR(VALUE(I1231),0)=0,ISNUMBER(J1231),OR(J1231&lt;523,ABS(IFERROR(VALUE(LEFT(M1231,FIND("-",M1231)-1)),M1231))*100&lt;52300)),"Проверьте цену товара. Большинство товаров в выбранной категории стоят дороже 523","")))))),"")</f>
      </c>
    </row>
    <row r="1232">
      <c r="A1232" s="2" t="inlineStr">
        <is>
          <t/>
        </is>
      </c>
      <c r="B1232" s="2" t="inlineStr">
        <is>
          <t>Чайники заварочные</t>
        </is>
      </c>
      <c r="C1232" s="2">
        <v>729548453</v>
      </c>
      <c r="D1232" s="2" t="inlineStr">
        <is>
          <t>82889</t>
        </is>
      </c>
      <c r="E1232" s="2" t="inlineStr">
        <is>
          <t>2048083256196</t>
        </is>
      </c>
      <c r="F1232" s="2">
        <v>17</v>
      </c>
      <c r="G1232" s="2">
        <v>30</v>
      </c>
      <c r="H1232" s="2">
        <v>999</v>
      </c>
      <c r="I1232" s="2" t="inlineStr">
        <is>
          <t>5376</t>
        </is>
      </c>
      <c r="J1232" s="4"/>
      <c r="K1232" s="2">
        <v>80</v>
      </c>
      <c r="L1232" s="6"/>
      <c r="M1232" s="2" t="str">
        <f>IF(J1232="",ROUND(I1232*(1-IF(ISBLANK(L1232),K1232,L1232)/100),2),ROUND(J1232*(1-IF(ISBLANK(L1232),K1232,L1232)/100),2))</f>
      </c>
      <c r="N1232" s="7" t="str">
        <f>IF(NOT(AND(J1232="",L1232="")),IF(OR(AND(L1232&lt;&gt;"",NOT(ISNUMBER(L1232))),IFERROR(MOD(L1232,1),1)&gt;0,AND(ISNUMBER(L1232),OR(L1232&lt;0,L1232&gt;95))),"Введите целое число от 0 до 95",IF(OR(AND(J1232&lt;&gt;"",NOT(ISNUMBER(J1232))),IFERROR(MOD(J1232,1),1)&gt;0,AND(ISNUMBER(J1232),OR(J1232&lt;50,J1232&gt;20000000))),"Введите целое число от 50 до 20000000",IF(NOT(ABS(IFERROR(VALUE(LEFT(M1232,FIND("-",M1232)-1)),M1232)*100-(2500+2000000000)/2)&lt;=ABS(2500-2000000000)/2),"Цена со скидкой должна быть от 25 до 20000000",IF(AND(IFERROR(VALUE(LEFT(M1232,FIND("-",M1232)-1)),M1232)*150&lt;=107519,IFERROR(VALUE(LEFT(M1232,FIND("-",M1232)-1)),M1232)*200&gt;107519),"Вы уменьшили цену в несколько раз, товар попадет в карантин цен",IF(IFERROR(VALUE(LEFT(M1232,FIND("-",M1232)-1)),M1232)*200&lt;=107519,"Не сохранили изменения, чтобы защитить от ошибки — новые цены меньше текущих более чем в 2 раза. Снижайте их постепенно",IF(AND(IFERROR(VALUE(I1232),0)=0,ISNUMBER(J1232),OR(J1232&lt;681,ABS(IFERROR(VALUE(LEFT(M1232,FIND("-",M1232)-1)),M1232))*100&lt;68100)),"Проверьте цену товара. Большинство товаров в выбранной категории стоят дороже 681","")))))),"")</f>
      </c>
    </row>
    <row r="1233">
      <c r="A1233" s="2" t="inlineStr">
        <is>
          <t/>
        </is>
      </c>
      <c r="B1233" s="2" t="inlineStr">
        <is>
          <t>Чайники для плиты</t>
        </is>
      </c>
      <c r="C1233" s="2">
        <v>729520773</v>
      </c>
      <c r="D1233" s="2" t="inlineStr">
        <is>
          <t>74788</t>
        </is>
      </c>
      <c r="E1233" s="2" t="inlineStr">
        <is>
          <t>2048082928490</t>
        </is>
      </c>
      <c r="F1233" s="2">
        <v>0</v>
      </c>
      <c r="G1233" s="2">
        <v>3</v>
      </c>
      <c r="H1233" s="2" t="inlineStr">
        <is>
          <t/>
        </is>
      </c>
      <c r="I1233" s="2" t="inlineStr">
        <is>
          <t>23479</t>
        </is>
      </c>
      <c r="J1233" s="4"/>
      <c r="K1233" s="2">
        <v>80</v>
      </c>
      <c r="L1233" s="6"/>
      <c r="M1233" s="2" t="str">
        <f>IF(J1233="",ROUND(I1233*(1-IF(ISBLANK(L1233),K1233,L1233)/100),2),ROUND(J1233*(1-IF(ISBLANK(L1233),K1233,L1233)/100),2))</f>
      </c>
      <c r="N1233" s="7" t="str">
        <f>IF(NOT(AND(J1233="",L1233="")),IF(OR(AND(L1233&lt;&gt;"",NOT(ISNUMBER(L1233))),IFERROR(MOD(L1233,1),1)&gt;0,AND(ISNUMBER(L1233),OR(L1233&lt;0,L1233&gt;95))),"Введите целое число от 0 до 95",IF(OR(AND(J1233&lt;&gt;"",NOT(ISNUMBER(J1233))),IFERROR(MOD(J1233,1),1)&gt;0,AND(ISNUMBER(J1233),OR(J1233&lt;50,J1233&gt;20000000))),"Введите целое число от 50 до 20000000",IF(NOT(ABS(IFERROR(VALUE(LEFT(M1233,FIND("-",M1233)-1)),M1233)*100-(2500+2000000000)/2)&lt;=ABS(2500-2000000000)/2),"Цена со скидкой должна быть от 25 до 20000000",IF(AND(IFERROR(VALUE(LEFT(M1233,FIND("-",M1233)-1)),M1233)*150&lt;=469579,IFERROR(VALUE(LEFT(M1233,FIND("-",M1233)-1)),M1233)*200&gt;469579),"Вы уменьшили цену в несколько раз, товар попадет в карантин цен",IF(IFERROR(VALUE(LEFT(M1233,FIND("-",M1233)-1)),M1233)*200&lt;=469579,"Не сохранили изменения, чтобы защитить от ошибки — новые цены меньше текущих более чем в 2 раза. Снижайте их постепенно",IF(AND(IFERROR(VALUE(I1233),0)=0,ISNUMBER(J1233),OR(J1233&lt;468,ABS(IFERROR(VALUE(LEFT(M1233,FIND("-",M1233)-1)),M1233))*100&lt;46800)),"Проверьте цену товара. Большинство товаров в выбранной категории стоят дороже 468","")))))),"")</f>
      </c>
    </row>
    <row r="1234">
      <c r="A1234" s="2" t="inlineStr">
        <is>
          <t/>
        </is>
      </c>
      <c r="B1234" s="2" t="inlineStr">
        <is>
          <t>Чайники заварочные</t>
        </is>
      </c>
      <c r="C1234" s="2">
        <v>729548451</v>
      </c>
      <c r="D1234" s="2" t="inlineStr">
        <is>
          <t>100729</t>
        </is>
      </c>
      <c r="E1234" s="2" t="inlineStr">
        <is>
          <t>2048083256165</t>
        </is>
      </c>
      <c r="F1234" s="2">
        <v>11</v>
      </c>
      <c r="G1234" s="2">
        <v>8</v>
      </c>
      <c r="H1234" s="2">
        <v>999</v>
      </c>
      <c r="I1234" s="2" t="inlineStr">
        <is>
          <t>8149</t>
        </is>
      </c>
      <c r="J1234" s="4"/>
      <c r="K1234" s="2">
        <v>79</v>
      </c>
      <c r="L1234" s="6"/>
      <c r="M1234" s="2" t="str">
        <f>IF(J1234="",ROUND(I1234*(1-IF(ISBLANK(L1234),K1234,L1234)/100),2),ROUND(J1234*(1-IF(ISBLANK(L1234),K1234,L1234)/100),2))</f>
      </c>
      <c r="N1234" s="7" t="str">
        <f>IF(NOT(AND(J1234="",L1234="")),IF(OR(AND(L1234&lt;&gt;"",NOT(ISNUMBER(L1234))),IFERROR(MOD(L1234,1),1)&gt;0,AND(ISNUMBER(L1234),OR(L1234&lt;0,L1234&gt;95))),"Введите целое число от 0 до 95",IF(OR(AND(J1234&lt;&gt;"",NOT(ISNUMBER(J1234))),IFERROR(MOD(J1234,1),1)&gt;0,AND(ISNUMBER(J1234),OR(J1234&lt;50,J1234&gt;20000000))),"Введите целое число от 50 до 20000000",IF(NOT(ABS(IFERROR(VALUE(LEFT(M1234,FIND("-",M1234)-1)),M1234)*100-(2500+2000000000)/2)&lt;=ABS(2500-2000000000)/2),"Цена со скидкой должна быть от 25 до 20000000",IF(AND(IFERROR(VALUE(LEFT(M1234,FIND("-",M1234)-1)),M1234)*150&lt;=171128,IFERROR(VALUE(LEFT(M1234,FIND("-",M1234)-1)),M1234)*200&gt;171128),"Вы уменьшили цену в несколько раз, товар попадет в карантин цен",IF(IFERROR(VALUE(LEFT(M1234,FIND("-",M1234)-1)),M1234)*200&lt;=171128,"Не сохранили изменения, чтобы защитить от ошибки — новые цены меньше текущих более чем в 2 раза. Снижайте их постепенно",IF(AND(IFERROR(VALUE(I1234),0)=0,ISNUMBER(J1234),OR(J1234&lt;681,ABS(IFERROR(VALUE(LEFT(M1234,FIND("-",M1234)-1)),M1234))*100&lt;68100)),"Проверьте цену товара. Большинство товаров в выбранной категории стоят дороже 681","")))))),"")</f>
      </c>
    </row>
    <row r="1235">
      <c r="A1235" s="2" t="inlineStr">
        <is>
          <t>Veloria</t>
        </is>
      </c>
      <c r="B1235" s="2" t="inlineStr">
        <is>
          <t>Скатерти</t>
        </is>
      </c>
      <c r="C1235" s="2">
        <v>727195899</v>
      </c>
      <c r="D1235" s="2" t="inlineStr">
        <is>
          <t>401293</t>
        </is>
      </c>
      <c r="E1235" s="2" t="inlineStr">
        <is>
          <t>2414433059012</t>
        </is>
      </c>
      <c r="F1235" s="2">
        <v>4</v>
      </c>
      <c r="G1235" s="2">
        <v>1</v>
      </c>
      <c r="H1235" s="2">
        <v>999</v>
      </c>
      <c r="I1235" s="2" t="inlineStr">
        <is>
          <t>6538</t>
        </is>
      </c>
      <c r="J1235" s="4"/>
      <c r="K1235" s="2">
        <v>80</v>
      </c>
      <c r="L1235" s="6"/>
      <c r="M1235" s="2" t="str">
        <f>IF(J1235="",ROUND(I1235*(1-IF(ISBLANK(L1235),K1235,L1235)/100),2),ROUND(J1235*(1-IF(ISBLANK(L1235),K1235,L1235)/100),2))</f>
      </c>
      <c r="N1235" s="7" t="str">
        <f>IF(NOT(AND(J1235="",L1235="")),IF(OR(AND(L1235&lt;&gt;"",NOT(ISNUMBER(L1235))),IFERROR(MOD(L1235,1),1)&gt;0,AND(ISNUMBER(L1235),OR(L1235&lt;0,L1235&gt;95))),"Введите целое число от 0 до 95",IF(OR(AND(J1235&lt;&gt;"",NOT(ISNUMBER(J1235))),IFERROR(MOD(J1235,1),1)&gt;0,AND(ISNUMBER(J1235),OR(J1235&lt;50,J1235&gt;20000000))),"Введите целое число от 50 до 20000000",IF(NOT(ABS(IFERROR(VALUE(LEFT(M1235,FIND("-",M1235)-1)),M1235)*100-(2500+2000000000)/2)&lt;=ABS(2500-2000000000)/2),"Цена со скидкой должна быть от 25 до 20000000",IF(AND(IFERROR(VALUE(LEFT(M1235,FIND("-",M1235)-1)),M1235)*150&lt;=130759,IFERROR(VALUE(LEFT(M1235,FIND("-",M1235)-1)),M1235)*200&gt;130759),"Вы уменьшили цену в несколько раз, товар попадет в карантин цен",IF(IFERROR(VALUE(LEFT(M1235,FIND("-",M1235)-1)),M1235)*200&lt;=130759,"Не сохранили изменения, чтобы защитить от ошибки — новые цены меньше текущих более чем в 2 раза. Снижайте их постепенно",IF(AND(IFERROR(VALUE(I1235),0)=0,ISNUMBER(J1235),OR(J1235&lt;385,ABS(IFERROR(VALUE(LEFT(M1235,FIND("-",M1235)-1)),M1235))*100&lt;38500)),"Проверьте цену товара. Большинство товаров в выбранной категории стоят дороже 385","")))))),"")</f>
      </c>
    </row>
    <row r="1236">
      <c r="A1236" s="2" t="inlineStr">
        <is>
          <t/>
        </is>
      </c>
      <c r="B1236" s="2" t="inlineStr">
        <is>
          <t>Тарелки</t>
        </is>
      </c>
      <c r="C1236" s="2">
        <v>729438953</v>
      </c>
      <c r="D1236" s="2" t="inlineStr">
        <is>
          <t>121995</t>
        </is>
      </c>
      <c r="E1236" s="2" t="inlineStr">
        <is>
          <t>2048082126520</t>
        </is>
      </c>
      <c r="F1236" s="2">
        <v>7</v>
      </c>
      <c r="G1236" s="2">
        <v>0</v>
      </c>
      <c r="H1236" s="2">
        <v>207</v>
      </c>
      <c r="I1236" s="2" t="inlineStr">
        <is>
          <t>3940</t>
        </is>
      </c>
      <c r="J1236" s="4"/>
      <c r="K1236" s="2">
        <v>79</v>
      </c>
      <c r="L1236" s="6"/>
      <c r="M1236" s="2" t="str">
        <f>IF(J1236="",ROUND(I1236*(1-IF(ISBLANK(L1236),K1236,L1236)/100),2),ROUND(J1236*(1-IF(ISBLANK(L1236),K1236,L1236)/100),2))</f>
      </c>
      <c r="N1236" s="7" t="str">
        <f>IF(NOT(AND(J1236="",L1236="")),IF(OR(AND(L1236&lt;&gt;"",NOT(ISNUMBER(L1236))),IFERROR(MOD(L1236,1),1)&gt;0,AND(ISNUMBER(L1236),OR(L1236&lt;0,L1236&gt;95))),"Введите целое число от 0 до 95",IF(OR(AND(J1236&lt;&gt;"",NOT(ISNUMBER(J1236))),IFERROR(MOD(J1236,1),1)&gt;0,AND(ISNUMBER(J1236),OR(J1236&lt;50,J1236&gt;20000000))),"Введите целое число от 50 до 20000000",IF(NOT(ABS(IFERROR(VALUE(LEFT(M1236,FIND("-",M1236)-1)),M1236)*100-(2500+2000000000)/2)&lt;=ABS(2500-2000000000)/2),"Цена со скидкой должна быть от 25 до 20000000",IF(AND(IFERROR(VALUE(LEFT(M1236,FIND("-",M1236)-1)),M1236)*150&lt;=82739,IFERROR(VALUE(LEFT(M1236,FIND("-",M1236)-1)),M1236)*200&gt;82739),"Вы уменьшили цену в несколько раз, товар попадет в карантин цен",IF(IFERROR(VALUE(LEFT(M1236,FIND("-",M1236)-1)),M1236)*200&lt;=82739,"Не сохранили изменения, чтобы защитить от ошибки — новые цены меньше текущих более чем в 2 раза. Снижайте их постепенно",IF(AND(IFERROR(VALUE(I1236),0)=0,ISNUMBER(J1236),OR(J1236&lt;413,ABS(IFERROR(VALUE(LEFT(M1236,FIND("-",M1236)-1)),M1236))*100&lt;41300)),"Проверьте цену товара. Большинство товаров в выбранной категории стоят дороже 413","")))))),"")</f>
      </c>
    </row>
    <row r="1237">
      <c r="A1237" s="2" t="inlineStr">
        <is>
          <t/>
        </is>
      </c>
      <c r="B1237" s="2" t="inlineStr">
        <is>
          <t>Весы</t>
        </is>
      </c>
      <c r="C1237" s="2">
        <v>725132313</v>
      </c>
      <c r="D1237" s="2" t="inlineStr">
        <is>
          <t>191193</t>
        </is>
      </c>
      <c r="E1237" s="2" t="inlineStr">
        <is>
          <t>2048045406591</t>
        </is>
      </c>
      <c r="F1237" s="2">
        <v>1</v>
      </c>
      <c r="G1237" s="2">
        <v>4</v>
      </c>
      <c r="H1237" s="2">
        <v>999</v>
      </c>
      <c r="I1237" s="2" t="inlineStr">
        <is>
          <t>9542</t>
        </is>
      </c>
      <c r="J1237" s="4"/>
      <c r="K1237" s="2">
        <v>81</v>
      </c>
      <c r="L1237" s="6"/>
      <c r="M1237" s="2" t="str">
        <f>IF(J1237="",ROUND(I1237*(1-IF(ISBLANK(L1237),K1237,L1237)/100),2),ROUND(J1237*(1-IF(ISBLANK(L1237),K1237,L1237)/100),2))</f>
      </c>
      <c r="N1237" s="7" t="str">
        <f>IF(NOT(AND(J1237="",L1237="")),IF(OR(AND(L1237&lt;&gt;"",NOT(ISNUMBER(L1237))),IFERROR(MOD(L1237,1),1)&gt;0,AND(ISNUMBER(L1237),OR(L1237&lt;0,L1237&gt;95))),"Введите целое число от 0 до 95",IF(OR(AND(J1237&lt;&gt;"",NOT(ISNUMBER(J1237))),IFERROR(MOD(J1237,1),1)&gt;0,AND(ISNUMBER(J1237),OR(J1237&lt;50,J1237&gt;20000000))),"Введите целое число от 50 до 20000000",IF(NOT(ABS(IFERROR(VALUE(LEFT(M1237,FIND("-",M1237)-1)),M1237)*100-(2500+2000000000)/2)&lt;=ABS(2500-2000000000)/2),"Цена со скидкой должна быть от 25 до 20000000",IF(AND(IFERROR(VALUE(LEFT(M1237,FIND("-",M1237)-1)),M1237)*150&lt;=181297,IFERROR(VALUE(LEFT(M1237,FIND("-",M1237)-1)),M1237)*200&gt;181297),"Вы уменьшили цену в несколько раз, товар попадет в карантин цен",IF(IFERROR(VALUE(LEFT(M1237,FIND("-",M1237)-1)),M1237)*200&lt;=181297,"Не сохранили изменения, чтобы защитить от ошибки — новые цены меньше текущих более чем в 2 раза. Снижайте их постепенно",IF(AND(IFERROR(VALUE(I1237),0)=0,ISNUMBER(J1237),OR(J1237&lt;354,ABS(IFERROR(VALUE(LEFT(M1237,FIND("-",M1237)-1)),M1237))*100&lt;35400)),"Проверьте цену товара. Большинство товаров в выбранной категории стоят дороже 354","")))))),"")</f>
      </c>
    </row>
    <row r="1238">
      <c r="A1238" s="2" t="inlineStr">
        <is>
          <t>Veloria</t>
        </is>
      </c>
      <c r="B1238" s="2" t="inlineStr">
        <is>
          <t>Скатерти</t>
        </is>
      </c>
      <c r="C1238" s="2">
        <v>727195897</v>
      </c>
      <c r="D1238" s="2" t="inlineStr">
        <is>
          <t>420319</t>
        </is>
      </c>
      <c r="E1238" s="2" t="inlineStr">
        <is>
          <t>2414433058930</t>
        </is>
      </c>
      <c r="F1238" s="2">
        <v>3</v>
      </c>
      <c r="G1238" s="2">
        <v>0</v>
      </c>
      <c r="H1238" s="2">
        <v>999</v>
      </c>
      <c r="I1238" s="2" t="inlineStr">
        <is>
          <t>6867</t>
        </is>
      </c>
      <c r="J1238" s="4"/>
      <c r="K1238" s="2">
        <v>80</v>
      </c>
      <c r="L1238" s="6"/>
      <c r="M1238" s="2" t="str">
        <f>IF(J1238="",ROUND(I1238*(1-IF(ISBLANK(L1238),K1238,L1238)/100),2),ROUND(J1238*(1-IF(ISBLANK(L1238),K1238,L1238)/100),2))</f>
      </c>
      <c r="N1238" s="7" t="str">
        <f>IF(NOT(AND(J1238="",L1238="")),IF(OR(AND(L1238&lt;&gt;"",NOT(ISNUMBER(L1238))),IFERROR(MOD(L1238,1),1)&gt;0,AND(ISNUMBER(L1238),OR(L1238&lt;0,L1238&gt;95))),"Введите целое число от 0 до 95",IF(OR(AND(J1238&lt;&gt;"",NOT(ISNUMBER(J1238))),IFERROR(MOD(J1238,1),1)&gt;0,AND(ISNUMBER(J1238),OR(J1238&lt;50,J1238&gt;20000000))),"Введите целое число от 50 до 20000000",IF(NOT(ABS(IFERROR(VALUE(LEFT(M1238,FIND("-",M1238)-1)),M1238)*100-(2500+2000000000)/2)&lt;=ABS(2500-2000000000)/2),"Цена со скидкой должна быть от 25 до 20000000",IF(AND(IFERROR(VALUE(LEFT(M1238,FIND("-",M1238)-1)),M1238)*150&lt;=137339,IFERROR(VALUE(LEFT(M1238,FIND("-",M1238)-1)),M1238)*200&gt;137339),"Вы уменьшили цену в несколько раз, товар попадет в карантин цен",IF(IFERROR(VALUE(LEFT(M1238,FIND("-",M1238)-1)),M1238)*200&lt;=137339,"Не сохранили изменения, чтобы защитить от ошибки — новые цены меньше текущих более чем в 2 раза. Снижайте их постепенно",IF(AND(IFERROR(VALUE(I1238),0)=0,ISNUMBER(J1238),OR(J1238&lt;385,ABS(IFERROR(VALUE(LEFT(M1238,FIND("-",M1238)-1)),M1238))*100&lt;38500)),"Проверьте цену товара. Большинство товаров в выбранной категории стоят дороже 385","")))))),"")</f>
      </c>
    </row>
    <row r="1239">
      <c r="A1239" s="2" t="inlineStr">
        <is>
          <t/>
        </is>
      </c>
      <c r="B1239" s="2" t="inlineStr">
        <is>
          <t>Блендеры</t>
        </is>
      </c>
      <c r="C1239" s="2">
        <v>725226634</v>
      </c>
      <c r="D1239" s="2" t="inlineStr">
        <is>
          <t>191613</t>
        </is>
      </c>
      <c r="E1239" s="2" t="inlineStr">
        <is>
          <t>2048046287366</t>
        </is>
      </c>
      <c r="F1239" s="2">
        <v>4</v>
      </c>
      <c r="G1239" s="2">
        <v>2</v>
      </c>
      <c r="H1239" s="2">
        <v>999</v>
      </c>
      <c r="I1239" s="2" t="inlineStr">
        <is>
          <t>11453</t>
        </is>
      </c>
      <c r="J1239" s="4"/>
      <c r="K1239" s="2">
        <v>82</v>
      </c>
      <c r="L1239" s="6"/>
      <c r="M1239" s="2" t="str">
        <f>IF(J1239="",ROUND(I1239*(1-IF(ISBLANK(L1239),K1239,L1239)/100),2),ROUND(J1239*(1-IF(ISBLANK(L1239),K1239,L1239)/100),2))</f>
      </c>
      <c r="N1239" s="7" t="str">
        <f>IF(NOT(AND(J1239="",L1239="")),IF(OR(AND(L1239&lt;&gt;"",NOT(ISNUMBER(L1239))),IFERROR(MOD(L1239,1),1)&gt;0,AND(ISNUMBER(L1239),OR(L1239&lt;0,L1239&gt;95))),"Введите целое число от 0 до 95",IF(OR(AND(J1239&lt;&gt;"",NOT(ISNUMBER(J1239))),IFERROR(MOD(J1239,1),1)&gt;0,AND(ISNUMBER(J1239),OR(J1239&lt;50,J1239&gt;20000000))),"Введите целое число от 50 до 20000000",IF(NOT(ABS(IFERROR(VALUE(LEFT(M1239,FIND("-",M1239)-1)),M1239)*100-(2500+2000000000)/2)&lt;=ABS(2500-2000000000)/2),"Цена со скидкой должна быть от 25 до 20000000",IF(AND(IFERROR(VALUE(LEFT(M1239,FIND("-",M1239)-1)),M1239)*150&lt;=206154,IFERROR(VALUE(LEFT(M1239,FIND("-",M1239)-1)),M1239)*200&gt;206154),"Вы уменьшили цену в несколько раз, товар попадет в карантин цен",IF(IFERROR(VALUE(LEFT(M1239,FIND("-",M1239)-1)),M1239)*200&lt;=206154,"Не сохранили изменения, чтобы защитить от ошибки — новые цены меньше текущих более чем в 2 раза. Снижайте их постепенно",IF(AND(IFERROR(VALUE(I1239),0)=0,ISNUMBER(J1239),OR(J1239&lt;361,ABS(IFERROR(VALUE(LEFT(M1239,FIND("-",M1239)-1)),M1239))*100&lt;36100)),"Проверьте цену товара. Большинство товаров в выбранной категории стоят дороже 361","")))))),"")</f>
      </c>
    </row>
    <row r="1240">
      <c r="A1240" s="2" t="inlineStr">
        <is>
          <t/>
        </is>
      </c>
      <c r="B1240" s="2" t="inlineStr">
        <is>
          <t>Подставки кухонные</t>
        </is>
      </c>
      <c r="C1240" s="2">
        <v>727240995</v>
      </c>
      <c r="D1240" s="2" t="inlineStr">
        <is>
          <t>440407</t>
        </is>
      </c>
      <c r="E1240" s="2" t="inlineStr">
        <is>
          <t>2048061219595</t>
        </is>
      </c>
      <c r="F1240" s="2">
        <v>0</v>
      </c>
      <c r="G1240" s="2">
        <v>0</v>
      </c>
      <c r="H1240" s="2">
        <v>1</v>
      </c>
      <c r="I1240" s="2" t="inlineStr">
        <is>
          <t>5200</t>
        </is>
      </c>
      <c r="J1240" s="4"/>
      <c r="K1240" s="2">
        <v>65</v>
      </c>
      <c r="L1240" s="6"/>
      <c r="M1240" s="2" t="str">
        <f>IF(J1240="",ROUND(I1240*(1-IF(ISBLANK(L1240),K1240,L1240)/100),2),ROUND(J1240*(1-IF(ISBLANK(L1240),K1240,L1240)/100),2))</f>
      </c>
      <c r="N1240" s="7" t="str">
        <f>IF(NOT(AND(J1240="",L1240="")),IF(OR(AND(L1240&lt;&gt;"",NOT(ISNUMBER(L1240))),IFERROR(MOD(L1240,1),1)&gt;0,AND(ISNUMBER(L1240),OR(L1240&lt;0,L1240&gt;95))),"Введите целое число от 0 до 95",IF(OR(AND(J1240&lt;&gt;"",NOT(ISNUMBER(J1240))),IFERROR(MOD(J1240,1),1)&gt;0,AND(ISNUMBER(J1240),OR(J1240&lt;50,J1240&gt;20000000))),"Введите целое число от 50 до 20000000",IF(NOT(ABS(IFERROR(VALUE(LEFT(M1240,FIND("-",M1240)-1)),M1240)*100-(2500+2000000000)/2)&lt;=ABS(2500-2000000000)/2),"Цена со скидкой должна быть от 25 до 20000000",IF(AND(IFERROR(VALUE(LEFT(M1240,FIND("-",M1240)-1)),M1240)*150&lt;=181999,IFERROR(VALUE(LEFT(M1240,FIND("-",M1240)-1)),M1240)*200&gt;181999),"Вы уменьшили цену в несколько раз, товар попадет в карантин цен",IF(IFERROR(VALUE(LEFT(M1240,FIND("-",M1240)-1)),M1240)*200&lt;=181999,"Не сохранили изменения, чтобы защитить от ошибки — новые цены меньше текущих более чем в 2 раза. Снижайте их постепенно",IF(AND(IFERROR(VALUE(I1240),0)=0,ISNUMBER(J1240),OR(J1240&lt;411,ABS(IFERROR(VALUE(LEFT(M1240,FIND("-",M1240)-1)),M1240))*100&lt;41100)),"Проверьте цену товара. Большинство товаров в выбранной категории стоят дороже 411","")))))),"")</f>
      </c>
    </row>
    <row r="1241">
      <c r="A1241" s="2" t="inlineStr">
        <is>
          <t>Veloria</t>
        </is>
      </c>
      <c r="B1241" s="2" t="inlineStr">
        <is>
          <t>Скатерти</t>
        </is>
      </c>
      <c r="C1241" s="2">
        <v>727195883</v>
      </c>
      <c r="D1241" s="2" t="inlineStr">
        <is>
          <t>435446</t>
        </is>
      </c>
      <c r="E1241" s="2" t="inlineStr">
        <is>
          <t>2414433060148</t>
        </is>
      </c>
      <c r="F1241" s="2">
        <v>3</v>
      </c>
      <c r="G1241" s="2">
        <v>0</v>
      </c>
      <c r="H1241" s="2">
        <v>999</v>
      </c>
      <c r="I1241" s="2" t="inlineStr">
        <is>
          <t>4412</t>
        </is>
      </c>
      <c r="J1241" s="4"/>
      <c r="K1241" s="2">
        <v>80</v>
      </c>
      <c r="L1241" s="6"/>
      <c r="M1241" s="2" t="str">
        <f>IF(J1241="",ROUND(I1241*(1-IF(ISBLANK(L1241),K1241,L1241)/100),2),ROUND(J1241*(1-IF(ISBLANK(L1241),K1241,L1241)/100),2))</f>
      </c>
      <c r="N1241" s="7" t="str">
        <f>IF(NOT(AND(J1241="",L1241="")),IF(OR(AND(L1241&lt;&gt;"",NOT(ISNUMBER(L1241))),IFERROR(MOD(L1241,1),1)&gt;0,AND(ISNUMBER(L1241),OR(L1241&lt;0,L1241&gt;95))),"Введите целое число от 0 до 95",IF(OR(AND(J1241&lt;&gt;"",NOT(ISNUMBER(J1241))),IFERROR(MOD(J1241,1),1)&gt;0,AND(ISNUMBER(J1241),OR(J1241&lt;50,J1241&gt;20000000))),"Введите целое число от 50 до 20000000",IF(NOT(ABS(IFERROR(VALUE(LEFT(M1241,FIND("-",M1241)-1)),M1241)*100-(2500+2000000000)/2)&lt;=ABS(2500-2000000000)/2),"Цена со скидкой должна быть от 25 до 20000000",IF(AND(IFERROR(VALUE(LEFT(M1241,FIND("-",M1241)-1)),M1241)*150&lt;=88239,IFERROR(VALUE(LEFT(M1241,FIND("-",M1241)-1)),M1241)*200&gt;88239),"Вы уменьшили цену в несколько раз, товар попадет в карантин цен",IF(IFERROR(VALUE(LEFT(M1241,FIND("-",M1241)-1)),M1241)*200&lt;=88239,"Не сохранили изменения, чтобы защитить от ошибки — новые цены меньше текущих более чем в 2 раза. Снижайте их постепенно",IF(AND(IFERROR(VALUE(I1241),0)=0,ISNUMBER(J1241),OR(J1241&lt;385,ABS(IFERROR(VALUE(LEFT(M1241,FIND("-",M1241)-1)),M1241))*100&lt;38500)),"Проверьте цену товара. Большинство товаров в выбранной категории стоят дороже 385","")))))),"")</f>
      </c>
    </row>
    <row r="1242">
      <c r="A1242" s="2" t="inlineStr">
        <is>
          <t/>
        </is>
      </c>
      <c r="B1242" s="2" t="inlineStr">
        <is>
          <t>Блендеры</t>
        </is>
      </c>
      <c r="C1242" s="2">
        <v>725226636</v>
      </c>
      <c r="D1242" s="2" t="inlineStr">
        <is>
          <t>191519</t>
        </is>
      </c>
      <c r="E1242" s="2" t="inlineStr">
        <is>
          <t>2048046287410</t>
        </is>
      </c>
      <c r="F1242" s="2">
        <v>4</v>
      </c>
      <c r="G1242" s="2">
        <v>2</v>
      </c>
      <c r="H1242" s="2">
        <v>999</v>
      </c>
      <c r="I1242" s="2" t="inlineStr">
        <is>
          <t>11061</t>
        </is>
      </c>
      <c r="J1242" s="4"/>
      <c r="K1242" s="2">
        <v>82</v>
      </c>
      <c r="L1242" s="6"/>
      <c r="M1242" s="2" t="str">
        <f>IF(J1242="",ROUND(I1242*(1-IF(ISBLANK(L1242),K1242,L1242)/100),2),ROUND(J1242*(1-IF(ISBLANK(L1242),K1242,L1242)/100),2))</f>
      </c>
      <c r="N1242" s="7" t="str">
        <f>IF(NOT(AND(J1242="",L1242="")),IF(OR(AND(L1242&lt;&gt;"",NOT(ISNUMBER(L1242))),IFERROR(MOD(L1242,1),1)&gt;0,AND(ISNUMBER(L1242),OR(L1242&lt;0,L1242&gt;95))),"Введите целое число от 0 до 95",IF(OR(AND(J1242&lt;&gt;"",NOT(ISNUMBER(J1242))),IFERROR(MOD(J1242,1),1)&gt;0,AND(ISNUMBER(J1242),OR(J1242&lt;50,J1242&gt;20000000))),"Введите целое число от 50 до 20000000",IF(NOT(ABS(IFERROR(VALUE(LEFT(M1242,FIND("-",M1242)-1)),M1242)*100-(2500+2000000000)/2)&lt;=ABS(2500-2000000000)/2),"Цена со скидкой должна быть от 25 до 20000000",IF(AND(IFERROR(VALUE(LEFT(M1242,FIND("-",M1242)-1)),M1242)*150&lt;=199098,IFERROR(VALUE(LEFT(M1242,FIND("-",M1242)-1)),M1242)*200&gt;199098),"Вы уменьшили цену в несколько раз, товар попадет в карантин цен",IF(IFERROR(VALUE(LEFT(M1242,FIND("-",M1242)-1)),M1242)*200&lt;=199098,"Не сохранили изменения, чтобы защитить от ошибки — новые цены меньше текущих более чем в 2 раза. Снижайте их постепенно",IF(AND(IFERROR(VALUE(I1242),0)=0,ISNUMBER(J1242),OR(J1242&lt;361,ABS(IFERROR(VALUE(LEFT(M1242,FIND("-",M1242)-1)),M1242))*100&lt;36100)),"Проверьте цену товара. Большинство товаров в выбранной категории стоят дороже 361","")))))),"")</f>
      </c>
    </row>
    <row r="1243">
      <c r="A1243" s="2" t="inlineStr">
        <is>
          <t>Luxaro</t>
        </is>
      </c>
      <c r="B1243" s="2" t="inlineStr">
        <is>
          <t>Кастрюли</t>
        </is>
      </c>
      <c r="C1243" s="2">
        <v>545246842</v>
      </c>
      <c r="D1243" s="2" t="inlineStr">
        <is>
          <t>821314</t>
        </is>
      </c>
      <c r="E1243" s="2" t="inlineStr">
        <is>
          <t>2046308851461</t>
        </is>
      </c>
      <c r="F1243" s="2">
        <v>1</v>
      </c>
      <c r="G1243" s="2">
        <v>93</v>
      </c>
      <c r="H1243" s="2">
        <v>23</v>
      </c>
      <c r="I1243" s="2" t="inlineStr">
        <is>
          <t>19500</t>
        </is>
      </c>
      <c r="J1243" s="4"/>
      <c r="K1243" s="2">
        <v>75</v>
      </c>
      <c r="L1243" s="6"/>
      <c r="M1243" s="2" t="str">
        <f>IF(J1243="",ROUND(I1243*(1-IF(ISBLANK(L1243),K1243,L1243)/100),2),ROUND(J1243*(1-IF(ISBLANK(L1243),K1243,L1243)/100),2))</f>
      </c>
      <c r="N1243" s="7" t="str">
        <f>IF(NOT(AND(J1243="",L1243="")),IF(OR(AND(L1243&lt;&gt;"",NOT(ISNUMBER(L1243))),IFERROR(MOD(L1243,1),1)&gt;0,AND(ISNUMBER(L1243),OR(L1243&lt;0,L1243&gt;95))),"Введите целое число от 0 до 95",IF(OR(AND(J1243&lt;&gt;"",NOT(ISNUMBER(J1243))),IFERROR(MOD(J1243,1),1)&gt;0,AND(ISNUMBER(J1243),OR(J1243&lt;50,J1243&gt;20000000))),"Введите целое число от 50 до 20000000",IF(NOT(ABS(IFERROR(VALUE(LEFT(M1243,FIND("-",M1243)-1)),M1243)*100-(2500+2000000000)/2)&lt;=ABS(2500-2000000000)/2),"Цена со скидкой должна быть от 25 до 20000000",IF(AND(IFERROR(VALUE(LEFT(M1243,FIND("-",M1243)-1)),M1243)*150&lt;=487500,IFERROR(VALUE(LEFT(M1243,FIND("-",M1243)-1)),M1243)*200&gt;487500),"Вы уменьшили цену в несколько раз, товар попадет в карантин цен",IF(IFERROR(VALUE(LEFT(M1243,FIND("-",M1243)-1)),M1243)*200&lt;=487500,"Не сохранили изменения, чтобы защитить от ошибки — новые цены меньше текущих более чем в 2 раза. Снижайте их постепенно",IF(AND(IFERROR(VALUE(I1243),0)=0,ISNUMBER(J1243),OR(J1243&lt;523,ABS(IFERROR(VALUE(LEFT(M1243,FIND("-",M1243)-1)),M1243))*100&lt;52300)),"Проверьте цену товара. Большинство товаров в выбранной категории стоят дороже 523","")))))),"")</f>
      </c>
    </row>
    <row r="1244">
      <c r="A1244" s="2" t="inlineStr">
        <is>
          <t/>
        </is>
      </c>
      <c r="B1244" s="2" t="inlineStr">
        <is>
          <t>Весы</t>
        </is>
      </c>
      <c r="C1244" s="2">
        <v>725132314</v>
      </c>
      <c r="D1244" s="2" t="inlineStr">
        <is>
          <t>191830</t>
        </is>
      </c>
      <c r="E1244" s="2" t="inlineStr">
        <is>
          <t>2048045406621</t>
        </is>
      </c>
      <c r="F1244" s="2">
        <v>0</v>
      </c>
      <c r="G1244" s="2">
        <v>5</v>
      </c>
      <c r="H1244" s="2" t="inlineStr">
        <is>
          <t/>
        </is>
      </c>
      <c r="I1244" s="2" t="inlineStr">
        <is>
          <t>10059</t>
        </is>
      </c>
      <c r="J1244" s="4"/>
      <c r="K1244" s="2">
        <v>80</v>
      </c>
      <c r="L1244" s="6"/>
      <c r="M1244" s="2" t="str">
        <f>IF(J1244="",ROUND(I1244*(1-IF(ISBLANK(L1244),K1244,L1244)/100),2),ROUND(J1244*(1-IF(ISBLANK(L1244),K1244,L1244)/100),2))</f>
      </c>
      <c r="N1244" s="7" t="str">
        <f>IF(NOT(AND(J1244="",L1244="")),IF(OR(AND(L1244&lt;&gt;"",NOT(ISNUMBER(L1244))),IFERROR(MOD(L1244,1),1)&gt;0,AND(ISNUMBER(L1244),OR(L1244&lt;0,L1244&gt;95))),"Введите целое число от 0 до 95",IF(OR(AND(J1244&lt;&gt;"",NOT(ISNUMBER(J1244))),IFERROR(MOD(J1244,1),1)&gt;0,AND(ISNUMBER(J1244),OR(J1244&lt;50,J1244&gt;20000000))),"Введите целое число от 50 до 20000000",IF(NOT(ABS(IFERROR(VALUE(LEFT(M1244,FIND("-",M1244)-1)),M1244)*100-(2500+2000000000)/2)&lt;=ABS(2500-2000000000)/2),"Цена со скидкой должна быть от 25 до 20000000",IF(AND(IFERROR(VALUE(LEFT(M1244,FIND("-",M1244)-1)),M1244)*150&lt;=201179,IFERROR(VALUE(LEFT(M1244,FIND("-",M1244)-1)),M1244)*200&gt;201179),"Вы уменьшили цену в несколько раз, товар попадет в карантин цен",IF(IFERROR(VALUE(LEFT(M1244,FIND("-",M1244)-1)),M1244)*200&lt;=201179,"Не сохранили изменения, чтобы защитить от ошибки — новые цены меньше текущих более чем в 2 раза. Снижайте их постепенно",IF(AND(IFERROR(VALUE(I1244),0)=0,ISNUMBER(J1244),OR(J1244&lt;354,ABS(IFERROR(VALUE(LEFT(M1244,FIND("-",M1244)-1)),M1244))*100&lt;35400)),"Проверьте цену товара. Большинство товаров в выбранной категории стоят дороже 354","")))))),"")</f>
      </c>
    </row>
    <row r="1245">
      <c r="A1245" s="2" t="inlineStr">
        <is>
          <t/>
        </is>
      </c>
      <c r="B1245" s="2" t="inlineStr">
        <is>
          <t>Весы</t>
        </is>
      </c>
      <c r="C1245" s="2">
        <v>725132316</v>
      </c>
      <c r="D1245" s="2" t="inlineStr">
        <is>
          <t>192453</t>
        </is>
      </c>
      <c r="E1245" s="2" t="inlineStr">
        <is>
          <t>2048045406676</t>
        </is>
      </c>
      <c r="F1245" s="2">
        <v>9</v>
      </c>
      <c r="G1245" s="2">
        <v>11</v>
      </c>
      <c r="H1245" s="2">
        <v>999</v>
      </c>
      <c r="I1245" s="2" t="inlineStr">
        <is>
          <t>8653</t>
        </is>
      </c>
      <c r="J1245" s="4"/>
      <c r="K1245" s="2">
        <v>80</v>
      </c>
      <c r="L1245" s="6"/>
      <c r="M1245" s="2" t="str">
        <f>IF(J1245="",ROUND(I1245*(1-IF(ISBLANK(L1245),K1245,L1245)/100),2),ROUND(J1245*(1-IF(ISBLANK(L1245),K1245,L1245)/100),2))</f>
      </c>
      <c r="N1245" s="7" t="str">
        <f>IF(NOT(AND(J1245="",L1245="")),IF(OR(AND(L1245&lt;&gt;"",NOT(ISNUMBER(L1245))),IFERROR(MOD(L1245,1),1)&gt;0,AND(ISNUMBER(L1245),OR(L1245&lt;0,L1245&gt;95))),"Введите целое число от 0 до 95",IF(OR(AND(J1245&lt;&gt;"",NOT(ISNUMBER(J1245))),IFERROR(MOD(J1245,1),1)&gt;0,AND(ISNUMBER(J1245),OR(J1245&lt;50,J1245&gt;20000000))),"Введите целое число от 50 до 20000000",IF(NOT(ABS(IFERROR(VALUE(LEFT(M1245,FIND("-",M1245)-1)),M1245)*100-(2500+2000000000)/2)&lt;=ABS(2500-2000000000)/2),"Цена со скидкой должна быть от 25 до 20000000",IF(AND(IFERROR(VALUE(LEFT(M1245,FIND("-",M1245)-1)),M1245)*150&lt;=173059,IFERROR(VALUE(LEFT(M1245,FIND("-",M1245)-1)),M1245)*200&gt;173059),"Вы уменьшили цену в несколько раз, товар попадет в карантин цен",IF(IFERROR(VALUE(LEFT(M1245,FIND("-",M1245)-1)),M1245)*200&lt;=173059,"Не сохранили изменения, чтобы защитить от ошибки — новые цены меньше текущих более чем в 2 раза. Снижайте их постепенно",IF(AND(IFERROR(VALUE(I1245),0)=0,ISNUMBER(J1245),OR(J1245&lt;354,ABS(IFERROR(VALUE(LEFT(M1245,FIND("-",M1245)-1)),M1245))*100&lt;35400)),"Проверьте цену товара. Большинство товаров в выбранной категории стоят дороже 354","")))))),"")</f>
      </c>
    </row>
    <row r="1246">
      <c r="A1246" s="2" t="inlineStr">
        <is>
          <t/>
        </is>
      </c>
      <c r="B1246" s="2" t="inlineStr">
        <is>
          <t>Утюги</t>
        </is>
      </c>
      <c r="C1246" s="2">
        <v>725185635</v>
      </c>
      <c r="D1246" s="2" t="inlineStr">
        <is>
          <t>192103</t>
        </is>
      </c>
      <c r="E1246" s="2" t="inlineStr">
        <is>
          <t>2048045878091</t>
        </is>
      </c>
      <c r="F1246" s="2">
        <v>0</v>
      </c>
      <c r="G1246" s="2">
        <v>2</v>
      </c>
      <c r="H1246" s="2" t="inlineStr">
        <is>
          <t/>
        </is>
      </c>
      <c r="I1246" s="2" t="inlineStr">
        <is>
          <t>16043</t>
        </is>
      </c>
      <c r="J1246" s="4"/>
      <c r="K1246" s="2">
        <v>80</v>
      </c>
      <c r="L1246" s="6"/>
      <c r="M1246" s="2" t="str">
        <f>IF(J1246="",ROUND(I1246*(1-IF(ISBLANK(L1246),K1246,L1246)/100),2),ROUND(J1246*(1-IF(ISBLANK(L1246),K1246,L1246)/100),2))</f>
      </c>
      <c r="N1246" s="7" t="str">
        <f>IF(NOT(AND(J1246="",L1246="")),IF(OR(AND(L1246&lt;&gt;"",NOT(ISNUMBER(L1246))),IFERROR(MOD(L1246,1),1)&gt;0,AND(ISNUMBER(L1246),OR(L1246&lt;0,L1246&gt;95))),"Введите целое число от 0 до 95",IF(OR(AND(J1246&lt;&gt;"",NOT(ISNUMBER(J1246))),IFERROR(MOD(J1246,1),1)&gt;0,AND(ISNUMBER(J1246),OR(J1246&lt;50,J1246&gt;20000000))),"Введите целое число от 50 до 20000000",IF(NOT(ABS(IFERROR(VALUE(LEFT(M1246,FIND("-",M1246)-1)),M1246)*100-(2500+2000000000)/2)&lt;=ABS(2500-2000000000)/2),"Цена со скидкой должна быть от 25 до 20000000",IF(AND(IFERROR(VALUE(LEFT(M1246,FIND("-",M1246)-1)),M1246)*150&lt;=320859,IFERROR(VALUE(LEFT(M1246,FIND("-",M1246)-1)),M1246)*200&gt;320859),"Вы уменьшили цену в несколько раз, товар попадет в карантин цен",IF(IFERROR(VALUE(LEFT(M1246,FIND("-",M1246)-1)),M1246)*200&lt;=320859,"Не сохранили изменения, чтобы защитить от ошибки — новые цены меньше текущих более чем в 2 раза. Снижайте их постепенно",IF(AND(IFERROR(VALUE(I1246),0)=0,ISNUMBER(J1246),OR(J1246&lt;403,ABS(IFERROR(VALUE(LEFT(M1246,FIND("-",M1246)-1)),M1246))*100&lt;40300)),"Проверьте цену товара. Большинство товаров в выбранной категории стоят дороже 403","")))))),"")</f>
      </c>
    </row>
    <row r="1247">
      <c r="A1247" s="2" t="inlineStr">
        <is>
          <t/>
        </is>
      </c>
      <c r="B1247" s="2" t="inlineStr">
        <is>
          <t>Чайники электрические</t>
        </is>
      </c>
      <c r="C1247" s="2">
        <v>603736262</v>
      </c>
      <c r="D1247" s="2" t="inlineStr">
        <is>
          <t>192447</t>
        </is>
      </c>
      <c r="E1247" s="2" t="inlineStr">
        <is>
          <t>2047147983559</t>
        </is>
      </c>
      <c r="F1247" s="2">
        <v>0</v>
      </c>
      <c r="G1247" s="2">
        <v>23</v>
      </c>
      <c r="H1247" s="2" t="inlineStr">
        <is>
          <t/>
        </is>
      </c>
      <c r="I1247" s="2" t="inlineStr">
        <is>
          <t>11743</t>
        </is>
      </c>
      <c r="J1247" s="4"/>
      <c r="K1247" s="2">
        <v>76</v>
      </c>
      <c r="L1247" s="6"/>
      <c r="M1247" s="2" t="str">
        <f>IF(J1247="",ROUND(I1247*(1-IF(ISBLANK(L1247),K1247,L1247)/100),2),ROUND(J1247*(1-IF(ISBLANK(L1247),K1247,L1247)/100),2))</f>
      </c>
      <c r="N1247" s="7" t="str">
        <f>IF(NOT(AND(J1247="",L1247="")),IF(OR(AND(L1247&lt;&gt;"",NOT(ISNUMBER(L1247))),IFERROR(MOD(L1247,1),1)&gt;0,AND(ISNUMBER(L1247),OR(L1247&lt;0,L1247&gt;95))),"Введите целое число от 0 до 95",IF(OR(AND(J1247&lt;&gt;"",NOT(ISNUMBER(J1247))),IFERROR(MOD(J1247,1),1)&gt;0,AND(ISNUMBER(J1247),OR(J1247&lt;50,J1247&gt;20000000))),"Введите целое число от 50 до 20000000",IF(NOT(ABS(IFERROR(VALUE(LEFT(M1247,FIND("-",M1247)-1)),M1247)*100-(2500+2000000000)/2)&lt;=ABS(2500-2000000000)/2),"Цена со скидкой должна быть от 25 до 20000000",IF(AND(IFERROR(VALUE(LEFT(M1247,FIND("-",M1247)-1)),M1247)*150&lt;=281832,IFERROR(VALUE(LEFT(M1247,FIND("-",M1247)-1)),M1247)*200&gt;281832),"Вы уменьшили цену в несколько раз, товар попадет в карантин цен",IF(IFERROR(VALUE(LEFT(M1247,FIND("-",M1247)-1)),M1247)*200&lt;=281832,"Не сохранили изменения, чтобы защитить от ошибки — новые цены меньше текущих более чем в 2 раза. Снижайте их постепенно",IF(AND(IFERROR(VALUE(I1247),0)=0,ISNUMBER(J1247),OR(J1247&lt;496,ABS(IFERROR(VALUE(LEFT(M1247,FIND("-",M1247)-1)),M1247))*100&lt;49600)),"Проверьте цену товара. Большинство товаров в выбранной категории стоят дороже 496","")))))),"")</f>
      </c>
    </row>
    <row r="1248">
      <c r="A1248" s="2" t="inlineStr">
        <is>
          <t/>
        </is>
      </c>
      <c r="B1248" s="2" t="inlineStr">
        <is>
          <t>Кастрюли</t>
        </is>
      </c>
      <c r="C1248" s="2">
        <v>729145117</v>
      </c>
      <c r="D1248" s="2" t="inlineStr">
        <is>
          <t>821502</t>
        </is>
      </c>
      <c r="E1248" s="2" t="inlineStr">
        <is>
          <t>2048079111225</t>
        </is>
      </c>
      <c r="F1248" s="2">
        <v>1</v>
      </c>
      <c r="G1248" s="2">
        <v>0</v>
      </c>
      <c r="H1248" s="2">
        <v>999</v>
      </c>
      <c r="I1248" s="2" t="inlineStr">
        <is>
          <t>32380</t>
        </is>
      </c>
      <c r="J1248" s="4"/>
      <c r="K1248" s="2">
        <v>83</v>
      </c>
      <c r="L1248" s="6"/>
      <c r="M1248" s="2" t="str">
        <f>IF(J1248="",ROUND(I1248*(1-IF(ISBLANK(L1248),K1248,L1248)/100),2),ROUND(J1248*(1-IF(ISBLANK(L1248),K1248,L1248)/100),2))</f>
      </c>
      <c r="N1248" s="7" t="str">
        <f>IF(NOT(AND(J1248="",L1248="")),IF(OR(AND(L1248&lt;&gt;"",NOT(ISNUMBER(L1248))),IFERROR(MOD(L1248,1),1)&gt;0,AND(ISNUMBER(L1248),OR(L1248&lt;0,L1248&gt;95))),"Введите целое число от 0 до 95",IF(OR(AND(J1248&lt;&gt;"",NOT(ISNUMBER(J1248))),IFERROR(MOD(J1248,1),1)&gt;0,AND(ISNUMBER(J1248),OR(J1248&lt;50,J1248&gt;20000000))),"Введите целое число от 50 до 20000000",IF(NOT(ABS(IFERROR(VALUE(LEFT(M1248,FIND("-",M1248)-1)),M1248)*100-(2500+2000000000)/2)&lt;=ABS(2500-2000000000)/2),"Цена со скидкой должна быть от 25 до 20000000",IF(AND(IFERROR(VALUE(LEFT(M1248,FIND("-",M1248)-1)),M1248)*150&lt;=550460,IFERROR(VALUE(LEFT(M1248,FIND("-",M1248)-1)),M1248)*200&gt;550460),"Вы уменьшили цену в несколько раз, товар попадет в карантин цен",IF(IFERROR(VALUE(LEFT(M1248,FIND("-",M1248)-1)),M1248)*200&lt;=550460,"Не сохранили изменения, чтобы защитить от ошибки — новые цены меньше текущих более чем в 2 раза. Снижайте их постепенно",IF(AND(IFERROR(VALUE(I1248),0)=0,ISNUMBER(J1248),OR(J1248&lt;523,ABS(IFERROR(VALUE(LEFT(M1248,FIND("-",M1248)-1)),M1248))*100&lt;52300)),"Проверьте цену товара. Большинство товаров в выбранной категории стоят дороже 523","")))))),"")</f>
      </c>
    </row>
    <row r="1249">
      <c r="A1249" s="2" t="inlineStr">
        <is>
          <t/>
        </is>
      </c>
      <c r="B1249" s="2" t="inlineStr">
        <is>
          <t>Кастрюли</t>
        </is>
      </c>
      <c r="C1249" s="2">
        <v>729144207</v>
      </c>
      <c r="D1249" s="2" t="inlineStr">
        <is>
          <t>283532</t>
        </is>
      </c>
      <c r="E1249" s="2" t="inlineStr">
        <is>
          <t>2048079094849</t>
        </is>
      </c>
      <c r="F1249" s="2">
        <v>0</v>
      </c>
      <c r="G1249" s="2">
        <v>0</v>
      </c>
      <c r="H1249" s="2" t="inlineStr">
        <is>
          <t/>
        </is>
      </c>
      <c r="I1249" s="2" t="inlineStr">
        <is>
          <t>89213</t>
        </is>
      </c>
      <c r="J1249" s="4"/>
      <c r="K1249" s="2">
        <v>65</v>
      </c>
      <c r="L1249" s="6"/>
      <c r="M1249" s="2" t="str">
        <f>IF(J1249="",ROUND(I1249*(1-IF(ISBLANK(L1249),K1249,L1249)/100),2),ROUND(J1249*(1-IF(ISBLANK(L1249),K1249,L1249)/100),2))</f>
      </c>
      <c r="N1249" s="7" t="str">
        <f>IF(NOT(AND(J1249="",L1249="")),IF(OR(AND(L1249&lt;&gt;"",NOT(ISNUMBER(L1249))),IFERROR(MOD(L1249,1),1)&gt;0,AND(ISNUMBER(L1249),OR(L1249&lt;0,L1249&gt;95))),"Введите целое число от 0 до 95",IF(OR(AND(J1249&lt;&gt;"",NOT(ISNUMBER(J1249))),IFERROR(MOD(J1249,1),1)&gt;0,AND(ISNUMBER(J1249),OR(J1249&lt;50,J1249&gt;20000000))),"Введите целое число от 50 до 20000000",IF(NOT(ABS(IFERROR(VALUE(LEFT(M1249,FIND("-",M1249)-1)),M1249)*100-(2500+2000000000)/2)&lt;=ABS(2500-2000000000)/2),"Цена со скидкой должна быть от 25 до 20000000",IF(AND(IFERROR(VALUE(LEFT(M1249,FIND("-",M1249)-1)),M1249)*150&lt;=3122455,IFERROR(VALUE(LEFT(M1249,FIND("-",M1249)-1)),M1249)*200&gt;3122455),"Вы уменьшили цену в несколько раз, товар попадет в карантин цен",IF(IFERROR(VALUE(LEFT(M1249,FIND("-",M1249)-1)),M1249)*200&lt;=3122455,"Не сохранили изменения, чтобы защитить от ошибки — новые цены меньше текущих более чем в 2 раза. Снижайте их постепенно",IF(AND(IFERROR(VALUE(I1249),0)=0,ISNUMBER(J1249),OR(J1249&lt;523,ABS(IFERROR(VALUE(LEFT(M1249,FIND("-",M1249)-1)),M1249))*100&lt;52300)),"Проверьте цену товара. Большинство товаров в выбранной категории стоят дороже 523","")))))),"")</f>
      </c>
    </row>
    <row r="1250">
      <c r="A1250" s="2" t="inlineStr">
        <is>
          <t/>
        </is>
      </c>
      <c r="B1250" s="2" t="inlineStr">
        <is>
          <t>Кастрюли</t>
        </is>
      </c>
      <c r="C1250" s="2">
        <v>729144181</v>
      </c>
      <c r="D1250" s="2" t="inlineStr">
        <is>
          <t>24616</t>
        </is>
      </c>
      <c r="E1250" s="2" t="inlineStr">
        <is>
          <t>2048079094405</t>
        </is>
      </c>
      <c r="F1250" s="2">
        <v>1</v>
      </c>
      <c r="G1250" s="2">
        <v>2</v>
      </c>
      <c r="H1250" s="2">
        <v>999</v>
      </c>
      <c r="I1250" s="2" t="inlineStr">
        <is>
          <t>56216</t>
        </is>
      </c>
      <c r="J1250" s="4"/>
      <c r="K1250" s="2">
        <v>85</v>
      </c>
      <c r="L1250" s="6"/>
      <c r="M1250" s="2" t="str">
        <f>IF(J1250="",ROUND(I1250*(1-IF(ISBLANK(L1250),K1250,L1250)/100),2),ROUND(J1250*(1-IF(ISBLANK(L1250),K1250,L1250)/100),2))</f>
      </c>
      <c r="N1250" s="7" t="str">
        <f>IF(NOT(AND(J1250="",L1250="")),IF(OR(AND(L1250&lt;&gt;"",NOT(ISNUMBER(L1250))),IFERROR(MOD(L1250,1),1)&gt;0,AND(ISNUMBER(L1250),OR(L1250&lt;0,L1250&gt;95))),"Введите целое число от 0 до 95",IF(OR(AND(J1250&lt;&gt;"",NOT(ISNUMBER(J1250))),IFERROR(MOD(J1250,1),1)&gt;0,AND(ISNUMBER(J1250),OR(J1250&lt;50,J1250&gt;20000000))),"Введите целое число от 50 до 20000000",IF(NOT(ABS(IFERROR(VALUE(LEFT(M1250,FIND("-",M1250)-1)),M1250)*100-(2500+2000000000)/2)&lt;=ABS(2500-2000000000)/2),"Цена со скидкой должна быть от 25 до 20000000",IF(AND(IFERROR(VALUE(LEFT(M1250,FIND("-",M1250)-1)),M1250)*150&lt;=843240,IFERROR(VALUE(LEFT(M1250,FIND("-",M1250)-1)),M1250)*200&gt;843240),"Вы уменьшили цену в несколько раз, товар попадет в карантин цен",IF(IFERROR(VALUE(LEFT(M1250,FIND("-",M1250)-1)),M1250)*200&lt;=843240,"Не сохранили изменения, чтобы защитить от ошибки — новые цены меньше текущих более чем в 2 раза. Снижайте их постепенно",IF(AND(IFERROR(VALUE(I1250),0)=0,ISNUMBER(J1250),OR(J1250&lt;523,ABS(IFERROR(VALUE(LEFT(M1250,FIND("-",M1250)-1)),M1250))*100&lt;52300)),"Проверьте цену товара. Большинство товаров в выбранной категории стоят дороже 523","")))))),"")</f>
      </c>
    </row>
    <row r="1251">
      <c r="A1251" s="2" t="inlineStr">
        <is>
          <t/>
        </is>
      </c>
      <c r="B1251" s="2" t="inlineStr">
        <is>
          <t>Швабры</t>
        </is>
      </c>
      <c r="C1251" s="2">
        <v>766661013</v>
      </c>
      <c r="D1251" s="2" t="inlineStr">
        <is>
          <t>514196</t>
        </is>
      </c>
      <c r="E1251" s="2" t="inlineStr">
        <is>
          <t>2048435646057</t>
        </is>
      </c>
      <c r="F1251" s="2">
        <v>2</v>
      </c>
      <c r="G1251" s="2">
        <v>8</v>
      </c>
      <c r="H1251" s="2">
        <v>999</v>
      </c>
      <c r="I1251" s="2" t="inlineStr">
        <is>
          <t>17574</t>
        </is>
      </c>
      <c r="J1251" s="4"/>
      <c r="K1251" s="2">
        <v>81</v>
      </c>
      <c r="L1251" s="6"/>
      <c r="M1251" s="2" t="str">
        <f>IF(J1251="",ROUND(I1251*(1-IF(ISBLANK(L1251),K1251,L1251)/100),2),ROUND(J1251*(1-IF(ISBLANK(L1251),K1251,L1251)/100),2))</f>
      </c>
      <c r="N1251" s="7" t="str">
        <f>IF(NOT(AND(J1251="",L1251="")),IF(OR(AND(L1251&lt;&gt;"",NOT(ISNUMBER(L1251))),IFERROR(MOD(L1251,1),1)&gt;0,AND(ISNUMBER(L1251),OR(L1251&lt;0,L1251&gt;95))),"Введите целое число от 0 до 95",IF(OR(AND(J1251&lt;&gt;"",NOT(ISNUMBER(J1251))),IFERROR(MOD(J1251,1),1)&gt;0,AND(ISNUMBER(J1251),OR(J1251&lt;50,J1251&gt;20000000))),"Введите целое число от 50 до 20000000",IF(NOT(ABS(IFERROR(VALUE(LEFT(M1251,FIND("-",M1251)-1)),M1251)*100-(2500+2000000000)/2)&lt;=ABS(2500-2000000000)/2),"Цена со скидкой должна быть от 25 до 20000000",IF(AND(IFERROR(VALUE(LEFT(M1251,FIND("-",M1251)-1)),M1251)*150&lt;=333905,IFERROR(VALUE(LEFT(M1251,FIND("-",M1251)-1)),M1251)*200&gt;333905),"Вы уменьшили цену в несколько раз, товар попадет в карантин цен",IF(IFERROR(VALUE(LEFT(M1251,FIND("-",M1251)-1)),M1251)*200&lt;=333905,"Не сохранили изменения, чтобы защитить от ошибки — новые цены меньше текущих более чем в 2 раза. Снижайте их постепенно",IF(AND(IFERROR(VALUE(I1251),0)=0,ISNUMBER(J1251),OR(J1251&lt;448,ABS(IFERROR(VALUE(LEFT(M1251,FIND("-",M1251)-1)),M1251))*100&lt;44800)),"Проверьте цену товара. Большинство товаров в выбранной категории стоят дороже 448","")))))),"")</f>
      </c>
    </row>
    <row r="1252">
      <c r="A1252" s="2" t="inlineStr">
        <is>
          <t>Veloria</t>
        </is>
      </c>
      <c r="B1252" s="2" t="inlineStr">
        <is>
          <t>Лотки для приборов</t>
        </is>
      </c>
      <c r="C1252" s="2">
        <v>765881602</v>
      </c>
      <c r="D1252" s="2" t="inlineStr">
        <is>
          <t>51632</t>
        </is>
      </c>
      <c r="E1252" s="2" t="inlineStr">
        <is>
          <t>2048428385994</t>
        </is>
      </c>
      <c r="F1252" s="2">
        <v>17</v>
      </c>
      <c r="G1252" s="2">
        <v>33</v>
      </c>
      <c r="H1252" s="2">
        <v>999</v>
      </c>
      <c r="I1252" s="2" t="inlineStr">
        <is>
          <t>4328</t>
        </is>
      </c>
      <c r="J1252" s="4"/>
      <c r="K1252" s="2">
        <v>80</v>
      </c>
      <c r="L1252" s="6"/>
      <c r="M1252" s="2" t="str">
        <f>IF(J1252="",ROUND(I1252*(1-IF(ISBLANK(L1252),K1252,L1252)/100),2),ROUND(J1252*(1-IF(ISBLANK(L1252),K1252,L1252)/100),2))</f>
      </c>
      <c r="N1252" s="7" t="str">
        <f>IF(NOT(AND(J1252="",L1252="")),IF(OR(AND(L1252&lt;&gt;"",NOT(ISNUMBER(L1252))),IFERROR(MOD(L1252,1),1)&gt;0,AND(ISNUMBER(L1252),OR(L1252&lt;0,L1252&gt;95))),"Введите целое число от 0 до 95",IF(OR(AND(J1252&lt;&gt;"",NOT(ISNUMBER(J1252))),IFERROR(MOD(J1252,1),1)&gt;0,AND(ISNUMBER(J1252),OR(J1252&lt;50,J1252&gt;20000000))),"Введите целое число от 50 до 20000000",IF(NOT(ABS(IFERROR(VALUE(LEFT(M1252,FIND("-",M1252)-1)),M1252)*100-(2500+2000000000)/2)&lt;=ABS(2500-2000000000)/2),"Цена со скидкой должна быть от 25 до 20000000",IF(AND(IFERROR(VALUE(LEFT(M1252,FIND("-",M1252)-1)),M1252)*150&lt;=86559,IFERROR(VALUE(LEFT(M1252,FIND("-",M1252)-1)),M1252)*200&gt;86559),"Вы уменьшили цену в несколько раз, товар попадет в карантин цен",IF(IFERROR(VALUE(LEFT(M1252,FIND("-",M1252)-1)),M1252)*200&lt;=86559,"Не сохранили изменения, чтобы защитить от ошибки — новые цены меньше текущих более чем в 2 раза. Снижайте их постепенно",IF(AND(IFERROR(VALUE(I1252),0)=0,ISNUMBER(J1252),OR(J1252&lt;242,ABS(IFERROR(VALUE(LEFT(M1252,FIND("-",M1252)-1)),M1252))*100&lt;24200)),"Проверьте цену товара. Большинство товаров в выбранной категории стоят дороже 242","")))))),"")</f>
      </c>
    </row>
    <row r="1253">
      <c r="A1253" s="2" t="inlineStr">
        <is>
          <t/>
        </is>
      </c>
      <c r="B1253" s="2" t="inlineStr">
        <is>
          <t>Кастрюли</t>
        </is>
      </c>
      <c r="C1253" s="2">
        <v>729144205</v>
      </c>
      <c r="D1253" s="2" t="inlineStr">
        <is>
          <t>821503</t>
        </is>
      </c>
      <c r="E1253" s="2" t="inlineStr">
        <is>
          <t>2048079094818</t>
        </is>
      </c>
      <c r="F1253" s="2">
        <v>4</v>
      </c>
      <c r="G1253" s="2">
        <v>0</v>
      </c>
      <c r="H1253" s="2">
        <v>999</v>
      </c>
      <c r="I1253" s="2" t="inlineStr">
        <is>
          <t>26910</t>
        </is>
      </c>
      <c r="J1253" s="4"/>
      <c r="K1253" s="2">
        <v>79</v>
      </c>
      <c r="L1253" s="6"/>
      <c r="M1253" s="2" t="str">
        <f>IF(J1253="",ROUND(I1253*(1-IF(ISBLANK(L1253),K1253,L1253)/100),2),ROUND(J1253*(1-IF(ISBLANK(L1253),K1253,L1253)/100),2))</f>
      </c>
      <c r="N1253" s="7" t="str">
        <f>IF(NOT(AND(J1253="",L1253="")),IF(OR(AND(L1253&lt;&gt;"",NOT(ISNUMBER(L1253))),IFERROR(MOD(L1253,1),1)&gt;0,AND(ISNUMBER(L1253),OR(L1253&lt;0,L1253&gt;95))),"Введите целое число от 0 до 95",IF(OR(AND(J1253&lt;&gt;"",NOT(ISNUMBER(J1253))),IFERROR(MOD(J1253,1),1)&gt;0,AND(ISNUMBER(J1253),OR(J1253&lt;50,J1253&gt;20000000))),"Введите целое число от 50 до 20000000",IF(NOT(ABS(IFERROR(VALUE(LEFT(M1253,FIND("-",M1253)-1)),M1253)*100-(2500+2000000000)/2)&lt;=ABS(2500-2000000000)/2),"Цена со скидкой должна быть от 25 до 20000000",IF(AND(IFERROR(VALUE(LEFT(M1253,FIND("-",M1253)-1)),M1253)*150&lt;=565110,IFERROR(VALUE(LEFT(M1253,FIND("-",M1253)-1)),M1253)*200&gt;565110),"Вы уменьшили цену в несколько раз, товар попадет в карантин цен",IF(IFERROR(VALUE(LEFT(M1253,FIND("-",M1253)-1)),M1253)*200&lt;=565110,"Не сохранили изменения, чтобы защитить от ошибки — новые цены меньше текущих более чем в 2 раза. Снижайте их постепенно",IF(AND(IFERROR(VALUE(I1253),0)=0,ISNUMBER(J1253),OR(J1253&lt;523,ABS(IFERROR(VALUE(LEFT(M1253,FIND("-",M1253)-1)),M1253))*100&lt;52300)),"Проверьте цену товара. Большинство товаров в выбранной категории стоят дороже 523","")))))),"")</f>
      </c>
    </row>
    <row r="1254">
      <c r="A1254" s="2" t="inlineStr">
        <is>
          <t/>
        </is>
      </c>
      <c r="B1254" s="2" t="inlineStr">
        <is>
          <t>Разделочные доски</t>
        </is>
      </c>
      <c r="C1254" s="2">
        <v>765854689</v>
      </c>
      <c r="D1254" s="2" t="inlineStr">
        <is>
          <t>93830</t>
        </is>
      </c>
      <c r="E1254" s="2" t="inlineStr">
        <is>
          <t>2048427915338</t>
        </is>
      </c>
      <c r="F1254" s="2">
        <v>10</v>
      </c>
      <c r="G1254" s="2">
        <v>10</v>
      </c>
      <c r="H1254" s="2">
        <v>999</v>
      </c>
      <c r="I1254" s="2" t="inlineStr">
        <is>
          <t>9453</t>
        </is>
      </c>
      <c r="J1254" s="4"/>
      <c r="K1254" s="2">
        <v>82</v>
      </c>
      <c r="L1254" s="6"/>
      <c r="M1254" s="2" t="str">
        <f>IF(J1254="",ROUND(I1254*(1-IF(ISBLANK(L1254),K1254,L1254)/100),2),ROUND(J1254*(1-IF(ISBLANK(L1254),K1254,L1254)/100),2))</f>
      </c>
      <c r="N1254" s="7" t="str">
        <f>IF(NOT(AND(J1254="",L1254="")),IF(OR(AND(L1254&lt;&gt;"",NOT(ISNUMBER(L1254))),IFERROR(MOD(L1254,1),1)&gt;0,AND(ISNUMBER(L1254),OR(L1254&lt;0,L1254&gt;95))),"Введите целое число от 0 до 95",IF(OR(AND(J1254&lt;&gt;"",NOT(ISNUMBER(J1254))),IFERROR(MOD(J1254,1),1)&gt;0,AND(ISNUMBER(J1254),OR(J1254&lt;50,J1254&gt;20000000))),"Введите целое число от 50 до 20000000",IF(NOT(ABS(IFERROR(VALUE(LEFT(M1254,FIND("-",M1254)-1)),M1254)*100-(2500+2000000000)/2)&lt;=ABS(2500-2000000000)/2),"Цена со скидкой должна быть от 25 до 20000000",IF(AND(IFERROR(VALUE(LEFT(M1254,FIND("-",M1254)-1)),M1254)*150&lt;=170154,IFERROR(VALUE(LEFT(M1254,FIND("-",M1254)-1)),M1254)*200&gt;170154),"Вы уменьшили цену в несколько раз, товар попадет в карантин цен",IF(IFERROR(VALUE(LEFT(M1254,FIND("-",M1254)-1)),M1254)*200&lt;=170154,"Не сохранили изменения, чтобы защитить от ошибки — новые цены меньше текущих более чем в 2 раза. Снижайте их постепенно",IF(AND(IFERROR(VALUE(I1254),0)=0,ISNUMBER(J1254),OR(J1254&lt;341,ABS(IFERROR(VALUE(LEFT(M1254,FIND("-",M1254)-1)),M1254))*100&lt;34100)),"Проверьте цену товара. Большинство товаров в выбранной категории стоят дороже 341","")))))),"")</f>
      </c>
    </row>
    <row r="1255">
      <c r="A1255" s="2" t="inlineStr">
        <is>
          <t/>
        </is>
      </c>
      <c r="B1255" s="2" t="inlineStr">
        <is>
          <t>Лотки для приборов</t>
        </is>
      </c>
      <c r="C1255" s="2">
        <v>619260999</v>
      </c>
      <c r="D1255" s="2" t="inlineStr">
        <is>
          <t>410762</t>
        </is>
      </c>
      <c r="E1255" s="2" t="inlineStr">
        <is>
          <t>2047320885441</t>
        </is>
      </c>
      <c r="F1255" s="2">
        <v>46</v>
      </c>
      <c r="G1255" s="2">
        <v>84</v>
      </c>
      <c r="H1255" s="2">
        <v>288</v>
      </c>
      <c r="I1255" s="2" t="inlineStr">
        <is>
          <t>4556</t>
        </is>
      </c>
      <c r="J1255" s="4"/>
      <c r="K1255" s="2">
        <v>82</v>
      </c>
      <c r="L1255" s="6"/>
      <c r="M1255" s="2" t="str">
        <f>IF(J1255="",ROUND(I1255*(1-IF(ISBLANK(L1255),K1255,L1255)/100),2),ROUND(J1255*(1-IF(ISBLANK(L1255),K1255,L1255)/100),2))</f>
      </c>
      <c r="N1255" s="7" t="str">
        <f>IF(NOT(AND(J1255="",L1255="")),IF(OR(AND(L1255&lt;&gt;"",NOT(ISNUMBER(L1255))),IFERROR(MOD(L1255,1),1)&gt;0,AND(ISNUMBER(L1255),OR(L1255&lt;0,L1255&gt;95))),"Введите целое число от 0 до 95",IF(OR(AND(J1255&lt;&gt;"",NOT(ISNUMBER(J1255))),IFERROR(MOD(J1255,1),1)&gt;0,AND(ISNUMBER(J1255),OR(J1255&lt;50,J1255&gt;20000000))),"Введите целое число от 50 до 20000000",IF(NOT(ABS(IFERROR(VALUE(LEFT(M1255,FIND("-",M1255)-1)),M1255)*100-(2500+2000000000)/2)&lt;=ABS(2500-2000000000)/2),"Цена со скидкой должна быть от 25 до 20000000",IF(AND(IFERROR(VALUE(LEFT(M1255,FIND("-",M1255)-1)),M1255)*150&lt;=82008,IFERROR(VALUE(LEFT(M1255,FIND("-",M1255)-1)),M1255)*200&gt;82008),"Вы уменьшили цену в несколько раз, товар попадет в карантин цен",IF(IFERROR(VALUE(LEFT(M1255,FIND("-",M1255)-1)),M1255)*200&lt;=82008,"Не сохранили изменения, чтобы защитить от ошибки — новые цены меньше текущих более чем в 2 раза. Снижайте их постепенно",IF(AND(IFERROR(VALUE(I1255),0)=0,ISNUMBER(J1255),OR(J1255&lt;242,ABS(IFERROR(VALUE(LEFT(M1255,FIND("-",M1255)-1)),M1255))*100&lt;24200)),"Проверьте цену товара. Большинство товаров в выбранной категории стоят дороже 242","")))))),"")</f>
      </c>
    </row>
    <row r="1256">
      <c r="A1256" s="2" t="inlineStr">
        <is>
          <t/>
        </is>
      </c>
      <c r="B1256" s="2" t="inlineStr">
        <is>
          <t>Фены</t>
        </is>
      </c>
      <c r="C1256" s="2">
        <v>600650198</v>
      </c>
      <c r="D1256" s="2" t="inlineStr">
        <is>
          <t>191514</t>
        </is>
      </c>
      <c r="E1256" s="2" t="inlineStr">
        <is>
          <t>2047106057925</t>
        </is>
      </c>
      <c r="F1256" s="2" t="inlineStr">
        <is>
          <t/>
        </is>
      </c>
      <c r="G1256" s="2" t="inlineStr">
        <is>
          <t/>
        </is>
      </c>
      <c r="H1256" s="2" t="inlineStr">
        <is>
          <t/>
        </is>
      </c>
      <c r="I1256" s="2" t="inlineStr">
        <is>
          <t>37624</t>
        </is>
      </c>
      <c r="J1256" s="4"/>
      <c r="K1256" s="2">
        <v>65</v>
      </c>
      <c r="L1256" s="6"/>
      <c r="M1256" s="2" t="str">
        <f>IF(J1256="",ROUND(I1256*(1-IF(ISBLANK(L1256),K1256,L1256)/100),2),ROUND(J1256*(1-IF(ISBLANK(L1256),K1256,L1256)/100),2))</f>
      </c>
      <c r="N1256" s="7" t="str">
        <f>IF(NOT(AND(J1256="",L1256="")),IF(OR(AND(L1256&lt;&gt;"",NOT(ISNUMBER(L1256))),IFERROR(MOD(L1256,1),1)&gt;0,AND(ISNUMBER(L1256),OR(L1256&lt;0,L1256&gt;95))),"Введите целое число от 0 до 95",IF(OR(AND(J1256&lt;&gt;"",NOT(ISNUMBER(J1256))),IFERROR(MOD(J1256,1),1)&gt;0,AND(ISNUMBER(J1256),OR(J1256&lt;50,J1256&gt;20000000))),"Введите целое число от 50 до 20000000",IF(NOT(ABS(IFERROR(VALUE(LEFT(M1256,FIND("-",M1256)-1)),M1256)*100-(2500+2000000000)/2)&lt;=ABS(2500-2000000000)/2),"Цена со скидкой должна быть от 25 до 20000000",IF(AND(IFERROR(VALUE(LEFT(M1256,FIND("-",M1256)-1)),M1256)*150&lt;=1316840,IFERROR(VALUE(LEFT(M1256,FIND("-",M1256)-1)),M1256)*200&gt;1316840),"Вы уменьшили цену в несколько раз, товар попадет в карантин цен",IF(IFERROR(VALUE(LEFT(M1256,FIND("-",M1256)-1)),M1256)*200&lt;=1316840,"Не сохранили изменения, чтобы защитить от ошибки — новые цены меньше текущих более чем в 2 раза. Снижайте их постепенно",IF(AND(IFERROR(VALUE(I1256),0)=0,ISNUMBER(J1256),OR(J1256&lt;411,ABS(IFERROR(VALUE(LEFT(M1256,FIND("-",M1256)-1)),M1256))*100&lt;41100)),"Проверьте цену товара. Большинство товаров в выбранной категории стоят дороже 411","")))))),"")</f>
      </c>
    </row>
    <row r="1257">
      <c r="A1257" s="2" t="inlineStr">
        <is>
          <t/>
        </is>
      </c>
      <c r="B1257" s="2" t="inlineStr">
        <is>
          <t>Дождевики</t>
        </is>
      </c>
      <c r="C1257" s="2">
        <v>600651707</v>
      </c>
      <c r="D1257" s="2" t="inlineStr">
        <is>
          <t>514151</t>
        </is>
      </c>
      <c r="E1257" s="2" t="inlineStr">
        <is>
          <t>2047129380413</t>
        </is>
      </c>
      <c r="F1257" s="2">
        <v>0</v>
      </c>
      <c r="G1257" s="2">
        <v>77</v>
      </c>
      <c r="H1257" s="2" t="inlineStr">
        <is>
          <t/>
        </is>
      </c>
      <c r="I1257" s="2" t="inlineStr">
        <is>
          <t>1988</t>
        </is>
      </c>
      <c r="J1257" s="4"/>
      <c r="K1257" s="2">
        <v>78</v>
      </c>
      <c r="L1257" s="6"/>
      <c r="M1257" s="2" t="str">
        <f>IF(J1257="",ROUND(I1257*(1-IF(ISBLANK(L1257),K1257,L1257)/100),2),ROUND(J1257*(1-IF(ISBLANK(L1257),K1257,L1257)/100),2))</f>
      </c>
      <c r="N1257" s="7" t="str">
        <f>IF(NOT(AND(J1257="",L1257="")),IF(OR(AND(L1257&lt;&gt;"",NOT(ISNUMBER(L1257))),IFERROR(MOD(L1257,1),1)&gt;0,AND(ISNUMBER(L1257),OR(L1257&lt;0,L1257&gt;95))),"Введите целое число от 0 до 95",IF(OR(AND(J1257&lt;&gt;"",NOT(ISNUMBER(J1257))),IFERROR(MOD(J1257,1),1)&gt;0,AND(ISNUMBER(J1257),OR(J1257&lt;50,J1257&gt;20000000))),"Введите целое число от 50 до 20000000",IF(NOT(ABS(IFERROR(VALUE(LEFT(M1257,FIND("-",M1257)-1)),M1257)*100-(2500+2000000000)/2)&lt;=ABS(2500-2000000000)/2),"Цена со скидкой должна быть от 25 до 20000000",IF(AND(IFERROR(VALUE(LEFT(M1257,FIND("-",M1257)-1)),M1257)*150&lt;=43735,IFERROR(VALUE(LEFT(M1257,FIND("-",M1257)-1)),M1257)*200&gt;43735),"Вы уменьшили цену в несколько раз, товар попадет в карантин цен",IF(IFERROR(VALUE(LEFT(M1257,FIND("-",M1257)-1)),M1257)*200&lt;=43735,"Не сохранили изменения, чтобы защитить от ошибки — новые цены меньше текущих более чем в 2 раза. Снижайте их постепенно",IF(AND(IFERROR(VALUE(I1257),0)=0,ISNUMBER(J1257),OR(J1257&lt;348,ABS(IFERROR(VALUE(LEFT(M1257,FIND("-",M1257)-1)),M1257))*100&lt;34800)),"Проверьте цену товара. Большинство товаров в выбранной категории стоят дороже 348","")))))),"")</f>
      </c>
    </row>
    <row r="1258">
      <c r="A1258" s="2" t="inlineStr">
        <is>
          <t/>
        </is>
      </c>
      <c r="B1258" s="2" t="inlineStr">
        <is>
          <t>Весы</t>
        </is>
      </c>
      <c r="C1258" s="2">
        <v>600650217</v>
      </c>
      <c r="D1258" s="2" t="inlineStr">
        <is>
          <t>191617</t>
        </is>
      </c>
      <c r="E1258" s="2" t="inlineStr">
        <is>
          <t>2047106057765</t>
        </is>
      </c>
      <c r="F1258" s="2">
        <v>0</v>
      </c>
      <c r="G1258" s="2">
        <v>7</v>
      </c>
      <c r="H1258" s="2">
        <v>1</v>
      </c>
      <c r="I1258" s="2" t="inlineStr">
        <is>
          <t>9983</t>
        </is>
      </c>
      <c r="J1258" s="4"/>
      <c r="K1258" s="2">
        <v>77</v>
      </c>
      <c r="L1258" s="6"/>
      <c r="M1258" s="2" t="str">
        <f>IF(J1258="",ROUND(I1258*(1-IF(ISBLANK(L1258),K1258,L1258)/100),2),ROUND(J1258*(1-IF(ISBLANK(L1258),K1258,L1258)/100),2))</f>
      </c>
      <c r="N1258" s="7" t="str">
        <f>IF(NOT(AND(J1258="",L1258="")),IF(OR(AND(L1258&lt;&gt;"",NOT(ISNUMBER(L1258))),IFERROR(MOD(L1258,1),1)&gt;0,AND(ISNUMBER(L1258),OR(L1258&lt;0,L1258&gt;95))),"Введите целое число от 0 до 95",IF(OR(AND(J1258&lt;&gt;"",NOT(ISNUMBER(J1258))),IFERROR(MOD(J1258,1),1)&gt;0,AND(ISNUMBER(J1258),OR(J1258&lt;50,J1258&gt;20000000))),"Введите целое число от 50 до 20000000",IF(NOT(ABS(IFERROR(VALUE(LEFT(M1258,FIND("-",M1258)-1)),M1258)*100-(2500+2000000000)/2)&lt;=ABS(2500-2000000000)/2),"Цена со скидкой должна быть от 25 до 20000000",IF(AND(IFERROR(VALUE(LEFT(M1258,FIND("-",M1258)-1)),M1258)*150&lt;=229608,IFERROR(VALUE(LEFT(M1258,FIND("-",M1258)-1)),M1258)*200&gt;229608),"Вы уменьшили цену в несколько раз, товар попадет в карантин цен",IF(IFERROR(VALUE(LEFT(M1258,FIND("-",M1258)-1)),M1258)*200&lt;=229608,"Не сохранили изменения, чтобы защитить от ошибки — новые цены меньше текущих более чем в 2 раза. Снижайте их постепенно",IF(AND(IFERROR(VALUE(I1258),0)=0,ISNUMBER(J1258),OR(J1258&lt;354,ABS(IFERROR(VALUE(LEFT(M1258,FIND("-",M1258)-1)),M1258))*100&lt;35400)),"Проверьте цену товара. Большинство товаров в выбранной категории стоят дороже 354","")))))),"")</f>
      </c>
    </row>
    <row r="1259">
      <c r="A1259" s="2" t="inlineStr">
        <is>
          <t/>
        </is>
      </c>
      <c r="B1259" s="2" t="inlineStr">
        <is>
          <t>Фены</t>
        </is>
      </c>
      <c r="C1259" s="2">
        <v>600650199</v>
      </c>
      <c r="D1259" s="2" t="inlineStr">
        <is>
          <t>191353</t>
        </is>
      </c>
      <c r="E1259" s="2" t="inlineStr">
        <is>
          <t>2047106057949</t>
        </is>
      </c>
      <c r="F1259" s="2">
        <v>0</v>
      </c>
      <c r="G1259" s="2">
        <v>0</v>
      </c>
      <c r="H1259" s="2" t="inlineStr">
        <is>
          <t/>
        </is>
      </c>
      <c r="I1259" s="2" t="inlineStr">
        <is>
          <t>50468</t>
        </is>
      </c>
      <c r="J1259" s="4"/>
      <c r="K1259" s="2">
        <v>65</v>
      </c>
      <c r="L1259" s="6"/>
      <c r="M1259" s="2" t="str">
        <f>IF(J1259="",ROUND(I1259*(1-IF(ISBLANK(L1259),K1259,L1259)/100),2),ROUND(J1259*(1-IF(ISBLANK(L1259),K1259,L1259)/100),2))</f>
      </c>
      <c r="N1259" s="7" t="str">
        <f>IF(NOT(AND(J1259="",L1259="")),IF(OR(AND(L1259&lt;&gt;"",NOT(ISNUMBER(L1259))),IFERROR(MOD(L1259,1),1)&gt;0,AND(ISNUMBER(L1259),OR(L1259&lt;0,L1259&gt;95))),"Введите целое число от 0 до 95",IF(OR(AND(J1259&lt;&gt;"",NOT(ISNUMBER(J1259))),IFERROR(MOD(J1259,1),1)&gt;0,AND(ISNUMBER(J1259),OR(J1259&lt;50,J1259&gt;20000000))),"Введите целое число от 50 до 20000000",IF(NOT(ABS(IFERROR(VALUE(LEFT(M1259,FIND("-",M1259)-1)),M1259)*100-(2500+2000000000)/2)&lt;=ABS(2500-2000000000)/2),"Цена со скидкой должна быть от 25 до 20000000",IF(AND(IFERROR(VALUE(LEFT(M1259,FIND("-",M1259)-1)),M1259)*150&lt;=1766380,IFERROR(VALUE(LEFT(M1259,FIND("-",M1259)-1)),M1259)*200&gt;1766380),"Вы уменьшили цену в несколько раз, товар попадет в карантин цен",IF(IFERROR(VALUE(LEFT(M1259,FIND("-",M1259)-1)),M1259)*200&lt;=1766380,"Не сохранили изменения, чтобы защитить от ошибки — новые цены меньше текущих более чем в 2 раза. Снижайте их постепенно",IF(AND(IFERROR(VALUE(I1259),0)=0,ISNUMBER(J1259),OR(J1259&lt;411,ABS(IFERROR(VALUE(LEFT(M1259,FIND("-",M1259)-1)),M1259))*100&lt;41100)),"Проверьте цену товара. Большинство товаров в выбранной категории стоят дороже 411","")))))),"")</f>
      </c>
    </row>
    <row r="1260">
      <c r="A1260" s="2" t="inlineStr">
        <is>
          <t/>
        </is>
      </c>
      <c r="B1260" s="2" t="inlineStr">
        <is>
          <t>Дождевики</t>
        </is>
      </c>
      <c r="C1260" s="2">
        <v>600651709</v>
      </c>
      <c r="D1260" s="2" t="inlineStr">
        <is>
          <t>514149</t>
        </is>
      </c>
      <c r="E1260" s="2" t="inlineStr">
        <is>
          <t>2047129380444</t>
        </is>
      </c>
      <c r="F1260" s="2">
        <v>0</v>
      </c>
      <c r="G1260" s="2">
        <v>4</v>
      </c>
      <c r="H1260" s="2" t="inlineStr">
        <is>
          <t/>
        </is>
      </c>
      <c r="I1260" s="2" t="inlineStr">
        <is>
          <t>3520</t>
        </is>
      </c>
      <c r="J1260" s="4"/>
      <c r="K1260" s="2">
        <v>78</v>
      </c>
      <c r="L1260" s="6"/>
      <c r="M1260" s="2" t="str">
        <f>IF(J1260="",ROUND(I1260*(1-IF(ISBLANK(L1260),K1260,L1260)/100),2),ROUND(J1260*(1-IF(ISBLANK(L1260),K1260,L1260)/100),2))</f>
      </c>
      <c r="N1260" s="7" t="str">
        <f>IF(NOT(AND(J1260="",L1260="")),IF(OR(AND(L1260&lt;&gt;"",NOT(ISNUMBER(L1260))),IFERROR(MOD(L1260,1),1)&gt;0,AND(ISNUMBER(L1260),OR(L1260&lt;0,L1260&gt;95))),"Введите целое число от 0 до 95",IF(OR(AND(J1260&lt;&gt;"",NOT(ISNUMBER(J1260))),IFERROR(MOD(J1260,1),1)&gt;0,AND(ISNUMBER(J1260),OR(J1260&lt;50,J1260&gt;20000000))),"Введите целое число от 50 до 20000000",IF(NOT(ABS(IFERROR(VALUE(LEFT(M1260,FIND("-",M1260)-1)),M1260)*100-(2500+2000000000)/2)&lt;=ABS(2500-2000000000)/2),"Цена со скидкой должна быть от 25 до 20000000",IF(AND(IFERROR(VALUE(LEFT(M1260,FIND("-",M1260)-1)),M1260)*150&lt;=77439,IFERROR(VALUE(LEFT(M1260,FIND("-",M1260)-1)),M1260)*200&gt;77439),"Вы уменьшили цену в несколько раз, товар попадет в карантин цен",IF(IFERROR(VALUE(LEFT(M1260,FIND("-",M1260)-1)),M1260)*200&lt;=77439,"Не сохранили изменения, чтобы защитить от ошибки — новые цены меньше текущих более чем в 2 раза. Снижайте их постепенно",IF(AND(IFERROR(VALUE(I1260),0)=0,ISNUMBER(J1260),OR(J1260&lt;348,ABS(IFERROR(VALUE(LEFT(M1260,FIND("-",M1260)-1)),M1260))*100&lt;34800)),"Проверьте цену товара. Большинство товаров в выбранной категории стоят дороже 348","")))))),"")</f>
      </c>
    </row>
    <row r="1261">
      <c r="A1261" s="2" t="inlineStr">
        <is>
          <t/>
        </is>
      </c>
      <c r="B1261" s="2" t="inlineStr">
        <is>
          <t>Салфетки</t>
        </is>
      </c>
      <c r="C1261" s="2">
        <v>251227488</v>
      </c>
      <c r="D1261" s="2" t="inlineStr">
        <is>
          <t>513463Н</t>
        </is>
      </c>
      <c r="E1261" s="2" t="inlineStr">
        <is>
          <t>2040892381960</t>
        </is>
      </c>
      <c r="F1261" s="2">
        <v>0</v>
      </c>
      <c r="G1261" s="2">
        <v>0</v>
      </c>
      <c r="H1261" s="2">
        <v>999</v>
      </c>
      <c r="I1261" s="2" t="inlineStr">
        <is>
          <t>2426</t>
        </is>
      </c>
      <c r="J1261" s="4"/>
      <c r="K1261" s="2">
        <v>65</v>
      </c>
      <c r="L1261" s="6"/>
      <c r="M1261" s="2" t="str">
        <f>IF(J1261="",ROUND(I1261*(1-IF(ISBLANK(L1261),K1261,L1261)/100),2),ROUND(J1261*(1-IF(ISBLANK(L1261),K1261,L1261)/100),2))</f>
      </c>
      <c r="N1261" s="7" t="str">
        <f>IF(NOT(AND(J1261="",L1261="")),IF(OR(AND(L1261&lt;&gt;"",NOT(ISNUMBER(L1261))),IFERROR(MOD(L1261,1),1)&gt;0,AND(ISNUMBER(L1261),OR(L1261&lt;0,L1261&gt;95))),"Введите целое число от 0 до 95",IF(OR(AND(J1261&lt;&gt;"",NOT(ISNUMBER(J1261))),IFERROR(MOD(J1261,1),1)&gt;0,AND(ISNUMBER(J1261),OR(J1261&lt;50,J1261&gt;20000000))),"Введите целое число от 50 до 20000000",IF(NOT(ABS(IFERROR(VALUE(LEFT(M1261,FIND("-",M1261)-1)),M1261)*100-(2500+2000000000)/2)&lt;=ABS(2500-2000000000)/2),"Цена со скидкой должна быть от 25 до 20000000",IF(AND(IFERROR(VALUE(LEFT(M1261,FIND("-",M1261)-1)),M1261)*150&lt;=84909,IFERROR(VALUE(LEFT(M1261,FIND("-",M1261)-1)),M1261)*200&gt;84909),"Вы уменьшили цену в несколько раз, товар попадет в карантин цен",IF(IFERROR(VALUE(LEFT(M1261,FIND("-",M1261)-1)),M1261)*200&lt;=84909,"Не сохранили изменения, чтобы защитить от ошибки — новые цены меньше текущих более чем в 2 раза. Снижайте их постепенно",IF(AND(IFERROR(VALUE(I1261),0)=0,ISNUMBER(J1261),OR(J1261&lt;254,ABS(IFERROR(VALUE(LEFT(M1261,FIND("-",M1261)-1)),M1261))*100&lt;25400)),"Проверьте цену товара. Большинство товаров в выбранной категории стоят дороже 254","")))))),"")</f>
      </c>
    </row>
    <row r="1262">
      <c r="A1262" s="2" t="inlineStr">
        <is>
          <t/>
        </is>
      </c>
      <c r="B1262" s="2" t="inlineStr">
        <is>
          <t>Лотки для приборов</t>
        </is>
      </c>
      <c r="C1262" s="2">
        <v>803524117</v>
      </c>
      <c r="D1262" s="2" t="inlineStr">
        <is>
          <t>458141</t>
        </is>
      </c>
      <c r="E1262" s="2" t="inlineStr">
        <is>
          <t>2048766533514</t>
        </is>
      </c>
      <c r="F1262" s="2">
        <v>0</v>
      </c>
      <c r="G1262" s="2">
        <v>7</v>
      </c>
      <c r="H1262" s="2" t="inlineStr">
        <is>
          <t/>
        </is>
      </c>
      <c r="I1262" s="2" t="inlineStr">
        <is>
          <t>0</t>
        </is>
      </c>
      <c r="J1262" s="4"/>
      <c r="K1262" s="2">
        <v>0</v>
      </c>
      <c r="L1262" s="6"/>
      <c r="M1262" s="2" t="str">
        <f>IF(J1262="",ROUND(I1262*(1-IF(ISBLANK(L1262),K1262,L1262)/100),2),ROUND(J1262*(1-IF(ISBLANK(L1262),K1262,L1262)/100),2))</f>
      </c>
      <c r="N1262" s="7" t="str">
        <f>IF(NOT(AND(J1262="",L1262="")),IF(OR(AND(L1262&lt;&gt;"",NOT(ISNUMBER(L1262))),IFERROR(MOD(L1262,1),1)&gt;0,AND(ISNUMBER(L1262),OR(L1262&lt;0,L1262&gt;95))),"Введите целое число от 0 до 95",IF(OR(AND(J1262&lt;&gt;"",NOT(ISNUMBER(J1262))),IFERROR(MOD(J1262,1),1)&gt;0,AND(ISNUMBER(J1262),OR(J1262&lt;50,J1262&gt;20000000))),"Введите целое число от 50 до 20000000",IF(NOT(ABS(IFERROR(VALUE(LEFT(M1262,FIND("-",M1262)-1)),M1262)*100-(2500+2000000000)/2)&lt;=ABS(2500-2000000000)/2),"Цена со скидкой должна быть от 25 до 20000000",IF(AND(IFERROR(VALUE(LEFT(M1262,FIND("-",M1262)-1)),M1262)*150&lt;=0,IFERROR(VALUE(LEFT(M1262,FIND("-",M1262)-1)),M1262)*200&gt;0),"Вы уменьшили цену в несколько раз, товар попадет в карантин цен",IF(IFERROR(VALUE(LEFT(M1262,FIND("-",M1262)-1)),M1262)*200&lt;=0,"Не сохранили изменения, чтобы защитить от ошибки — новые цены меньше текущих более чем в 2 раза. Снижайте их постепенно",IF(AND(IFERROR(VALUE(I1262),0)=0,ISNUMBER(J1262),OR(J1262&lt;242,ABS(IFERROR(VALUE(LEFT(M1262,FIND("-",M1262)-1)),M1262))*100&lt;24200)),"Проверьте цену товара. Большинство товаров в выбранной категории стоят дороже 242","")))))),"")</f>
      </c>
    </row>
    <row r="1263">
      <c r="A1263" s="2" t="inlineStr">
        <is>
          <t/>
        </is>
      </c>
      <c r="B1263" s="2" t="inlineStr">
        <is>
          <t>Лотки для приборов</t>
        </is>
      </c>
      <c r="C1263" s="2">
        <v>619260998</v>
      </c>
      <c r="D1263" s="2" t="inlineStr">
        <is>
          <t>457117</t>
        </is>
      </c>
      <c r="E1263" s="2" t="inlineStr">
        <is>
          <t>2047320885434</t>
        </is>
      </c>
      <c r="F1263" s="2">
        <v>20</v>
      </c>
      <c r="G1263" s="2">
        <v>11</v>
      </c>
      <c r="H1263" s="2">
        <v>610</v>
      </c>
      <c r="I1263" s="2" t="inlineStr">
        <is>
          <t>7420</t>
        </is>
      </c>
      <c r="J1263" s="4"/>
      <c r="K1263" s="2">
        <v>83</v>
      </c>
      <c r="L1263" s="6"/>
      <c r="M1263" s="2" t="str">
        <f>IF(J1263="",ROUND(I1263*(1-IF(ISBLANK(L1263),K1263,L1263)/100),2),ROUND(J1263*(1-IF(ISBLANK(L1263),K1263,L1263)/100),2))</f>
      </c>
      <c r="N1263" s="7" t="str">
        <f>IF(NOT(AND(J1263="",L1263="")),IF(OR(AND(L1263&lt;&gt;"",NOT(ISNUMBER(L1263))),IFERROR(MOD(L1263,1),1)&gt;0,AND(ISNUMBER(L1263),OR(L1263&lt;0,L1263&gt;95))),"Введите целое число от 0 до 95",IF(OR(AND(J1263&lt;&gt;"",NOT(ISNUMBER(J1263))),IFERROR(MOD(J1263,1),1)&gt;0,AND(ISNUMBER(J1263),OR(J1263&lt;50,J1263&gt;20000000))),"Введите целое число от 50 до 20000000",IF(NOT(ABS(IFERROR(VALUE(LEFT(M1263,FIND("-",M1263)-1)),M1263)*100-(2500+2000000000)/2)&lt;=ABS(2500-2000000000)/2),"Цена со скидкой должна быть от 25 до 20000000",IF(AND(IFERROR(VALUE(LEFT(M1263,FIND("-",M1263)-1)),M1263)*150&lt;=126140,IFERROR(VALUE(LEFT(M1263,FIND("-",M1263)-1)),M1263)*200&gt;126140),"Вы уменьшили цену в несколько раз, товар попадет в карантин цен",IF(IFERROR(VALUE(LEFT(M1263,FIND("-",M1263)-1)),M1263)*200&lt;=126140,"Не сохранили изменения, чтобы защитить от ошибки — новые цены меньше текущих более чем в 2 раза. Снижайте их постепенно",IF(AND(IFERROR(VALUE(I1263),0)=0,ISNUMBER(J1263),OR(J1263&lt;242,ABS(IFERROR(VALUE(LEFT(M1263,FIND("-",M1263)-1)),M1263))*100&lt;24200)),"Проверьте цену товара. Большинство товаров в выбранной категории стоят дороже 242","")))))),"")</f>
      </c>
    </row>
    <row r="1264">
      <c r="A1264" s="2" t="inlineStr">
        <is>
          <t/>
        </is>
      </c>
      <c r="B1264" s="2" t="inlineStr">
        <is>
          <t>Лотки для приборов</t>
        </is>
      </c>
      <c r="C1264" s="2">
        <v>727227075</v>
      </c>
      <c r="D1264" s="2" t="inlineStr">
        <is>
          <t>45829</t>
        </is>
      </c>
      <c r="E1264" s="2" t="inlineStr">
        <is>
          <t>2048061048072</t>
        </is>
      </c>
      <c r="F1264" s="2">
        <v>25</v>
      </c>
      <c r="G1264" s="2">
        <v>55</v>
      </c>
      <c r="H1264" s="2">
        <v>759</v>
      </c>
      <c r="I1264" s="2" t="inlineStr">
        <is>
          <t>3728</t>
        </is>
      </c>
      <c r="J1264" s="4"/>
      <c r="K1264" s="2">
        <v>80</v>
      </c>
      <c r="L1264" s="6"/>
      <c r="M1264" s="2" t="str">
        <f>IF(J1264="",ROUND(I1264*(1-IF(ISBLANK(L1264),K1264,L1264)/100),2),ROUND(J1264*(1-IF(ISBLANK(L1264),K1264,L1264)/100),2))</f>
      </c>
      <c r="N1264" s="7" t="str">
        <f>IF(NOT(AND(J1264="",L1264="")),IF(OR(AND(L1264&lt;&gt;"",NOT(ISNUMBER(L1264))),IFERROR(MOD(L1264,1),1)&gt;0,AND(ISNUMBER(L1264),OR(L1264&lt;0,L1264&gt;95))),"Введите целое число от 0 до 95",IF(OR(AND(J1264&lt;&gt;"",NOT(ISNUMBER(J1264))),IFERROR(MOD(J1264,1),1)&gt;0,AND(ISNUMBER(J1264),OR(J1264&lt;50,J1264&gt;20000000))),"Введите целое число от 50 до 20000000",IF(NOT(ABS(IFERROR(VALUE(LEFT(M1264,FIND("-",M1264)-1)),M1264)*100-(2500+2000000000)/2)&lt;=ABS(2500-2000000000)/2),"Цена со скидкой должна быть от 25 до 20000000",IF(AND(IFERROR(VALUE(LEFT(M1264,FIND("-",M1264)-1)),M1264)*150&lt;=74559,IFERROR(VALUE(LEFT(M1264,FIND("-",M1264)-1)),M1264)*200&gt;74559),"Вы уменьшили цену в несколько раз, товар попадет в карантин цен",IF(IFERROR(VALUE(LEFT(M1264,FIND("-",M1264)-1)),M1264)*200&lt;=74559,"Не сохранили изменения, чтобы защитить от ошибки — новые цены меньше текущих более чем в 2 раза. Снижайте их постепенно",IF(AND(IFERROR(VALUE(I1264),0)=0,ISNUMBER(J1264),OR(J1264&lt;242,ABS(IFERROR(VALUE(LEFT(M1264,FIND("-",M1264)-1)),M1264))*100&lt;24200)),"Проверьте цену товара. Большинство товаров в выбранной категории стоят дороже 242","")))))),"")</f>
      </c>
    </row>
    <row r="1265">
      <c r="A1265" s="2" t="inlineStr">
        <is>
          <t/>
        </is>
      </c>
      <c r="B1265" s="2" t="inlineStr">
        <is>
          <t>Лотки для приборов</t>
        </is>
      </c>
      <c r="C1265" s="2">
        <v>727227076</v>
      </c>
      <c r="D1265" s="2" t="inlineStr">
        <is>
          <t>456710</t>
        </is>
      </c>
      <c r="E1265" s="2" t="inlineStr">
        <is>
          <t>2048061048089</t>
        </is>
      </c>
      <c r="F1265" s="2">
        <v>0</v>
      </c>
      <c r="G1265" s="2">
        <v>0</v>
      </c>
      <c r="H1265" s="2" t="inlineStr">
        <is>
          <t/>
        </is>
      </c>
      <c r="I1265" s="2" t="inlineStr">
        <is>
          <t>6644</t>
        </is>
      </c>
      <c r="J1265" s="4"/>
      <c r="K1265" s="2">
        <v>65</v>
      </c>
      <c r="L1265" s="6"/>
      <c r="M1265" s="2" t="str">
        <f>IF(J1265="",ROUND(I1265*(1-IF(ISBLANK(L1265),K1265,L1265)/100),2),ROUND(J1265*(1-IF(ISBLANK(L1265),K1265,L1265)/100),2))</f>
      </c>
      <c r="N1265" s="7" t="str">
        <f>IF(NOT(AND(J1265="",L1265="")),IF(OR(AND(L1265&lt;&gt;"",NOT(ISNUMBER(L1265))),IFERROR(MOD(L1265,1),1)&gt;0,AND(ISNUMBER(L1265),OR(L1265&lt;0,L1265&gt;95))),"Введите целое число от 0 до 95",IF(OR(AND(J1265&lt;&gt;"",NOT(ISNUMBER(J1265))),IFERROR(MOD(J1265,1),1)&gt;0,AND(ISNUMBER(J1265),OR(J1265&lt;50,J1265&gt;20000000))),"Введите целое число от 50 до 20000000",IF(NOT(ABS(IFERROR(VALUE(LEFT(M1265,FIND("-",M1265)-1)),M1265)*100-(2500+2000000000)/2)&lt;=ABS(2500-2000000000)/2),"Цена со скидкой должна быть от 25 до 20000000",IF(AND(IFERROR(VALUE(LEFT(M1265,FIND("-",M1265)-1)),M1265)*150&lt;=232539,IFERROR(VALUE(LEFT(M1265,FIND("-",M1265)-1)),M1265)*200&gt;232539),"Вы уменьшили цену в несколько раз, товар попадет в карантин цен",IF(IFERROR(VALUE(LEFT(M1265,FIND("-",M1265)-1)),M1265)*200&lt;=232539,"Не сохранили изменения, чтобы защитить от ошибки — новые цены меньше текущих более чем в 2 раза. Снижайте их постепенно",IF(AND(IFERROR(VALUE(I1265),0)=0,ISNUMBER(J1265),OR(J1265&lt;242,ABS(IFERROR(VALUE(LEFT(M1265,FIND("-",M1265)-1)),M1265))*100&lt;24200)),"Проверьте цену товара. Большинство товаров в выбранной категории стоят дороже 242","")))))),"")</f>
      </c>
    </row>
    <row r="1266">
      <c r="A1266" s="2" t="inlineStr">
        <is>
          <t/>
        </is>
      </c>
      <c r="B1266" s="2" t="inlineStr">
        <is>
          <t>Лотки для приборов</t>
        </is>
      </c>
      <c r="C1266" s="2">
        <v>727227073</v>
      </c>
      <c r="D1266" s="2" t="inlineStr">
        <is>
          <t>456709</t>
        </is>
      </c>
      <c r="E1266" s="2" t="inlineStr">
        <is>
          <t>2048061048041</t>
        </is>
      </c>
      <c r="F1266" s="2">
        <v>2</v>
      </c>
      <c r="G1266" s="2">
        <v>0</v>
      </c>
      <c r="H1266" s="2">
        <v>999</v>
      </c>
      <c r="I1266" s="2" t="inlineStr">
        <is>
          <t>5600</t>
        </is>
      </c>
      <c r="J1266" s="4"/>
      <c r="K1266" s="2">
        <v>79</v>
      </c>
      <c r="L1266" s="6"/>
      <c r="M1266" s="2" t="str">
        <f>IF(J1266="",ROUND(I1266*(1-IF(ISBLANK(L1266),K1266,L1266)/100),2),ROUND(J1266*(1-IF(ISBLANK(L1266),K1266,L1266)/100),2))</f>
      </c>
      <c r="N1266" s="7" t="str">
        <f>IF(NOT(AND(J1266="",L1266="")),IF(OR(AND(L1266&lt;&gt;"",NOT(ISNUMBER(L1266))),IFERROR(MOD(L1266,1),1)&gt;0,AND(ISNUMBER(L1266),OR(L1266&lt;0,L1266&gt;95))),"Введите целое число от 0 до 95",IF(OR(AND(J1266&lt;&gt;"",NOT(ISNUMBER(J1266))),IFERROR(MOD(J1266,1),1)&gt;0,AND(ISNUMBER(J1266),OR(J1266&lt;50,J1266&gt;20000000))),"Введите целое число от 50 до 20000000",IF(NOT(ABS(IFERROR(VALUE(LEFT(M1266,FIND("-",M1266)-1)),M1266)*100-(2500+2000000000)/2)&lt;=ABS(2500-2000000000)/2),"Цена со скидкой должна быть от 25 до 20000000",IF(AND(IFERROR(VALUE(LEFT(M1266,FIND("-",M1266)-1)),M1266)*150&lt;=117599,IFERROR(VALUE(LEFT(M1266,FIND("-",M1266)-1)),M1266)*200&gt;117599),"Вы уменьшили цену в несколько раз, товар попадет в карантин цен",IF(IFERROR(VALUE(LEFT(M1266,FIND("-",M1266)-1)),M1266)*200&lt;=117599,"Не сохранили изменения, чтобы защитить от ошибки — новые цены меньше текущих более чем в 2 раза. Снижайте их постепенно",IF(AND(IFERROR(VALUE(I1266),0)=0,ISNUMBER(J1266),OR(J1266&lt;242,ABS(IFERROR(VALUE(LEFT(M1266,FIND("-",M1266)-1)),M1266))*100&lt;24200)),"Проверьте цену товара. Большинство товаров в выбранной категории стоят дороже 242","")))))),"")</f>
      </c>
    </row>
    <row r="1267">
      <c r="A1267" s="2" t="inlineStr">
        <is>
          <t/>
        </is>
      </c>
      <c r="B1267" s="2" t="inlineStr">
        <is>
          <t>Разделочные доски</t>
        </is>
      </c>
      <c r="C1267" s="2">
        <v>765854679</v>
      </c>
      <c r="D1267" s="2" t="inlineStr">
        <is>
          <t>93823</t>
        </is>
      </c>
      <c r="E1267" s="2" t="inlineStr">
        <is>
          <t>2048427915086</t>
        </is>
      </c>
      <c r="F1267" s="2">
        <v>5</v>
      </c>
      <c r="G1267" s="2">
        <v>0</v>
      </c>
      <c r="H1267" s="2">
        <v>999</v>
      </c>
      <c r="I1267" s="2" t="inlineStr">
        <is>
          <t>4985</t>
        </is>
      </c>
      <c r="J1267" s="4"/>
      <c r="K1267" s="2">
        <v>80</v>
      </c>
      <c r="L1267" s="6"/>
      <c r="M1267" s="2" t="str">
        <f>IF(J1267="",ROUND(I1267*(1-IF(ISBLANK(L1267),K1267,L1267)/100),2),ROUND(J1267*(1-IF(ISBLANK(L1267),K1267,L1267)/100),2))</f>
      </c>
      <c r="N1267" s="7" t="str">
        <f>IF(NOT(AND(J1267="",L1267="")),IF(OR(AND(L1267&lt;&gt;"",NOT(ISNUMBER(L1267))),IFERROR(MOD(L1267,1),1)&gt;0,AND(ISNUMBER(L1267),OR(L1267&lt;0,L1267&gt;95))),"Введите целое число от 0 до 95",IF(OR(AND(J1267&lt;&gt;"",NOT(ISNUMBER(J1267))),IFERROR(MOD(J1267,1),1)&gt;0,AND(ISNUMBER(J1267),OR(J1267&lt;50,J1267&gt;20000000))),"Введите целое число от 50 до 20000000",IF(NOT(ABS(IFERROR(VALUE(LEFT(M1267,FIND("-",M1267)-1)),M1267)*100-(2500+2000000000)/2)&lt;=ABS(2500-2000000000)/2),"Цена со скидкой должна быть от 25 до 20000000",IF(AND(IFERROR(VALUE(LEFT(M1267,FIND("-",M1267)-1)),M1267)*150&lt;=99699,IFERROR(VALUE(LEFT(M1267,FIND("-",M1267)-1)),M1267)*200&gt;99699),"Вы уменьшили цену в несколько раз, товар попадет в карантин цен",IF(IFERROR(VALUE(LEFT(M1267,FIND("-",M1267)-1)),M1267)*200&lt;=99699,"Не сохранили изменения, чтобы защитить от ошибки — новые цены меньше текущих более чем в 2 раза. Снижайте их постепенно",IF(AND(IFERROR(VALUE(I1267),0)=0,ISNUMBER(J1267),OR(J1267&lt;341,ABS(IFERROR(VALUE(LEFT(M1267,FIND("-",M1267)-1)),M1267))*100&lt;34100)),"Проверьте цену товара. Большинство товаров в выбранной категории стоят дороже 341","")))))),"")</f>
      </c>
    </row>
    <row r="1268">
      <c r="A1268" s="2" t="inlineStr">
        <is>
          <t/>
        </is>
      </c>
      <c r="B1268" s="2" t="inlineStr">
        <is>
          <t>Дождевики</t>
        </is>
      </c>
      <c r="C1268" s="2">
        <v>600651721</v>
      </c>
      <c r="D1268" s="2" t="inlineStr">
        <is>
          <t>49265</t>
        </is>
      </c>
      <c r="E1268" s="2" t="inlineStr">
        <is>
          <t>2047129381205</t>
        </is>
      </c>
      <c r="F1268" s="2">
        <v>0</v>
      </c>
      <c r="G1268" s="2">
        <v>11</v>
      </c>
      <c r="H1268" s="2" t="inlineStr">
        <is>
          <t/>
        </is>
      </c>
      <c r="I1268" s="2" t="inlineStr">
        <is>
          <t>8612</t>
        </is>
      </c>
      <c r="J1268" s="4"/>
      <c r="K1268" s="2">
        <v>78</v>
      </c>
      <c r="L1268" s="6"/>
      <c r="M1268" s="2" t="str">
        <f>IF(J1268="",ROUND(I1268*(1-IF(ISBLANK(L1268),K1268,L1268)/100),2),ROUND(J1268*(1-IF(ISBLANK(L1268),K1268,L1268)/100),2))</f>
      </c>
      <c r="N1268" s="7" t="str">
        <f>IF(NOT(AND(J1268="",L1268="")),IF(OR(AND(L1268&lt;&gt;"",NOT(ISNUMBER(L1268))),IFERROR(MOD(L1268,1),1)&gt;0,AND(ISNUMBER(L1268),OR(L1268&lt;0,L1268&gt;95))),"Введите целое число от 0 до 95",IF(OR(AND(J1268&lt;&gt;"",NOT(ISNUMBER(J1268))),IFERROR(MOD(J1268,1),1)&gt;0,AND(ISNUMBER(J1268),OR(J1268&lt;50,J1268&gt;20000000))),"Введите целое число от 50 до 20000000",IF(NOT(ABS(IFERROR(VALUE(LEFT(M1268,FIND("-",M1268)-1)),M1268)*100-(2500+2000000000)/2)&lt;=ABS(2500-2000000000)/2),"Цена со скидкой должна быть от 25 до 20000000",IF(AND(IFERROR(VALUE(LEFT(M1268,FIND("-",M1268)-1)),M1268)*150&lt;=189464,IFERROR(VALUE(LEFT(M1268,FIND("-",M1268)-1)),M1268)*200&gt;189464),"Вы уменьшили цену в несколько раз, товар попадет в карантин цен",IF(IFERROR(VALUE(LEFT(M1268,FIND("-",M1268)-1)),M1268)*200&lt;=189464,"Не сохранили изменения, чтобы защитить от ошибки — новые цены меньше текущих более чем в 2 раза. Снижайте их постепенно",IF(AND(IFERROR(VALUE(I1268),0)=0,ISNUMBER(J1268),OR(J1268&lt;348,ABS(IFERROR(VALUE(LEFT(M1268,FIND("-",M1268)-1)),M1268))*100&lt;34800)),"Проверьте цену товара. Большинство товаров в выбранной категории стоят дороже 348","")))))),"")</f>
      </c>
    </row>
    <row r="1269">
      <c r="A1269" s="2" t="inlineStr">
        <is>
          <t/>
        </is>
      </c>
      <c r="B1269" s="2" t="inlineStr">
        <is>
          <t>Перчатки хозяйственные</t>
        </is>
      </c>
      <c r="C1269" s="2">
        <v>618362536</v>
      </c>
      <c r="D1269" s="2" t="inlineStr">
        <is>
          <t>790776</t>
        </is>
      </c>
      <c r="E1269" s="2" t="inlineStr">
        <is>
          <t>2047308267849</t>
        </is>
      </c>
      <c r="F1269" s="2">
        <v>5</v>
      </c>
      <c r="G1269" s="2">
        <v>12</v>
      </c>
      <c r="H1269" s="2">
        <v>999</v>
      </c>
      <c r="I1269" s="2" t="inlineStr">
        <is>
          <t>4180</t>
        </is>
      </c>
      <c r="J1269" s="4"/>
      <c r="K1269" s="2">
        <v>80</v>
      </c>
      <c r="L1269" s="6"/>
      <c r="M1269" s="2" t="str">
        <f>IF(J1269="",ROUND(I1269*(1-IF(ISBLANK(L1269),K1269,L1269)/100),2),ROUND(J1269*(1-IF(ISBLANK(L1269),K1269,L1269)/100),2))</f>
      </c>
      <c r="N1269" s="7" t="str">
        <f>IF(NOT(AND(J1269="",L1269="")),IF(OR(AND(L1269&lt;&gt;"",NOT(ISNUMBER(L1269))),IFERROR(MOD(L1269,1),1)&gt;0,AND(ISNUMBER(L1269),OR(L1269&lt;0,L1269&gt;95))),"Введите целое число от 0 до 95",IF(OR(AND(J1269&lt;&gt;"",NOT(ISNUMBER(J1269))),IFERROR(MOD(J1269,1),1)&gt;0,AND(ISNUMBER(J1269),OR(J1269&lt;50,J1269&gt;20000000))),"Введите целое число от 50 до 20000000",IF(NOT(ABS(IFERROR(VALUE(LEFT(M1269,FIND("-",M1269)-1)),M1269)*100-(2500+2000000000)/2)&lt;=ABS(2500-2000000000)/2),"Цена со скидкой должна быть от 25 до 20000000",IF(AND(IFERROR(VALUE(LEFT(M1269,FIND("-",M1269)-1)),M1269)*150&lt;=83599,IFERROR(VALUE(LEFT(M1269,FIND("-",M1269)-1)),M1269)*200&gt;83599),"Вы уменьшили цену в несколько раз, товар попадет в карантин цен",IF(IFERROR(VALUE(LEFT(M1269,FIND("-",M1269)-1)),M1269)*200&lt;=83599,"Не сохранили изменения, чтобы защитить от ошибки — новые цены меньше текущих более чем в 2 раза. Снижайте их постепенно",IF(AND(IFERROR(VALUE(I1269),0)=0,ISNUMBER(J1269),OR(J1269&lt;227,ABS(IFERROR(VALUE(LEFT(M1269,FIND("-",M1269)-1)),M1269))*100&lt;22700)),"Проверьте цену товара. Большинство товаров в выбранной категории стоят дороже 227","")))))),"")</f>
      </c>
    </row>
    <row r="1270">
      <c r="A1270" s="2" t="inlineStr">
        <is>
          <t/>
        </is>
      </c>
      <c r="B1270" s="2" t="inlineStr">
        <is>
          <t>Лотки для приборов</t>
        </is>
      </c>
      <c r="C1270" s="2">
        <v>619261000</v>
      </c>
      <c r="D1270" s="2" t="inlineStr">
        <is>
          <t>456708</t>
        </is>
      </c>
      <c r="E1270" s="2" t="inlineStr">
        <is>
          <t>2047320885465</t>
        </is>
      </c>
      <c r="F1270" s="2">
        <v>0</v>
      </c>
      <c r="G1270" s="2">
        <v>0</v>
      </c>
      <c r="H1270" s="2" t="inlineStr">
        <is>
          <t/>
        </is>
      </c>
      <c r="I1270" s="2" t="inlineStr">
        <is>
          <t>6355</t>
        </is>
      </c>
      <c r="J1270" s="4"/>
      <c r="K1270" s="2">
        <v>65</v>
      </c>
      <c r="L1270" s="6"/>
      <c r="M1270" s="2" t="str">
        <f>IF(J1270="",ROUND(I1270*(1-IF(ISBLANK(L1270),K1270,L1270)/100),2),ROUND(J1270*(1-IF(ISBLANK(L1270),K1270,L1270)/100),2))</f>
      </c>
      <c r="N1270" s="7" t="str">
        <f>IF(NOT(AND(J1270="",L1270="")),IF(OR(AND(L1270&lt;&gt;"",NOT(ISNUMBER(L1270))),IFERROR(MOD(L1270,1),1)&gt;0,AND(ISNUMBER(L1270),OR(L1270&lt;0,L1270&gt;95))),"Введите целое число от 0 до 95",IF(OR(AND(J1270&lt;&gt;"",NOT(ISNUMBER(J1270))),IFERROR(MOD(J1270,1),1)&gt;0,AND(ISNUMBER(J1270),OR(J1270&lt;50,J1270&gt;20000000))),"Введите целое число от 50 до 20000000",IF(NOT(ABS(IFERROR(VALUE(LEFT(M1270,FIND("-",M1270)-1)),M1270)*100-(2500+2000000000)/2)&lt;=ABS(2500-2000000000)/2),"Цена со скидкой должна быть от 25 до 20000000",IF(AND(IFERROR(VALUE(LEFT(M1270,FIND("-",M1270)-1)),M1270)*150&lt;=222425,IFERROR(VALUE(LEFT(M1270,FIND("-",M1270)-1)),M1270)*200&gt;222425),"Вы уменьшили цену в несколько раз, товар попадет в карантин цен",IF(IFERROR(VALUE(LEFT(M1270,FIND("-",M1270)-1)),M1270)*200&lt;=222425,"Не сохранили изменения, чтобы защитить от ошибки — новые цены меньше текущих более чем в 2 раза. Снижайте их постепенно",IF(AND(IFERROR(VALUE(I1270),0)=0,ISNUMBER(J1270),OR(J1270&lt;242,ABS(IFERROR(VALUE(LEFT(M1270,FIND("-",M1270)-1)),M1270))*100&lt;24200)),"Проверьте цену товара. Большинство товаров в выбранной категории стоят дороже 242","")))))),"")</f>
      </c>
    </row>
    <row r="1271">
      <c r="A1271" s="2" t="inlineStr">
        <is>
          <t>SAKURA (бытовая техника)</t>
        </is>
      </c>
      <c r="B1271" s="2" t="inlineStr">
        <is>
          <t>Триммеры</t>
        </is>
      </c>
      <c r="C1271" s="2">
        <v>326603358</v>
      </c>
      <c r="D1271" s="2" t="inlineStr">
        <is>
          <t>192487</t>
        </is>
      </c>
      <c r="E1271" s="2" t="inlineStr">
        <is>
          <t>2042761966803</t>
        </is>
      </c>
      <c r="F1271" s="2">
        <v>44</v>
      </c>
      <c r="G1271" s="2">
        <v>0</v>
      </c>
      <c r="H1271" s="2">
        <v>999</v>
      </c>
      <c r="I1271" s="2" t="inlineStr">
        <is>
          <t>6230</t>
        </is>
      </c>
      <c r="J1271" s="4"/>
      <c r="K1271" s="2">
        <v>88</v>
      </c>
      <c r="L1271" s="6"/>
      <c r="M1271" s="2" t="str">
        <f>IF(J1271="",ROUND(I1271*(1-IF(ISBLANK(L1271),K1271,L1271)/100),2),ROUND(J1271*(1-IF(ISBLANK(L1271),K1271,L1271)/100),2))</f>
      </c>
      <c r="N1271" s="7" t="str">
        <f>IF(NOT(AND(J1271="",L1271="")),IF(OR(AND(L1271&lt;&gt;"",NOT(ISNUMBER(L1271))),IFERROR(MOD(L1271,1),1)&gt;0,AND(ISNUMBER(L1271),OR(L1271&lt;0,L1271&gt;95))),"Введите целое число от 0 до 95",IF(OR(AND(J1271&lt;&gt;"",NOT(ISNUMBER(J1271))),IFERROR(MOD(J1271,1),1)&gt;0,AND(ISNUMBER(J1271),OR(J1271&lt;50,J1271&gt;20000000))),"Введите целое число от 50 до 20000000",IF(NOT(ABS(IFERROR(VALUE(LEFT(M1271,FIND("-",M1271)-1)),M1271)*100-(2500+2000000000)/2)&lt;=ABS(2500-2000000000)/2),"Цена со скидкой должна быть от 25 до 20000000",IF(AND(IFERROR(VALUE(LEFT(M1271,FIND("-",M1271)-1)),M1271)*150&lt;=74760,IFERROR(VALUE(LEFT(M1271,FIND("-",M1271)-1)),M1271)*200&gt;74760),"Вы уменьшили цену в несколько раз, товар попадет в карантин цен",IF(IFERROR(VALUE(LEFT(M1271,FIND("-",M1271)-1)),M1271)*200&lt;=74760,"Не сохранили изменения, чтобы защитить от ошибки — новые цены меньше текущих более чем в 2 раза. Снижайте их постепенно",IF(AND(IFERROR(VALUE(I1271),0)=0,ISNUMBER(J1271),OR(J1271&lt;358,ABS(IFERROR(VALUE(LEFT(M1271,FIND("-",M1271)-1)),M1271))*100&lt;35800)),"Проверьте цену товара. Большинство товаров в выбранной категории стоят дороже 358","")))))),"")</f>
      </c>
    </row>
    <row r="1272">
      <c r="A1272" s="2" t="inlineStr">
        <is>
          <t>Luxaro</t>
        </is>
      </c>
      <c r="B1272" s="2" t="inlineStr">
        <is>
          <t>Триммеры</t>
        </is>
      </c>
      <c r="C1272" s="2">
        <v>430134125</v>
      </c>
      <c r="D1272" s="2" t="inlineStr">
        <is>
          <t>192531</t>
        </is>
      </c>
      <c r="E1272" s="2" t="inlineStr">
        <is>
          <t>4670294455303</t>
        </is>
      </c>
      <c r="F1272" s="2">
        <v>922</v>
      </c>
      <c r="G1272" s="2">
        <v>1417</v>
      </c>
      <c r="H1272" s="2">
        <v>209</v>
      </c>
      <c r="I1272" s="2" t="inlineStr">
        <is>
          <t>3458</t>
        </is>
      </c>
      <c r="J1272" s="4"/>
      <c r="K1272" s="2">
        <v>77</v>
      </c>
      <c r="L1272" s="6"/>
      <c r="M1272" s="2" t="str">
        <f>IF(J1272="",ROUND(I1272*(1-IF(ISBLANK(L1272),K1272,L1272)/100),2),ROUND(J1272*(1-IF(ISBLANK(L1272),K1272,L1272)/100),2))</f>
      </c>
      <c r="N1272" s="7" t="str">
        <f>IF(NOT(AND(J1272="",L1272="")),IF(OR(AND(L1272&lt;&gt;"",NOT(ISNUMBER(L1272))),IFERROR(MOD(L1272,1),1)&gt;0,AND(ISNUMBER(L1272),OR(L1272&lt;0,L1272&gt;95))),"Введите целое число от 0 до 95",IF(OR(AND(J1272&lt;&gt;"",NOT(ISNUMBER(J1272))),IFERROR(MOD(J1272,1),1)&gt;0,AND(ISNUMBER(J1272),OR(J1272&lt;50,J1272&gt;20000000))),"Введите целое число от 50 до 20000000",IF(NOT(ABS(IFERROR(VALUE(LEFT(M1272,FIND("-",M1272)-1)),M1272)*100-(2500+2000000000)/2)&lt;=ABS(2500-2000000000)/2),"Цена со скидкой должна быть от 25 до 20000000",IF(AND(IFERROR(VALUE(LEFT(M1272,FIND("-",M1272)-1)),M1272)*150&lt;=79533,IFERROR(VALUE(LEFT(M1272,FIND("-",M1272)-1)),M1272)*200&gt;79533),"Вы уменьшили цену в несколько раз, товар попадет в карантин цен",IF(IFERROR(VALUE(LEFT(M1272,FIND("-",M1272)-1)),M1272)*200&lt;=79533,"Не сохранили изменения, чтобы защитить от ошибки — новые цены меньше текущих более чем в 2 раза. Снижайте их постепенно",IF(AND(IFERROR(VALUE(I1272),0)=0,ISNUMBER(J1272),OR(J1272&lt;358,ABS(IFERROR(VALUE(LEFT(M1272,FIND("-",M1272)-1)),M1272))*100&lt;35800)),"Проверьте цену товара. Большинство товаров в выбранной категории стоят дороже 358","")))))),"")</f>
      </c>
    </row>
    <row r="1273">
      <c r="A1273" s="2" t="inlineStr">
        <is>
          <t>Luxaro</t>
        </is>
      </c>
      <c r="B1273" s="2" t="inlineStr">
        <is>
          <t>Выпрямители волос</t>
        </is>
      </c>
      <c r="C1273" s="2">
        <v>430065416</v>
      </c>
      <c r="D1273" s="2" t="inlineStr">
        <is>
          <t>192528</t>
        </is>
      </c>
      <c r="E1273" s="2" t="inlineStr">
        <is>
          <t>4670294455594</t>
        </is>
      </c>
      <c r="F1273" s="2">
        <v>555</v>
      </c>
      <c r="G1273" s="2">
        <v>607</v>
      </c>
      <c r="H1273" s="2">
        <v>221</v>
      </c>
      <c r="I1273" s="2" t="inlineStr">
        <is>
          <t>2873</t>
        </is>
      </c>
      <c r="J1273" s="4"/>
      <c r="K1273" s="2">
        <v>72</v>
      </c>
      <c r="L1273" s="6"/>
      <c r="M1273" s="2" t="str">
        <f>IF(J1273="",ROUND(I1273*(1-IF(ISBLANK(L1273),K1273,L1273)/100),2),ROUND(J1273*(1-IF(ISBLANK(L1273),K1273,L1273)/100),2))</f>
      </c>
      <c r="N1273" s="7" t="str">
        <f>IF(NOT(AND(J1273="",L1273="")),IF(OR(AND(L1273&lt;&gt;"",NOT(ISNUMBER(L1273))),IFERROR(MOD(L1273,1),1)&gt;0,AND(ISNUMBER(L1273),OR(L1273&lt;0,L1273&gt;95))),"Введите целое число от 0 до 95",IF(OR(AND(J1273&lt;&gt;"",NOT(ISNUMBER(J1273))),IFERROR(MOD(J1273,1),1)&gt;0,AND(ISNUMBER(J1273),OR(J1273&lt;50,J1273&gt;20000000))),"Введите целое число от 50 до 20000000",IF(NOT(ABS(IFERROR(VALUE(LEFT(M1273,FIND("-",M1273)-1)),M1273)*100-(2500+2000000000)/2)&lt;=ABS(2500-2000000000)/2),"Цена со скидкой должна быть от 25 до 20000000",IF(AND(IFERROR(VALUE(LEFT(M1273,FIND("-",M1273)-1)),M1273)*150&lt;=80444,IFERROR(VALUE(LEFT(M1273,FIND("-",M1273)-1)),M1273)*200&gt;80444),"Вы уменьшили цену в несколько раз, товар попадет в карантин цен",IF(IFERROR(VALUE(LEFT(M1273,FIND("-",M1273)-1)),M1273)*200&lt;=80444,"Не сохранили изменения, чтобы защитить от ошибки — новые цены меньше текущих более чем в 2 раза. Снижайте их постепенно",IF(AND(IFERROR(VALUE(I1273),0)=0,ISNUMBER(J1273),OR(J1273&lt;467,ABS(IFERROR(VALUE(LEFT(M1273,FIND("-",M1273)-1)),M1273))*100&lt;46700)),"Проверьте цену товара. Большинство товаров в выбранной категории стоят дороже 467","")))))),"")</f>
      </c>
    </row>
    <row r="1274">
      <c r="A1274" s="2" t="inlineStr">
        <is>
          <t/>
        </is>
      </c>
      <c r="B1274" s="2" t="inlineStr">
        <is>
          <t>Ножи кухонные</t>
        </is>
      </c>
      <c r="C1274" s="2">
        <v>727124418</v>
      </c>
      <c r="D1274" s="2" t="inlineStr">
        <is>
          <t>36217</t>
        </is>
      </c>
      <c r="E1274" s="2" t="inlineStr">
        <is>
          <t>2048060226730</t>
        </is>
      </c>
      <c r="F1274" s="2">
        <v>3</v>
      </c>
      <c r="G1274" s="2">
        <v>13</v>
      </c>
      <c r="H1274" s="2">
        <v>999</v>
      </c>
      <c r="I1274" s="2" t="inlineStr">
        <is>
          <t>4068</t>
        </is>
      </c>
      <c r="J1274" s="4"/>
      <c r="K1274" s="2">
        <v>81</v>
      </c>
      <c r="L1274" s="6"/>
      <c r="M1274" s="2" t="str">
        <f>IF(J1274="",ROUND(I1274*(1-IF(ISBLANK(L1274),K1274,L1274)/100),2),ROUND(J1274*(1-IF(ISBLANK(L1274),K1274,L1274)/100),2))</f>
      </c>
      <c r="N1274" s="7" t="str">
        <f>IF(NOT(AND(J1274="",L1274="")),IF(OR(AND(L1274&lt;&gt;"",NOT(ISNUMBER(L1274))),IFERROR(MOD(L1274,1),1)&gt;0,AND(ISNUMBER(L1274),OR(L1274&lt;0,L1274&gt;95))),"Введите целое число от 0 до 95",IF(OR(AND(J1274&lt;&gt;"",NOT(ISNUMBER(J1274))),IFERROR(MOD(J1274,1),1)&gt;0,AND(ISNUMBER(J1274),OR(J1274&lt;50,J1274&gt;20000000))),"Введите целое число от 50 до 20000000",IF(NOT(ABS(IFERROR(VALUE(LEFT(M1274,FIND("-",M1274)-1)),M1274)*100-(2500+2000000000)/2)&lt;=ABS(2500-2000000000)/2),"Цена со скидкой должна быть от 25 до 20000000",IF(AND(IFERROR(VALUE(LEFT(M1274,FIND("-",M1274)-1)),M1274)*150&lt;=77291,IFERROR(VALUE(LEFT(M1274,FIND("-",M1274)-1)),M1274)*200&gt;77291),"Вы уменьшили цену в несколько раз, товар попадет в карантин цен",IF(IFERROR(VALUE(LEFT(M1274,FIND("-",M1274)-1)),M1274)*200&lt;=77291,"Не сохранили изменения, чтобы защитить от ошибки — новые цены меньше текущих более чем в 2 раза. Снижайте их постепенно",IF(AND(IFERROR(VALUE(I1274),0)=0,ISNUMBER(J1274),OR(J1274&lt;318,ABS(IFERROR(VALUE(LEFT(M1274,FIND("-",M1274)-1)),M1274))*100&lt;31800)),"Проверьте цену товара. Большинство товаров в выбранной категории стоят дороже 318","")))))),"")</f>
      </c>
    </row>
    <row r="1275">
      <c r="A1275" s="2" t="inlineStr">
        <is>
          <t/>
        </is>
      </c>
      <c r="B1275" s="2" t="inlineStr">
        <is>
          <t>Ножи кухонные</t>
        </is>
      </c>
      <c r="C1275" s="2">
        <v>727124412</v>
      </c>
      <c r="D1275" s="2" t="inlineStr">
        <is>
          <t>36665</t>
        </is>
      </c>
      <c r="E1275" s="2" t="inlineStr">
        <is>
          <t>2048060226624</t>
        </is>
      </c>
      <c r="F1275" s="2">
        <v>0</v>
      </c>
      <c r="G1275" s="2">
        <v>10</v>
      </c>
      <c r="H1275" s="2" t="inlineStr">
        <is>
          <t/>
        </is>
      </c>
      <c r="I1275" s="2" t="inlineStr">
        <is>
          <t>5729</t>
        </is>
      </c>
      <c r="J1275" s="4"/>
      <c r="K1275" s="2">
        <v>81</v>
      </c>
      <c r="L1275" s="6"/>
      <c r="M1275" s="2" t="str">
        <f>IF(J1275="",ROUND(I1275*(1-IF(ISBLANK(L1275),K1275,L1275)/100),2),ROUND(J1275*(1-IF(ISBLANK(L1275),K1275,L1275)/100),2))</f>
      </c>
      <c r="N1275" s="7" t="str">
        <f>IF(NOT(AND(J1275="",L1275="")),IF(OR(AND(L1275&lt;&gt;"",NOT(ISNUMBER(L1275))),IFERROR(MOD(L1275,1),1)&gt;0,AND(ISNUMBER(L1275),OR(L1275&lt;0,L1275&gt;95))),"Введите целое число от 0 до 95",IF(OR(AND(J1275&lt;&gt;"",NOT(ISNUMBER(J1275))),IFERROR(MOD(J1275,1),1)&gt;0,AND(ISNUMBER(J1275),OR(J1275&lt;50,J1275&gt;20000000))),"Введите целое число от 50 до 20000000",IF(NOT(ABS(IFERROR(VALUE(LEFT(M1275,FIND("-",M1275)-1)),M1275)*100-(2500+2000000000)/2)&lt;=ABS(2500-2000000000)/2),"Цена со скидкой должна быть от 25 до 20000000",IF(AND(IFERROR(VALUE(LEFT(M1275,FIND("-",M1275)-1)),M1275)*150&lt;=108850,IFERROR(VALUE(LEFT(M1275,FIND("-",M1275)-1)),M1275)*200&gt;108850),"Вы уменьшили цену в несколько раз, товар попадет в карантин цен",IF(IFERROR(VALUE(LEFT(M1275,FIND("-",M1275)-1)),M1275)*200&lt;=108850,"Не сохранили изменения, чтобы защитить от ошибки — новые цены меньше текущих более чем в 2 раза. Снижайте их постепенно",IF(AND(IFERROR(VALUE(I1275),0)=0,ISNUMBER(J1275),OR(J1275&lt;318,ABS(IFERROR(VALUE(LEFT(M1275,FIND("-",M1275)-1)),M1275))*100&lt;31800)),"Проверьте цену товара. Большинство товаров в выбранной категории стоят дороже 318","")))))),"")</f>
      </c>
    </row>
    <row r="1276">
      <c r="A1276" s="2" t="inlineStr">
        <is>
          <t>SAKURA (бытовая техника)</t>
        </is>
      </c>
      <c r="B1276" s="2" t="inlineStr">
        <is>
          <t>Триммеры</t>
        </is>
      </c>
      <c r="C1276" s="2">
        <v>318410463</v>
      </c>
      <c r="D1276" s="2" t="inlineStr">
        <is>
          <t>191872</t>
        </is>
      </c>
      <c r="E1276" s="2" t="inlineStr">
        <is>
          <t>2042608216245</t>
        </is>
      </c>
      <c r="F1276" s="2">
        <v>34</v>
      </c>
      <c r="G1276" s="2">
        <v>0</v>
      </c>
      <c r="H1276" s="2">
        <v>999</v>
      </c>
      <c r="I1276" s="2" t="inlineStr">
        <is>
          <t>5120</t>
        </is>
      </c>
      <c r="J1276" s="4"/>
      <c r="K1276" s="2">
        <v>82</v>
      </c>
      <c r="L1276" s="6"/>
      <c r="M1276" s="2" t="str">
        <f>IF(J1276="",ROUND(I1276*(1-IF(ISBLANK(L1276),K1276,L1276)/100),2),ROUND(J1276*(1-IF(ISBLANK(L1276),K1276,L1276)/100),2))</f>
      </c>
      <c r="N1276" s="7" t="str">
        <f>IF(NOT(AND(J1276="",L1276="")),IF(OR(AND(L1276&lt;&gt;"",NOT(ISNUMBER(L1276))),IFERROR(MOD(L1276,1),1)&gt;0,AND(ISNUMBER(L1276),OR(L1276&lt;0,L1276&gt;95))),"Введите целое число от 0 до 95",IF(OR(AND(J1276&lt;&gt;"",NOT(ISNUMBER(J1276))),IFERROR(MOD(J1276,1),1)&gt;0,AND(ISNUMBER(J1276),OR(J1276&lt;50,J1276&gt;20000000))),"Введите целое число от 50 до 20000000",IF(NOT(ABS(IFERROR(VALUE(LEFT(M1276,FIND("-",M1276)-1)),M1276)*100-(2500+2000000000)/2)&lt;=ABS(2500-2000000000)/2),"Цена со скидкой должна быть от 25 до 20000000",IF(AND(IFERROR(VALUE(LEFT(M1276,FIND("-",M1276)-1)),M1276)*150&lt;=92160,IFERROR(VALUE(LEFT(M1276,FIND("-",M1276)-1)),M1276)*200&gt;92160),"Вы уменьшили цену в несколько раз, товар попадет в карантин цен",IF(IFERROR(VALUE(LEFT(M1276,FIND("-",M1276)-1)),M1276)*200&lt;=92160,"Не сохранили изменения, чтобы защитить от ошибки — новые цены меньше текущих более чем в 2 раза. Снижайте их постепенно",IF(AND(IFERROR(VALUE(I1276),0)=0,ISNUMBER(J1276),OR(J1276&lt;358,ABS(IFERROR(VALUE(LEFT(M1276,FIND("-",M1276)-1)),M1276))*100&lt;35800)),"Проверьте цену товара. Большинство товаров в выбранной категории стоят дороже 358","")))))),"")</f>
      </c>
    </row>
    <row r="1277">
      <c r="A1277" s="2" t="inlineStr">
        <is>
          <t/>
        </is>
      </c>
      <c r="B1277" s="2" t="inlineStr">
        <is>
          <t>Ножи кухонные</t>
        </is>
      </c>
      <c r="C1277" s="2">
        <v>600639366</v>
      </c>
      <c r="D1277" s="2" t="inlineStr">
        <is>
          <t>820121</t>
        </is>
      </c>
      <c r="E1277" s="2" t="inlineStr">
        <is>
          <t>2047129194614</t>
        </is>
      </c>
      <c r="F1277" s="2">
        <v>0</v>
      </c>
      <c r="G1277" s="2">
        <v>6</v>
      </c>
      <c r="H1277" s="2" t="inlineStr">
        <is>
          <t/>
        </is>
      </c>
      <c r="I1277" s="2" t="inlineStr">
        <is>
          <t>9426</t>
        </is>
      </c>
      <c r="J1277" s="4"/>
      <c r="K1277" s="2">
        <v>77</v>
      </c>
      <c r="L1277" s="6"/>
      <c r="M1277" s="2" t="str">
        <f>IF(J1277="",ROUND(I1277*(1-IF(ISBLANK(L1277),K1277,L1277)/100),2),ROUND(J1277*(1-IF(ISBLANK(L1277),K1277,L1277)/100),2))</f>
      </c>
      <c r="N1277" s="7" t="str">
        <f>IF(NOT(AND(J1277="",L1277="")),IF(OR(AND(L1277&lt;&gt;"",NOT(ISNUMBER(L1277))),IFERROR(MOD(L1277,1),1)&gt;0,AND(ISNUMBER(L1277),OR(L1277&lt;0,L1277&gt;95))),"Введите целое число от 0 до 95",IF(OR(AND(J1277&lt;&gt;"",NOT(ISNUMBER(J1277))),IFERROR(MOD(J1277,1),1)&gt;0,AND(ISNUMBER(J1277),OR(J1277&lt;50,J1277&gt;20000000))),"Введите целое число от 50 до 20000000",IF(NOT(ABS(IFERROR(VALUE(LEFT(M1277,FIND("-",M1277)-1)),M1277)*100-(2500+2000000000)/2)&lt;=ABS(2500-2000000000)/2),"Цена со скидкой должна быть от 25 до 20000000",IF(AND(IFERROR(VALUE(LEFT(M1277,FIND("-",M1277)-1)),M1277)*150&lt;=216798,IFERROR(VALUE(LEFT(M1277,FIND("-",M1277)-1)),M1277)*200&gt;216798),"Вы уменьшили цену в несколько раз, товар попадет в карантин цен",IF(IFERROR(VALUE(LEFT(M1277,FIND("-",M1277)-1)),M1277)*200&lt;=216798,"Не сохранили изменения, чтобы защитить от ошибки — новые цены меньше текущих более чем в 2 раза. Снижайте их постепенно",IF(AND(IFERROR(VALUE(I1277),0)=0,ISNUMBER(J1277),OR(J1277&lt;318,ABS(IFERROR(VALUE(LEFT(M1277,FIND("-",M1277)-1)),M1277))*100&lt;31800)),"Проверьте цену товара. Большинство товаров в выбранной категории стоят дороже 318","")))))),"")</f>
      </c>
    </row>
    <row r="1278">
      <c r="A1278" s="2" t="inlineStr">
        <is>
          <t>Pasabahce</t>
        </is>
      </c>
      <c r="B1278" s="2" t="inlineStr">
        <is>
          <t>Графины</t>
        </is>
      </c>
      <c r="C1278" s="2">
        <v>253395866</v>
      </c>
      <c r="D1278" s="2" t="inlineStr">
        <is>
          <t>121818</t>
        </is>
      </c>
      <c r="E1278" s="2" t="inlineStr">
        <is>
          <t>2040952064383</t>
        </is>
      </c>
      <c r="F1278" s="2">
        <v>1</v>
      </c>
      <c r="G1278" s="2">
        <v>12</v>
      </c>
      <c r="H1278" s="2">
        <v>15</v>
      </c>
      <c r="I1278" s="2" t="inlineStr">
        <is>
          <t>5000</t>
        </is>
      </c>
      <c r="J1278" s="4"/>
      <c r="K1278" s="2">
        <v>75</v>
      </c>
      <c r="L1278" s="6"/>
      <c r="M1278" s="2" t="str">
        <f>IF(J1278="",ROUND(I1278*(1-IF(ISBLANK(L1278),K1278,L1278)/100),2),ROUND(J1278*(1-IF(ISBLANK(L1278),K1278,L1278)/100),2))</f>
      </c>
      <c r="N1278" s="7" t="str">
        <f>IF(NOT(AND(J1278="",L1278="")),IF(OR(AND(L1278&lt;&gt;"",NOT(ISNUMBER(L1278))),IFERROR(MOD(L1278,1),1)&gt;0,AND(ISNUMBER(L1278),OR(L1278&lt;0,L1278&gt;95))),"Введите целое число от 0 до 95",IF(OR(AND(J1278&lt;&gt;"",NOT(ISNUMBER(J1278))),IFERROR(MOD(J1278,1),1)&gt;0,AND(ISNUMBER(J1278),OR(J1278&lt;50,J1278&gt;20000000))),"Введите целое число от 50 до 20000000",IF(NOT(ABS(IFERROR(VALUE(LEFT(M1278,FIND("-",M1278)-1)),M1278)*100-(2500+2000000000)/2)&lt;=ABS(2500-2000000000)/2),"Цена со скидкой должна быть от 25 до 20000000",IF(AND(IFERROR(VALUE(LEFT(M1278,FIND("-",M1278)-1)),M1278)*150&lt;=125000,IFERROR(VALUE(LEFT(M1278,FIND("-",M1278)-1)),M1278)*200&gt;125000),"Вы уменьшили цену в несколько раз, товар попадет в карантин цен",IF(IFERROR(VALUE(LEFT(M1278,FIND("-",M1278)-1)),M1278)*200&lt;=125000,"Не сохранили изменения, чтобы защитить от ошибки — новые цены меньше текущих более чем в 2 раза. Снижайте их постепенно",IF(AND(IFERROR(VALUE(I1278),0)=0,ISNUMBER(J1278),OR(J1278&lt;458,ABS(IFERROR(VALUE(LEFT(M1278,FIND("-",M1278)-1)),M1278))*100&lt;45800)),"Проверьте цену товара. Большинство товаров в выбранной категории стоят дороже 458","")))))),"")</f>
      </c>
    </row>
    <row r="1279">
      <c r="A1279" s="2" t="inlineStr">
        <is>
          <t/>
        </is>
      </c>
      <c r="B1279" s="2" t="inlineStr">
        <is>
          <t>Ножи кухонные</t>
        </is>
      </c>
      <c r="C1279" s="2">
        <v>727124416</v>
      </c>
      <c r="D1279" s="2" t="inlineStr">
        <is>
          <t>283577</t>
        </is>
      </c>
      <c r="E1279" s="2" t="inlineStr">
        <is>
          <t>2048060226693</t>
        </is>
      </c>
      <c r="F1279" s="2">
        <v>6</v>
      </c>
      <c r="G1279" s="2">
        <v>9</v>
      </c>
      <c r="H1279" s="2">
        <v>999</v>
      </c>
      <c r="I1279" s="2" t="inlineStr">
        <is>
          <t>15483</t>
        </is>
      </c>
      <c r="J1279" s="4"/>
      <c r="K1279" s="2">
        <v>80</v>
      </c>
      <c r="L1279" s="6"/>
      <c r="M1279" s="2" t="str">
        <f>IF(J1279="",ROUND(I1279*(1-IF(ISBLANK(L1279),K1279,L1279)/100),2),ROUND(J1279*(1-IF(ISBLANK(L1279),K1279,L1279)/100),2))</f>
      </c>
      <c r="N1279" s="7" t="str">
        <f>IF(NOT(AND(J1279="",L1279="")),IF(OR(AND(L1279&lt;&gt;"",NOT(ISNUMBER(L1279))),IFERROR(MOD(L1279,1),1)&gt;0,AND(ISNUMBER(L1279),OR(L1279&lt;0,L1279&gt;95))),"Введите целое число от 0 до 95",IF(OR(AND(J1279&lt;&gt;"",NOT(ISNUMBER(J1279))),IFERROR(MOD(J1279,1),1)&gt;0,AND(ISNUMBER(J1279),OR(J1279&lt;50,J1279&gt;20000000))),"Введите целое число от 50 до 20000000",IF(NOT(ABS(IFERROR(VALUE(LEFT(M1279,FIND("-",M1279)-1)),M1279)*100-(2500+2000000000)/2)&lt;=ABS(2500-2000000000)/2),"Цена со скидкой должна быть от 25 до 20000000",IF(AND(IFERROR(VALUE(LEFT(M1279,FIND("-",M1279)-1)),M1279)*150&lt;=309659,IFERROR(VALUE(LEFT(M1279,FIND("-",M1279)-1)),M1279)*200&gt;309659),"Вы уменьшили цену в несколько раз, товар попадет в карантин цен",IF(IFERROR(VALUE(LEFT(M1279,FIND("-",M1279)-1)),M1279)*200&lt;=309659,"Не сохранили изменения, чтобы защитить от ошибки — новые цены меньше текущих более чем в 2 раза. Снижайте их постепенно",IF(AND(IFERROR(VALUE(I1279),0)=0,ISNUMBER(J1279),OR(J1279&lt;318,ABS(IFERROR(VALUE(LEFT(M1279,FIND("-",M1279)-1)),M1279))*100&lt;31800)),"Проверьте цену товара. Большинство товаров в выбранной категории стоят дороже 318","")))))),"")</f>
      </c>
    </row>
    <row r="1280">
      <c r="A1280" s="2" t="inlineStr">
        <is>
          <t/>
        </is>
      </c>
      <c r="B1280" s="2" t="inlineStr">
        <is>
          <t>Ножи кухонные</t>
        </is>
      </c>
      <c r="C1280" s="2">
        <v>727124423</v>
      </c>
      <c r="D1280" s="2" t="inlineStr">
        <is>
          <t>36759</t>
        </is>
      </c>
      <c r="E1280" s="2" t="inlineStr">
        <is>
          <t>2048060226846</t>
        </is>
      </c>
      <c r="F1280" s="2">
        <v>0</v>
      </c>
      <c r="G1280" s="2">
        <v>3</v>
      </c>
      <c r="H1280" s="2" t="inlineStr">
        <is>
          <t/>
        </is>
      </c>
      <c r="I1280" s="2" t="inlineStr">
        <is>
          <t>3416</t>
        </is>
      </c>
      <c r="J1280" s="4"/>
      <c r="K1280" s="2">
        <v>81</v>
      </c>
      <c r="L1280" s="6"/>
      <c r="M1280" s="2" t="str">
        <f>IF(J1280="",ROUND(I1280*(1-IF(ISBLANK(L1280),K1280,L1280)/100),2),ROUND(J1280*(1-IF(ISBLANK(L1280),K1280,L1280)/100),2))</f>
      </c>
      <c r="N1280" s="7" t="str">
        <f>IF(NOT(AND(J1280="",L1280="")),IF(OR(AND(L1280&lt;&gt;"",NOT(ISNUMBER(L1280))),IFERROR(MOD(L1280,1),1)&gt;0,AND(ISNUMBER(L1280),OR(L1280&lt;0,L1280&gt;95))),"Введите целое число от 0 до 95",IF(OR(AND(J1280&lt;&gt;"",NOT(ISNUMBER(J1280))),IFERROR(MOD(J1280,1),1)&gt;0,AND(ISNUMBER(J1280),OR(J1280&lt;50,J1280&gt;20000000))),"Введите целое число от 50 до 20000000",IF(NOT(ABS(IFERROR(VALUE(LEFT(M1280,FIND("-",M1280)-1)),M1280)*100-(2500+2000000000)/2)&lt;=ABS(2500-2000000000)/2),"Цена со скидкой должна быть от 25 до 20000000",IF(AND(IFERROR(VALUE(LEFT(M1280,FIND("-",M1280)-1)),M1280)*150&lt;=64903,IFERROR(VALUE(LEFT(M1280,FIND("-",M1280)-1)),M1280)*200&gt;64903),"Вы уменьшили цену в несколько раз, товар попадет в карантин цен",IF(IFERROR(VALUE(LEFT(M1280,FIND("-",M1280)-1)),M1280)*200&lt;=64903,"Не сохранили изменения, чтобы защитить от ошибки — новые цены меньше текущих более чем в 2 раза. Снижайте их постепенно",IF(AND(IFERROR(VALUE(I1280),0)=0,ISNUMBER(J1280),OR(J1280&lt;318,ABS(IFERROR(VALUE(LEFT(M1280,FIND("-",M1280)-1)),M1280))*100&lt;31800)),"Проверьте цену товара. Большинство товаров в выбранной категории стоят дороже 318","")))))),"")</f>
      </c>
    </row>
    <row r="1281">
      <c r="A1281" s="2" t="inlineStr">
        <is>
          <t>Pasabahce</t>
        </is>
      </c>
      <c r="B1281" s="2" t="inlineStr">
        <is>
          <t>Графины</t>
        </is>
      </c>
      <c r="C1281" s="2">
        <v>251255396</v>
      </c>
      <c r="D1281" s="2" t="inlineStr">
        <is>
          <t>120757</t>
        </is>
      </c>
      <c r="E1281" s="2" t="inlineStr">
        <is>
          <t>2040892815373</t>
        </is>
      </c>
      <c r="F1281" s="2">
        <v>0</v>
      </c>
      <c r="G1281" s="2">
        <v>0</v>
      </c>
      <c r="H1281" s="2">
        <v>1</v>
      </c>
      <c r="I1281" s="2" t="inlineStr">
        <is>
          <t>3474</t>
        </is>
      </c>
      <c r="J1281" s="4"/>
      <c r="K1281" s="2">
        <v>65</v>
      </c>
      <c r="L1281" s="6"/>
      <c r="M1281" s="2" t="str">
        <f>IF(J1281="",ROUND(I1281*(1-IF(ISBLANK(L1281),K1281,L1281)/100),2),ROUND(J1281*(1-IF(ISBLANK(L1281),K1281,L1281)/100),2))</f>
      </c>
      <c r="N1281" s="7" t="str">
        <f>IF(NOT(AND(J1281="",L1281="")),IF(OR(AND(L1281&lt;&gt;"",NOT(ISNUMBER(L1281))),IFERROR(MOD(L1281,1),1)&gt;0,AND(ISNUMBER(L1281),OR(L1281&lt;0,L1281&gt;95))),"Введите целое число от 0 до 95",IF(OR(AND(J1281&lt;&gt;"",NOT(ISNUMBER(J1281))),IFERROR(MOD(J1281,1),1)&gt;0,AND(ISNUMBER(J1281),OR(J1281&lt;50,J1281&gt;20000000))),"Введите целое число от 50 до 20000000",IF(NOT(ABS(IFERROR(VALUE(LEFT(M1281,FIND("-",M1281)-1)),M1281)*100-(2500+2000000000)/2)&lt;=ABS(2500-2000000000)/2),"Цена со скидкой должна быть от 25 до 20000000",IF(AND(IFERROR(VALUE(LEFT(M1281,FIND("-",M1281)-1)),M1281)*150&lt;=121589,IFERROR(VALUE(LEFT(M1281,FIND("-",M1281)-1)),M1281)*200&gt;121589),"Вы уменьшили цену в несколько раз, товар попадет в карантин цен",IF(IFERROR(VALUE(LEFT(M1281,FIND("-",M1281)-1)),M1281)*200&lt;=121589,"Не сохранили изменения, чтобы защитить от ошибки — новые цены меньше текущих более чем в 2 раза. Снижайте их постепенно",IF(AND(IFERROR(VALUE(I1281),0)=0,ISNUMBER(J1281),OR(J1281&lt;458,ABS(IFERROR(VALUE(LEFT(M1281,FIND("-",M1281)-1)),M1281))*100&lt;45800)),"Проверьте цену товара. Большинство товаров в выбранной категории стоят дороже 458","")))))),"")</f>
      </c>
    </row>
    <row r="1282">
      <c r="A1282" s="2" t="inlineStr">
        <is>
          <t/>
        </is>
      </c>
      <c r="B1282" s="2" t="inlineStr">
        <is>
          <t>Ножи кухонные</t>
        </is>
      </c>
      <c r="C1282" s="2">
        <v>727124413</v>
      </c>
      <c r="D1282" s="2" t="inlineStr">
        <is>
          <t>283374</t>
        </is>
      </c>
      <c r="E1282" s="2" t="inlineStr">
        <is>
          <t>2048060226648</t>
        </is>
      </c>
      <c r="F1282" s="2">
        <v>1</v>
      </c>
      <c r="G1282" s="2">
        <v>0</v>
      </c>
      <c r="H1282" s="2">
        <v>999</v>
      </c>
      <c r="I1282" s="2" t="inlineStr">
        <is>
          <t>9530</t>
        </is>
      </c>
      <c r="J1282" s="4"/>
      <c r="K1282" s="2">
        <v>83</v>
      </c>
      <c r="L1282" s="6"/>
      <c r="M1282" s="2" t="str">
        <f>IF(J1282="",ROUND(I1282*(1-IF(ISBLANK(L1282),K1282,L1282)/100),2),ROUND(J1282*(1-IF(ISBLANK(L1282),K1282,L1282)/100),2))</f>
      </c>
      <c r="N1282" s="7" t="str">
        <f>IF(NOT(AND(J1282="",L1282="")),IF(OR(AND(L1282&lt;&gt;"",NOT(ISNUMBER(L1282))),IFERROR(MOD(L1282,1),1)&gt;0,AND(ISNUMBER(L1282),OR(L1282&lt;0,L1282&gt;95))),"Введите целое число от 0 до 95",IF(OR(AND(J1282&lt;&gt;"",NOT(ISNUMBER(J1282))),IFERROR(MOD(J1282,1),1)&gt;0,AND(ISNUMBER(J1282),OR(J1282&lt;50,J1282&gt;20000000))),"Введите целое число от 50 до 20000000",IF(NOT(ABS(IFERROR(VALUE(LEFT(M1282,FIND("-",M1282)-1)),M1282)*100-(2500+2000000000)/2)&lt;=ABS(2500-2000000000)/2),"Цена со скидкой должна быть от 25 до 20000000",IF(AND(IFERROR(VALUE(LEFT(M1282,FIND("-",M1282)-1)),M1282)*150&lt;=162010,IFERROR(VALUE(LEFT(M1282,FIND("-",M1282)-1)),M1282)*200&gt;162010),"Вы уменьшили цену в несколько раз, товар попадет в карантин цен",IF(IFERROR(VALUE(LEFT(M1282,FIND("-",M1282)-1)),M1282)*200&lt;=162010,"Не сохранили изменения, чтобы защитить от ошибки — новые цены меньше текущих более чем в 2 раза. Снижайте их постепенно",IF(AND(IFERROR(VALUE(I1282),0)=0,ISNUMBER(J1282),OR(J1282&lt;318,ABS(IFERROR(VALUE(LEFT(M1282,FIND("-",M1282)-1)),M1282))*100&lt;31800)),"Проверьте цену товара. Большинство товаров в выбранной категории стоят дороже 318","")))))),"")</f>
      </c>
    </row>
    <row r="1283">
      <c r="A1283" s="2" t="inlineStr">
        <is>
          <t/>
        </is>
      </c>
      <c r="B1283" s="2" t="inlineStr">
        <is>
          <t>Ножи кухонные</t>
        </is>
      </c>
      <c r="C1283" s="2">
        <v>600639369</v>
      </c>
      <c r="D1283" s="2" t="inlineStr">
        <is>
          <t>821143</t>
        </is>
      </c>
      <c r="E1283" s="2" t="inlineStr">
        <is>
          <t>2047129194645</t>
        </is>
      </c>
      <c r="F1283" s="2">
        <v>0</v>
      </c>
      <c r="G1283" s="2">
        <v>0</v>
      </c>
      <c r="H1283" s="2" t="inlineStr">
        <is>
          <t/>
        </is>
      </c>
      <c r="I1283" s="2" t="inlineStr">
        <is>
          <t>25577</t>
        </is>
      </c>
      <c r="J1283" s="4"/>
      <c r="K1283" s="2">
        <v>65</v>
      </c>
      <c r="L1283" s="6"/>
      <c r="M1283" s="2" t="str">
        <f>IF(J1283="",ROUND(I1283*(1-IF(ISBLANK(L1283),K1283,L1283)/100),2),ROUND(J1283*(1-IF(ISBLANK(L1283),K1283,L1283)/100),2))</f>
      </c>
      <c r="N1283" s="7" t="str">
        <f>IF(NOT(AND(J1283="",L1283="")),IF(OR(AND(L1283&lt;&gt;"",NOT(ISNUMBER(L1283))),IFERROR(MOD(L1283,1),1)&gt;0,AND(ISNUMBER(L1283),OR(L1283&lt;0,L1283&gt;95))),"Введите целое число от 0 до 95",IF(OR(AND(J1283&lt;&gt;"",NOT(ISNUMBER(J1283))),IFERROR(MOD(J1283,1),1)&gt;0,AND(ISNUMBER(J1283),OR(J1283&lt;50,J1283&gt;20000000))),"Введите целое число от 50 до 20000000",IF(NOT(ABS(IFERROR(VALUE(LEFT(M1283,FIND("-",M1283)-1)),M1283)*100-(2500+2000000000)/2)&lt;=ABS(2500-2000000000)/2),"Цена со скидкой должна быть от 25 до 20000000",IF(AND(IFERROR(VALUE(LEFT(M1283,FIND("-",M1283)-1)),M1283)*150&lt;=895194,IFERROR(VALUE(LEFT(M1283,FIND("-",M1283)-1)),M1283)*200&gt;895194),"Вы уменьшили цену в несколько раз, товар попадет в карантин цен",IF(IFERROR(VALUE(LEFT(M1283,FIND("-",M1283)-1)),M1283)*200&lt;=895194,"Не сохранили изменения, чтобы защитить от ошибки — новые цены меньше текущих более чем в 2 раза. Снижайте их постепенно",IF(AND(IFERROR(VALUE(I1283),0)=0,ISNUMBER(J1283),OR(J1283&lt;318,ABS(IFERROR(VALUE(LEFT(M1283,FIND("-",M1283)-1)),M1283))*100&lt;31800)),"Проверьте цену товара. Большинство товаров в выбранной категории стоят дороже 318","")))))),"")</f>
      </c>
    </row>
    <row r="1284">
      <c r="A1284" s="2" t="inlineStr">
        <is>
          <t/>
        </is>
      </c>
      <c r="B1284" s="2" t="inlineStr">
        <is>
          <t>Ножи кухонные</t>
        </is>
      </c>
      <c r="C1284" s="2">
        <v>727124417</v>
      </c>
      <c r="D1284" s="2" t="inlineStr">
        <is>
          <t>36695</t>
        </is>
      </c>
      <c r="E1284" s="2" t="inlineStr">
        <is>
          <t>2048060226716</t>
        </is>
      </c>
      <c r="F1284" s="2">
        <v>0</v>
      </c>
      <c r="G1284" s="2">
        <v>36</v>
      </c>
      <c r="H1284" s="2" t="inlineStr">
        <is>
          <t/>
        </is>
      </c>
      <c r="I1284" s="2" t="inlineStr">
        <is>
          <t>2072</t>
        </is>
      </c>
      <c r="J1284" s="4"/>
      <c r="K1284" s="2">
        <v>78</v>
      </c>
      <c r="L1284" s="6"/>
      <c r="M1284" s="2" t="str">
        <f>IF(J1284="",ROUND(I1284*(1-IF(ISBLANK(L1284),K1284,L1284)/100),2),ROUND(J1284*(1-IF(ISBLANK(L1284),K1284,L1284)/100),2))</f>
      </c>
      <c r="N1284" s="7" t="str">
        <f>IF(NOT(AND(J1284="",L1284="")),IF(OR(AND(L1284&lt;&gt;"",NOT(ISNUMBER(L1284))),IFERROR(MOD(L1284,1),1)&gt;0,AND(ISNUMBER(L1284),OR(L1284&lt;0,L1284&gt;95))),"Введите целое число от 0 до 95",IF(OR(AND(J1284&lt;&gt;"",NOT(ISNUMBER(J1284))),IFERROR(MOD(J1284,1),1)&gt;0,AND(ISNUMBER(J1284),OR(J1284&lt;50,J1284&gt;20000000))),"Введите целое число от 50 до 20000000",IF(NOT(ABS(IFERROR(VALUE(LEFT(M1284,FIND("-",M1284)-1)),M1284)*100-(2500+2000000000)/2)&lt;=ABS(2500-2000000000)/2),"Цена со скидкой должна быть от 25 до 20000000",IF(AND(IFERROR(VALUE(LEFT(M1284,FIND("-",M1284)-1)),M1284)*150&lt;=45583,IFERROR(VALUE(LEFT(M1284,FIND("-",M1284)-1)),M1284)*200&gt;45583),"Вы уменьшили цену в несколько раз, товар попадет в карантин цен",IF(IFERROR(VALUE(LEFT(M1284,FIND("-",M1284)-1)),M1284)*200&lt;=45583,"Не сохранили изменения, чтобы защитить от ошибки — новые цены меньше текущих более чем в 2 раза. Снижайте их постепенно",IF(AND(IFERROR(VALUE(I1284),0)=0,ISNUMBER(J1284),OR(J1284&lt;318,ABS(IFERROR(VALUE(LEFT(M1284,FIND("-",M1284)-1)),M1284))*100&lt;31800)),"Проверьте цену товара. Большинство товаров в выбранной категории стоят дороже 318","")))))),"")</f>
      </c>
    </row>
    <row r="1285">
      <c r="A1285" s="2" t="inlineStr">
        <is>
          <t/>
        </is>
      </c>
      <c r="B1285" s="2" t="inlineStr">
        <is>
          <t>Графины</t>
        </is>
      </c>
      <c r="C1285" s="2">
        <v>727362673</v>
      </c>
      <c r="D1285" s="2" t="inlineStr">
        <is>
          <t>100634</t>
        </is>
      </c>
      <c r="E1285" s="2" t="inlineStr">
        <is>
          <t>2048062588843</t>
        </is>
      </c>
      <c r="F1285" s="2">
        <v>1</v>
      </c>
      <c r="G1285" s="2">
        <v>0</v>
      </c>
      <c r="H1285" s="2">
        <v>999</v>
      </c>
      <c r="I1285" s="2" t="inlineStr">
        <is>
          <t>11896</t>
        </is>
      </c>
      <c r="J1285" s="4"/>
      <c r="K1285" s="2">
        <v>80</v>
      </c>
      <c r="L1285" s="6"/>
      <c r="M1285" s="2" t="str">
        <f>IF(J1285="",ROUND(I1285*(1-IF(ISBLANK(L1285),K1285,L1285)/100),2),ROUND(J1285*(1-IF(ISBLANK(L1285),K1285,L1285)/100),2))</f>
      </c>
      <c r="N1285" s="7" t="str">
        <f>IF(NOT(AND(J1285="",L1285="")),IF(OR(AND(L1285&lt;&gt;"",NOT(ISNUMBER(L1285))),IFERROR(MOD(L1285,1),1)&gt;0,AND(ISNUMBER(L1285),OR(L1285&lt;0,L1285&gt;95))),"Введите целое число от 0 до 95",IF(OR(AND(J1285&lt;&gt;"",NOT(ISNUMBER(J1285))),IFERROR(MOD(J1285,1),1)&gt;0,AND(ISNUMBER(J1285),OR(J1285&lt;50,J1285&gt;20000000))),"Введите целое число от 50 до 20000000",IF(NOT(ABS(IFERROR(VALUE(LEFT(M1285,FIND("-",M1285)-1)),M1285)*100-(2500+2000000000)/2)&lt;=ABS(2500-2000000000)/2),"Цена со скидкой должна быть от 25 до 20000000",IF(AND(IFERROR(VALUE(LEFT(M1285,FIND("-",M1285)-1)),M1285)*150&lt;=237919,IFERROR(VALUE(LEFT(M1285,FIND("-",M1285)-1)),M1285)*200&gt;237919),"Вы уменьшили цену в несколько раз, товар попадет в карантин цен",IF(IFERROR(VALUE(LEFT(M1285,FIND("-",M1285)-1)),M1285)*200&lt;=237919,"Не сохранили изменения, чтобы защитить от ошибки — новые цены меньше текущих более чем в 2 раза. Снижайте их постепенно",IF(AND(IFERROR(VALUE(I1285),0)=0,ISNUMBER(J1285),OR(J1285&lt;458,ABS(IFERROR(VALUE(LEFT(M1285,FIND("-",M1285)-1)),M1285))*100&lt;45800)),"Проверьте цену товара. Большинство товаров в выбранной категории стоят дороже 458","")))))),"")</f>
      </c>
    </row>
    <row r="1286">
      <c r="A1286" s="2" t="inlineStr">
        <is>
          <t/>
        </is>
      </c>
      <c r="B1286" s="2" t="inlineStr">
        <is>
          <t>Ножи кухонные</t>
        </is>
      </c>
      <c r="C1286" s="2">
        <v>600639362</v>
      </c>
      <c r="D1286" s="2" t="inlineStr">
        <is>
          <t>821469</t>
        </is>
      </c>
      <c r="E1286" s="2" t="inlineStr">
        <is>
          <t>2047129194577</t>
        </is>
      </c>
      <c r="F1286" s="2">
        <v>0</v>
      </c>
      <c r="G1286" s="2">
        <v>0</v>
      </c>
      <c r="H1286" s="2" t="inlineStr">
        <is>
          <t/>
        </is>
      </c>
      <c r="I1286" s="2" t="inlineStr">
        <is>
          <t>18140</t>
        </is>
      </c>
      <c r="J1286" s="4"/>
      <c r="K1286" s="2">
        <v>65</v>
      </c>
      <c r="L1286" s="6"/>
      <c r="M1286" s="2" t="str">
        <f>IF(J1286="",ROUND(I1286*(1-IF(ISBLANK(L1286),K1286,L1286)/100),2),ROUND(J1286*(1-IF(ISBLANK(L1286),K1286,L1286)/100),2))</f>
      </c>
      <c r="N1286" s="7" t="str">
        <f>IF(NOT(AND(J1286="",L1286="")),IF(OR(AND(L1286&lt;&gt;"",NOT(ISNUMBER(L1286))),IFERROR(MOD(L1286,1),1)&gt;0,AND(ISNUMBER(L1286),OR(L1286&lt;0,L1286&gt;95))),"Введите целое число от 0 до 95",IF(OR(AND(J1286&lt;&gt;"",NOT(ISNUMBER(J1286))),IFERROR(MOD(J1286,1),1)&gt;0,AND(ISNUMBER(J1286),OR(J1286&lt;50,J1286&gt;20000000))),"Введите целое число от 50 до 20000000",IF(NOT(ABS(IFERROR(VALUE(LEFT(M1286,FIND("-",M1286)-1)),M1286)*100-(2500+2000000000)/2)&lt;=ABS(2500-2000000000)/2),"Цена со скидкой должна быть от 25 до 20000000",IF(AND(IFERROR(VALUE(LEFT(M1286,FIND("-",M1286)-1)),M1286)*150&lt;=634900,IFERROR(VALUE(LEFT(M1286,FIND("-",M1286)-1)),M1286)*200&gt;634900),"Вы уменьшили цену в несколько раз, товар попадет в карантин цен",IF(IFERROR(VALUE(LEFT(M1286,FIND("-",M1286)-1)),M1286)*200&lt;=634900,"Не сохранили изменения, чтобы защитить от ошибки — новые цены меньше текущих более чем в 2 раза. Снижайте их постепенно",IF(AND(IFERROR(VALUE(I1286),0)=0,ISNUMBER(J1286),OR(J1286&lt;318,ABS(IFERROR(VALUE(LEFT(M1286,FIND("-",M1286)-1)),M1286))*100&lt;31800)),"Проверьте цену товара. Большинство товаров в выбранной категории стоят дороже 318","")))))),"")</f>
      </c>
    </row>
    <row r="1287">
      <c r="A1287" s="2" t="inlineStr">
        <is>
          <t/>
        </is>
      </c>
      <c r="B1287" s="2" t="inlineStr">
        <is>
          <t>Лампы для сушки ногтей</t>
        </is>
      </c>
      <c r="C1287" s="2">
        <v>600650207</v>
      </c>
      <c r="D1287" s="2" t="inlineStr">
        <is>
          <t>191464</t>
        </is>
      </c>
      <c r="E1287" s="2" t="inlineStr">
        <is>
          <t>2047106057703</t>
        </is>
      </c>
      <c r="F1287" s="2">
        <v>31</v>
      </c>
      <c r="G1287" s="2">
        <v>32</v>
      </c>
      <c r="H1287" s="2">
        <v>999</v>
      </c>
      <c r="I1287" s="2" t="inlineStr">
        <is>
          <t>2620</t>
        </is>
      </c>
      <c r="J1287" s="4"/>
      <c r="K1287" s="2">
        <v>80</v>
      </c>
      <c r="L1287" s="6"/>
      <c r="M1287" s="2" t="str">
        <f>IF(J1287="",ROUND(I1287*(1-IF(ISBLANK(L1287),K1287,L1287)/100),2),ROUND(J1287*(1-IF(ISBLANK(L1287),K1287,L1287)/100),2))</f>
      </c>
      <c r="N1287" s="7" t="str">
        <f>IF(NOT(AND(J1287="",L1287="")),IF(OR(AND(L1287&lt;&gt;"",NOT(ISNUMBER(L1287))),IFERROR(MOD(L1287,1),1)&gt;0,AND(ISNUMBER(L1287),OR(L1287&lt;0,L1287&gt;95))),"Введите целое число от 0 до 95",IF(OR(AND(J1287&lt;&gt;"",NOT(ISNUMBER(J1287))),IFERROR(MOD(J1287,1),1)&gt;0,AND(ISNUMBER(J1287),OR(J1287&lt;50,J1287&gt;20000000))),"Введите целое число от 50 до 20000000",IF(NOT(ABS(IFERROR(VALUE(LEFT(M1287,FIND("-",M1287)-1)),M1287)*100-(2500+2000000000)/2)&lt;=ABS(2500-2000000000)/2),"Цена со скидкой должна быть от 25 до 20000000",IF(AND(IFERROR(VALUE(LEFT(M1287,FIND("-",M1287)-1)),M1287)*150&lt;=52399,IFERROR(VALUE(LEFT(M1287,FIND("-",M1287)-1)),M1287)*200&gt;52399),"Вы уменьшили цену в несколько раз, товар попадет в карантин цен",IF(IFERROR(VALUE(LEFT(M1287,FIND("-",M1287)-1)),M1287)*200&lt;=52399,"Не сохранили изменения, чтобы защитить от ошибки — новые цены меньше текущих более чем в 2 раза. Снижайте их постепенно",IF(AND(IFERROR(VALUE(I1287),0)=0,ISNUMBER(J1287),OR(J1287&lt;264,ABS(IFERROR(VALUE(LEFT(M1287,FIND("-",M1287)-1)),M1287))*100&lt;26400)),"Проверьте цену товара. Большинство товаров в выбранной категории стоят дороже 264","")))))),"")</f>
      </c>
    </row>
    <row r="1288">
      <c r="A1288" s="2" t="inlineStr">
        <is>
          <t>Luxaro</t>
        </is>
      </c>
      <c r="B1288" s="2" t="inlineStr">
        <is>
          <t>Тарелки</t>
        </is>
      </c>
      <c r="C1288" s="2">
        <v>866577342</v>
      </c>
      <c r="D1288" s="2" t="inlineStr">
        <is>
          <t>14003</t>
        </is>
      </c>
      <c r="E1288" s="2" t="inlineStr">
        <is>
          <t>2049459720457</t>
        </is>
      </c>
      <c r="F1288" s="2">
        <v>147</v>
      </c>
      <c r="G1288" s="2">
        <v>14</v>
      </c>
      <c r="H1288" s="2">
        <v>46</v>
      </c>
      <c r="I1288" s="2" t="inlineStr">
        <is>
          <t>5492</t>
        </is>
      </c>
      <c r="J1288" s="4"/>
      <c r="K1288" s="2">
        <v>77</v>
      </c>
      <c r="L1288" s="6"/>
      <c r="M1288" s="2" t="str">
        <f>IF(J1288="",ROUND(I1288*(1-IF(ISBLANK(L1288),K1288,L1288)/100),2),ROUND(J1288*(1-IF(ISBLANK(L1288),K1288,L1288)/100),2))</f>
      </c>
      <c r="N1288" s="7" t="str">
        <f>IF(NOT(AND(J1288="",L1288="")),IF(OR(AND(L1288&lt;&gt;"",NOT(ISNUMBER(L1288))),IFERROR(MOD(L1288,1),1)&gt;0,AND(ISNUMBER(L1288),OR(L1288&lt;0,L1288&gt;95))),"Введите целое число от 0 до 95",IF(OR(AND(J1288&lt;&gt;"",NOT(ISNUMBER(J1288))),IFERROR(MOD(J1288,1),1)&gt;0,AND(ISNUMBER(J1288),OR(J1288&lt;50,J1288&gt;20000000))),"Введите целое число от 50 до 20000000",IF(NOT(ABS(IFERROR(VALUE(LEFT(M1288,FIND("-",M1288)-1)),M1288)*100-(2500+2000000000)/2)&lt;=ABS(2500-2000000000)/2),"Цена со скидкой должна быть от 25 до 20000000",IF(AND(IFERROR(VALUE(LEFT(M1288,FIND("-",M1288)-1)),M1288)*150&lt;=126315,IFERROR(VALUE(LEFT(M1288,FIND("-",M1288)-1)),M1288)*200&gt;126315),"Вы уменьшили цену в несколько раз, товар попадет в карантин цен",IF(IFERROR(VALUE(LEFT(M1288,FIND("-",M1288)-1)),M1288)*200&lt;=126315,"Не сохранили изменения, чтобы защитить от ошибки — новые цены меньше текущих более чем в 2 раза. Снижайте их постепенно",IF(AND(IFERROR(VALUE(I1288),0)=0,ISNUMBER(J1288),OR(J1288&lt;413,ABS(IFERROR(VALUE(LEFT(M1288,FIND("-",M1288)-1)),M1288))*100&lt;41300)),"Проверьте цену товара. Большинство товаров в выбранной категории стоят дороже 413","")))))),"")</f>
      </c>
    </row>
    <row r="1289">
      <c r="A1289" s="2" t="inlineStr">
        <is>
          <t>Luxaro</t>
        </is>
      </c>
      <c r="B1289" s="2" t="inlineStr">
        <is>
          <t>Тарелки</t>
        </is>
      </c>
      <c r="C1289" s="2">
        <v>866577345</v>
      </c>
      <c r="D1289" s="2" t="inlineStr">
        <is>
          <t>14000</t>
        </is>
      </c>
      <c r="E1289" s="2" t="inlineStr">
        <is>
          <t>2049459720518</t>
        </is>
      </c>
      <c r="F1289" s="2">
        <v>254</v>
      </c>
      <c r="G1289" s="2">
        <v>30</v>
      </c>
      <c r="H1289" s="2">
        <v>87</v>
      </c>
      <c r="I1289" s="2" t="inlineStr">
        <is>
          <t>4554</t>
        </is>
      </c>
      <c r="J1289" s="4"/>
      <c r="K1289" s="2">
        <v>77</v>
      </c>
      <c r="L1289" s="6"/>
      <c r="M1289" s="2" t="str">
        <f>IF(J1289="",ROUND(I1289*(1-IF(ISBLANK(L1289),K1289,L1289)/100),2),ROUND(J1289*(1-IF(ISBLANK(L1289),K1289,L1289)/100),2))</f>
      </c>
      <c r="N1289" s="7" t="str">
        <f>IF(NOT(AND(J1289="",L1289="")),IF(OR(AND(L1289&lt;&gt;"",NOT(ISNUMBER(L1289))),IFERROR(MOD(L1289,1),1)&gt;0,AND(ISNUMBER(L1289),OR(L1289&lt;0,L1289&gt;95))),"Введите целое число от 0 до 95",IF(OR(AND(J1289&lt;&gt;"",NOT(ISNUMBER(J1289))),IFERROR(MOD(J1289,1),1)&gt;0,AND(ISNUMBER(J1289),OR(J1289&lt;50,J1289&gt;20000000))),"Введите целое число от 50 до 20000000",IF(NOT(ABS(IFERROR(VALUE(LEFT(M1289,FIND("-",M1289)-1)),M1289)*100-(2500+2000000000)/2)&lt;=ABS(2500-2000000000)/2),"Цена со скидкой должна быть от 25 до 20000000",IF(AND(IFERROR(VALUE(LEFT(M1289,FIND("-",M1289)-1)),M1289)*150&lt;=104741,IFERROR(VALUE(LEFT(M1289,FIND("-",M1289)-1)),M1289)*200&gt;104741),"Вы уменьшили цену в несколько раз, товар попадет в карантин цен",IF(IFERROR(VALUE(LEFT(M1289,FIND("-",M1289)-1)),M1289)*200&lt;=104741,"Не сохранили изменения, чтобы защитить от ошибки — новые цены меньше текущих более чем в 2 раза. Снижайте их постепенно",IF(AND(IFERROR(VALUE(I1289),0)=0,ISNUMBER(J1289),OR(J1289&lt;413,ABS(IFERROR(VALUE(LEFT(M1289,FIND("-",M1289)-1)),M1289))*100&lt;41300)),"Проверьте цену товара. Большинство товаров в выбранной категории стоят дороже 413","")))))),"")</f>
      </c>
    </row>
    <row r="1290">
      <c r="A1290" s="2" t="inlineStr">
        <is>
          <t/>
        </is>
      </c>
      <c r="B1290" s="2" t="inlineStr">
        <is>
          <t>Графины</t>
        </is>
      </c>
      <c r="C1290" s="2">
        <v>727362667</v>
      </c>
      <c r="D1290" s="2" t="inlineStr">
        <is>
          <t>122088</t>
        </is>
      </c>
      <c r="E1290" s="2" t="inlineStr">
        <is>
          <t>4670294458878</t>
        </is>
      </c>
      <c r="F1290" s="2">
        <v>118</v>
      </c>
      <c r="G1290" s="2">
        <v>985</v>
      </c>
      <c r="H1290" s="2">
        <v>899</v>
      </c>
      <c r="I1290" s="2" t="inlineStr">
        <is>
          <t>7671</t>
        </is>
      </c>
      <c r="J1290" s="4"/>
      <c r="K1290" s="2">
        <v>85</v>
      </c>
      <c r="L1290" s="6"/>
      <c r="M1290" s="2" t="str">
        <f>IF(J1290="",ROUND(I1290*(1-IF(ISBLANK(L1290),K1290,L1290)/100),2),ROUND(J1290*(1-IF(ISBLANK(L1290),K1290,L1290)/100),2))</f>
      </c>
      <c r="N1290" s="7" t="str">
        <f>IF(NOT(AND(J1290="",L1290="")),IF(OR(AND(L1290&lt;&gt;"",NOT(ISNUMBER(L1290))),IFERROR(MOD(L1290,1),1)&gt;0,AND(ISNUMBER(L1290),OR(L1290&lt;0,L1290&gt;95))),"Введите целое число от 0 до 95",IF(OR(AND(J1290&lt;&gt;"",NOT(ISNUMBER(J1290))),IFERROR(MOD(J1290,1),1)&gt;0,AND(ISNUMBER(J1290),OR(J1290&lt;50,J1290&gt;20000000))),"Введите целое число от 50 до 20000000",IF(NOT(ABS(IFERROR(VALUE(LEFT(M1290,FIND("-",M1290)-1)),M1290)*100-(2500+2000000000)/2)&lt;=ABS(2500-2000000000)/2),"Цена со скидкой должна быть от 25 до 20000000",IF(AND(IFERROR(VALUE(LEFT(M1290,FIND("-",M1290)-1)),M1290)*150&lt;=115065,IFERROR(VALUE(LEFT(M1290,FIND("-",M1290)-1)),M1290)*200&gt;115065),"Вы уменьшили цену в несколько раз, товар попадет в карантин цен",IF(IFERROR(VALUE(LEFT(M1290,FIND("-",M1290)-1)),M1290)*200&lt;=115065,"Не сохранили изменения, чтобы защитить от ошибки — новые цены меньше текущих более чем в 2 раза. Снижайте их постепенно",IF(AND(IFERROR(VALUE(I1290),0)=0,ISNUMBER(J1290),OR(J1290&lt;458,ABS(IFERROR(VALUE(LEFT(M1290,FIND("-",M1290)-1)),M1290))*100&lt;45800)),"Проверьте цену товара. Большинство товаров в выбранной категории стоят дороже 458","")))))),"")</f>
      </c>
    </row>
    <row r="1291">
      <c r="A1291" s="2" t="inlineStr">
        <is>
          <t/>
        </is>
      </c>
      <c r="B1291" s="2" t="inlineStr">
        <is>
          <t>Ножи кухонные</t>
        </is>
      </c>
      <c r="C1291" s="2">
        <v>600639357</v>
      </c>
      <c r="D1291" s="2" t="inlineStr">
        <is>
          <t>36618</t>
        </is>
      </c>
      <c r="E1291" s="2" t="inlineStr">
        <is>
          <t>2047129194522</t>
        </is>
      </c>
      <c r="F1291" s="2">
        <v>0</v>
      </c>
      <c r="G1291" s="2">
        <v>0</v>
      </c>
      <c r="H1291" s="2" t="inlineStr">
        <is>
          <t/>
        </is>
      </c>
      <c r="I1291" s="2" t="inlineStr">
        <is>
          <t>26246</t>
        </is>
      </c>
      <c r="J1291" s="4"/>
      <c r="K1291" s="2">
        <v>65</v>
      </c>
      <c r="L1291" s="6"/>
      <c r="M1291" s="2" t="str">
        <f>IF(J1291="",ROUND(I1291*(1-IF(ISBLANK(L1291),K1291,L1291)/100),2),ROUND(J1291*(1-IF(ISBLANK(L1291),K1291,L1291)/100),2))</f>
      </c>
      <c r="N1291" s="7" t="str">
        <f>IF(NOT(AND(J1291="",L1291="")),IF(OR(AND(L1291&lt;&gt;"",NOT(ISNUMBER(L1291))),IFERROR(MOD(L1291,1),1)&gt;0,AND(ISNUMBER(L1291),OR(L1291&lt;0,L1291&gt;95))),"Введите целое число от 0 до 95",IF(OR(AND(J1291&lt;&gt;"",NOT(ISNUMBER(J1291))),IFERROR(MOD(J1291,1),1)&gt;0,AND(ISNUMBER(J1291),OR(J1291&lt;50,J1291&gt;20000000))),"Введите целое число от 50 до 20000000",IF(NOT(ABS(IFERROR(VALUE(LEFT(M1291,FIND("-",M1291)-1)),M1291)*100-(2500+2000000000)/2)&lt;=ABS(2500-2000000000)/2),"Цена со скидкой должна быть от 25 до 20000000",IF(AND(IFERROR(VALUE(LEFT(M1291,FIND("-",M1291)-1)),M1291)*150&lt;=918609,IFERROR(VALUE(LEFT(M1291,FIND("-",M1291)-1)),M1291)*200&gt;918609),"Вы уменьшили цену в несколько раз, товар попадет в карантин цен",IF(IFERROR(VALUE(LEFT(M1291,FIND("-",M1291)-1)),M1291)*200&lt;=918609,"Не сохранили изменения, чтобы защитить от ошибки — новые цены меньше текущих более чем в 2 раза. Снижайте их постепенно",IF(AND(IFERROR(VALUE(I1291),0)=0,ISNUMBER(J1291),OR(J1291&lt;318,ABS(IFERROR(VALUE(LEFT(M1291,FIND("-",M1291)-1)),M1291))*100&lt;31800)),"Проверьте цену товара. Большинство товаров в выбранной категории стоят дороже 318","")))))),"")</f>
      </c>
    </row>
    <row r="1292">
      <c r="A1292" s="2" t="inlineStr">
        <is>
          <t/>
        </is>
      </c>
      <c r="B1292" s="2" t="inlineStr">
        <is>
          <t>Ножи кухонные</t>
        </is>
      </c>
      <c r="C1292" s="2">
        <v>727124422</v>
      </c>
      <c r="D1292" s="2" t="inlineStr">
        <is>
          <t>36221</t>
        </is>
      </c>
      <c r="E1292" s="2" t="inlineStr">
        <is>
          <t>2048060226808</t>
        </is>
      </c>
      <c r="F1292" s="2">
        <v>12</v>
      </c>
      <c r="G1292" s="2">
        <v>10</v>
      </c>
      <c r="H1292" s="2">
        <v>382</v>
      </c>
      <c r="I1292" s="2" t="inlineStr">
        <is>
          <t>3636</t>
        </is>
      </c>
      <c r="J1292" s="4"/>
      <c r="K1292" s="2">
        <v>80</v>
      </c>
      <c r="L1292" s="6"/>
      <c r="M1292" s="2" t="str">
        <f>IF(J1292="",ROUND(I1292*(1-IF(ISBLANK(L1292),K1292,L1292)/100),2),ROUND(J1292*(1-IF(ISBLANK(L1292),K1292,L1292)/100),2))</f>
      </c>
      <c r="N1292" s="7" t="str">
        <f>IF(NOT(AND(J1292="",L1292="")),IF(OR(AND(L1292&lt;&gt;"",NOT(ISNUMBER(L1292))),IFERROR(MOD(L1292,1),1)&gt;0,AND(ISNUMBER(L1292),OR(L1292&lt;0,L1292&gt;95))),"Введите целое число от 0 до 95",IF(OR(AND(J1292&lt;&gt;"",NOT(ISNUMBER(J1292))),IFERROR(MOD(J1292,1),1)&gt;0,AND(ISNUMBER(J1292),OR(J1292&lt;50,J1292&gt;20000000))),"Введите целое число от 50 до 20000000",IF(NOT(ABS(IFERROR(VALUE(LEFT(M1292,FIND("-",M1292)-1)),M1292)*100-(2500+2000000000)/2)&lt;=ABS(2500-2000000000)/2),"Цена со скидкой должна быть от 25 до 20000000",IF(AND(IFERROR(VALUE(LEFT(M1292,FIND("-",M1292)-1)),M1292)*150&lt;=72719,IFERROR(VALUE(LEFT(M1292,FIND("-",M1292)-1)),M1292)*200&gt;72719),"Вы уменьшили цену в несколько раз, товар попадет в карантин цен",IF(IFERROR(VALUE(LEFT(M1292,FIND("-",M1292)-1)),M1292)*200&lt;=72719,"Не сохранили изменения, чтобы защитить от ошибки — новые цены меньше текущих более чем в 2 раза. Снижайте их постепенно",IF(AND(IFERROR(VALUE(I1292),0)=0,ISNUMBER(J1292),OR(J1292&lt;318,ABS(IFERROR(VALUE(LEFT(M1292,FIND("-",M1292)-1)),M1292))*100&lt;31800)),"Проверьте цену товара. Большинство товаров в выбранной категории стоят дороже 318","")))))),"")</f>
      </c>
    </row>
    <row r="1293">
      <c r="A1293" s="2" t="inlineStr">
        <is>
          <t>Luxaro</t>
        </is>
      </c>
      <c r="B1293" s="2" t="inlineStr">
        <is>
          <t>Тарелки</t>
        </is>
      </c>
      <c r="C1293" s="2">
        <v>608869948</v>
      </c>
      <c r="D1293" s="2" t="inlineStr">
        <is>
          <t>062111</t>
        </is>
      </c>
      <c r="E1293" s="2" t="inlineStr">
        <is>
          <t>2047215517068</t>
        </is>
      </c>
      <c r="F1293" s="2">
        <v>0</v>
      </c>
      <c r="G1293" s="2">
        <v>0</v>
      </c>
      <c r="H1293" s="2">
        <v>1</v>
      </c>
      <c r="I1293" s="2" t="inlineStr">
        <is>
          <t>2523</t>
        </is>
      </c>
      <c r="J1293" s="4"/>
      <c r="K1293" s="2">
        <v>65</v>
      </c>
      <c r="L1293" s="6"/>
      <c r="M1293" s="2" t="str">
        <f>IF(J1293="",ROUND(I1293*(1-IF(ISBLANK(L1293),K1293,L1293)/100),2),ROUND(J1293*(1-IF(ISBLANK(L1293),K1293,L1293)/100),2))</f>
      </c>
      <c r="N1293" s="7" t="str">
        <f>IF(NOT(AND(J1293="",L1293="")),IF(OR(AND(L1293&lt;&gt;"",NOT(ISNUMBER(L1293))),IFERROR(MOD(L1293,1),1)&gt;0,AND(ISNUMBER(L1293),OR(L1293&lt;0,L1293&gt;95))),"Введите целое число от 0 до 95",IF(OR(AND(J1293&lt;&gt;"",NOT(ISNUMBER(J1293))),IFERROR(MOD(J1293,1),1)&gt;0,AND(ISNUMBER(J1293),OR(J1293&lt;50,J1293&gt;20000000))),"Введите целое число от 50 до 20000000",IF(NOT(ABS(IFERROR(VALUE(LEFT(M1293,FIND("-",M1293)-1)),M1293)*100-(2500+2000000000)/2)&lt;=ABS(2500-2000000000)/2),"Цена со скидкой должна быть от 25 до 20000000",IF(AND(IFERROR(VALUE(LEFT(M1293,FIND("-",M1293)-1)),M1293)*150&lt;=88305,IFERROR(VALUE(LEFT(M1293,FIND("-",M1293)-1)),M1293)*200&gt;88305),"Вы уменьшили цену в несколько раз, товар попадет в карантин цен",IF(IFERROR(VALUE(LEFT(M1293,FIND("-",M1293)-1)),M1293)*200&lt;=88305,"Не сохранили изменения, чтобы защитить от ошибки — новые цены меньше текущих более чем в 2 раза. Снижайте их постепенно",IF(AND(IFERROR(VALUE(I1293),0)=0,ISNUMBER(J1293),OR(J1293&lt;413,ABS(IFERROR(VALUE(LEFT(M1293,FIND("-",M1293)-1)),M1293))*100&lt;41300)),"Проверьте цену товара. Большинство товаров в выбранной категории стоят дороже 413","")))))),"")</f>
      </c>
    </row>
    <row r="1294">
      <c r="A1294" s="2" t="inlineStr">
        <is>
          <t/>
        </is>
      </c>
      <c r="B1294" s="2" t="inlineStr">
        <is>
          <t>Ножи кухонные</t>
        </is>
      </c>
      <c r="C1294" s="2">
        <v>600639364</v>
      </c>
      <c r="D1294" s="2" t="inlineStr">
        <is>
          <t>821357</t>
        </is>
      </c>
      <c r="E1294" s="2" t="inlineStr">
        <is>
          <t>2047129194591</t>
        </is>
      </c>
      <c r="F1294" s="2">
        <v>0</v>
      </c>
      <c r="G1294" s="2">
        <v>3</v>
      </c>
      <c r="H1294" s="2" t="inlineStr">
        <is>
          <t/>
        </is>
      </c>
      <c r="I1294" s="2" t="inlineStr">
        <is>
          <t>19074</t>
        </is>
      </c>
      <c r="J1294" s="4"/>
      <c r="K1294" s="2">
        <v>80</v>
      </c>
      <c r="L1294" s="6"/>
      <c r="M1294" s="2" t="str">
        <f>IF(J1294="",ROUND(I1294*(1-IF(ISBLANK(L1294),K1294,L1294)/100),2),ROUND(J1294*(1-IF(ISBLANK(L1294),K1294,L1294)/100),2))</f>
      </c>
      <c r="N1294" s="7" t="str">
        <f>IF(NOT(AND(J1294="",L1294="")),IF(OR(AND(L1294&lt;&gt;"",NOT(ISNUMBER(L1294))),IFERROR(MOD(L1294,1),1)&gt;0,AND(ISNUMBER(L1294),OR(L1294&lt;0,L1294&gt;95))),"Введите целое число от 0 до 95",IF(OR(AND(J1294&lt;&gt;"",NOT(ISNUMBER(J1294))),IFERROR(MOD(J1294,1),1)&gt;0,AND(ISNUMBER(J1294),OR(J1294&lt;50,J1294&gt;20000000))),"Введите целое число от 50 до 20000000",IF(NOT(ABS(IFERROR(VALUE(LEFT(M1294,FIND("-",M1294)-1)),M1294)*100-(2500+2000000000)/2)&lt;=ABS(2500-2000000000)/2),"Цена со скидкой должна быть от 25 до 20000000",IF(AND(IFERROR(VALUE(LEFT(M1294,FIND("-",M1294)-1)),M1294)*150&lt;=381479,IFERROR(VALUE(LEFT(M1294,FIND("-",M1294)-1)),M1294)*200&gt;381479),"Вы уменьшили цену в несколько раз, товар попадет в карантин цен",IF(IFERROR(VALUE(LEFT(M1294,FIND("-",M1294)-1)),M1294)*200&lt;=381479,"Не сохранили изменения, чтобы защитить от ошибки — новые цены меньше текущих более чем в 2 раза. Снижайте их постепенно",IF(AND(IFERROR(VALUE(I1294),0)=0,ISNUMBER(J1294),OR(J1294&lt;318,ABS(IFERROR(VALUE(LEFT(M1294,FIND("-",M1294)-1)),M1294))*100&lt;31800)),"Проверьте цену товара. Большинство товаров в выбранной категории стоят дороже 318","")))))),"")</f>
      </c>
    </row>
    <row r="1295">
      <c r="A1295" s="2" t="inlineStr">
        <is>
          <t>Luxaro</t>
        </is>
      </c>
      <c r="B1295" s="2" t="inlineStr">
        <is>
          <t>Тарелки</t>
        </is>
      </c>
      <c r="C1295" s="2">
        <v>611901047</v>
      </c>
      <c r="D1295" s="2" t="inlineStr">
        <is>
          <t>700239</t>
        </is>
      </c>
      <c r="E1295" s="2" t="inlineStr">
        <is>
          <t>2047237190430</t>
        </is>
      </c>
      <c r="F1295" s="2">
        <v>48</v>
      </c>
      <c r="G1295" s="2">
        <v>55</v>
      </c>
      <c r="H1295" s="2">
        <v>110</v>
      </c>
      <c r="I1295" s="2" t="inlineStr">
        <is>
          <t>6658</t>
        </is>
      </c>
      <c r="J1295" s="4"/>
      <c r="K1295" s="2">
        <v>78</v>
      </c>
      <c r="L1295" s="6"/>
      <c r="M1295" s="2" t="str">
        <f>IF(J1295="",ROUND(I1295*(1-IF(ISBLANK(L1295),K1295,L1295)/100),2),ROUND(J1295*(1-IF(ISBLANK(L1295),K1295,L1295)/100),2))</f>
      </c>
      <c r="N1295" s="7" t="str">
        <f>IF(NOT(AND(J1295="",L1295="")),IF(OR(AND(L1295&lt;&gt;"",NOT(ISNUMBER(L1295))),IFERROR(MOD(L1295,1),1)&gt;0,AND(ISNUMBER(L1295),OR(L1295&lt;0,L1295&gt;95))),"Введите целое число от 0 до 95",IF(OR(AND(J1295&lt;&gt;"",NOT(ISNUMBER(J1295))),IFERROR(MOD(J1295,1),1)&gt;0,AND(ISNUMBER(J1295),OR(J1295&lt;50,J1295&gt;20000000))),"Введите целое число от 50 до 20000000",IF(NOT(ABS(IFERROR(VALUE(LEFT(M1295,FIND("-",M1295)-1)),M1295)*100-(2500+2000000000)/2)&lt;=ABS(2500-2000000000)/2),"Цена со скидкой должна быть от 25 до 20000000",IF(AND(IFERROR(VALUE(LEFT(M1295,FIND("-",M1295)-1)),M1295)*150&lt;=146475,IFERROR(VALUE(LEFT(M1295,FIND("-",M1295)-1)),M1295)*200&gt;146475),"Вы уменьшили цену в несколько раз, товар попадет в карантин цен",IF(IFERROR(VALUE(LEFT(M1295,FIND("-",M1295)-1)),M1295)*200&lt;=146475,"Не сохранили изменения, чтобы защитить от ошибки — новые цены меньше текущих более чем в 2 раза. Снижайте их постепенно",IF(AND(IFERROR(VALUE(I1295),0)=0,ISNUMBER(J1295),OR(J1295&lt;413,ABS(IFERROR(VALUE(LEFT(M1295,FIND("-",M1295)-1)),M1295))*100&lt;41300)),"Проверьте цену товара. Большинство товаров в выбранной категории стоят дороже 413","")))))),"")</f>
      </c>
    </row>
    <row r="1296">
      <c r="A1296" s="2" t="inlineStr">
        <is>
          <t>Luxaro</t>
        </is>
      </c>
      <c r="B1296" s="2" t="inlineStr">
        <is>
          <t>Тарелки</t>
        </is>
      </c>
      <c r="C1296" s="2">
        <v>866577334</v>
      </c>
      <c r="D1296" s="2" t="inlineStr">
        <is>
          <t>14011</t>
        </is>
      </c>
      <c r="E1296" s="2" t="inlineStr">
        <is>
          <t>2049459720273</t>
        </is>
      </c>
      <c r="F1296" s="2">
        <v>74</v>
      </c>
      <c r="G1296" s="2">
        <v>54</v>
      </c>
      <c r="H1296" s="2">
        <v>118</v>
      </c>
      <c r="I1296" s="2" t="inlineStr">
        <is>
          <t>6221</t>
        </is>
      </c>
      <c r="J1296" s="4"/>
      <c r="K1296" s="2">
        <v>77</v>
      </c>
      <c r="L1296" s="6"/>
      <c r="M1296" s="2" t="str">
        <f>IF(J1296="",ROUND(I1296*(1-IF(ISBLANK(L1296),K1296,L1296)/100),2),ROUND(J1296*(1-IF(ISBLANK(L1296),K1296,L1296)/100),2))</f>
      </c>
      <c r="N1296" s="7" t="str">
        <f>IF(NOT(AND(J1296="",L1296="")),IF(OR(AND(L1296&lt;&gt;"",NOT(ISNUMBER(L1296))),IFERROR(MOD(L1296,1),1)&gt;0,AND(ISNUMBER(L1296),OR(L1296&lt;0,L1296&gt;95))),"Введите целое число от 0 до 95",IF(OR(AND(J1296&lt;&gt;"",NOT(ISNUMBER(J1296))),IFERROR(MOD(J1296,1),1)&gt;0,AND(ISNUMBER(J1296),OR(J1296&lt;50,J1296&gt;20000000))),"Введите целое число от 50 до 20000000",IF(NOT(ABS(IFERROR(VALUE(LEFT(M1296,FIND("-",M1296)-1)),M1296)*100-(2500+2000000000)/2)&lt;=ABS(2500-2000000000)/2),"Цена со скидкой должна быть от 25 до 20000000",IF(AND(IFERROR(VALUE(LEFT(M1296,FIND("-",M1296)-1)),M1296)*150&lt;=143083,IFERROR(VALUE(LEFT(M1296,FIND("-",M1296)-1)),M1296)*200&gt;143083),"Вы уменьшили цену в несколько раз, товар попадет в карантин цен",IF(IFERROR(VALUE(LEFT(M1296,FIND("-",M1296)-1)),M1296)*200&lt;=143083,"Не сохранили изменения, чтобы защитить от ошибки — новые цены меньше текущих более чем в 2 раза. Снижайте их постепенно",IF(AND(IFERROR(VALUE(I1296),0)=0,ISNUMBER(J1296),OR(J1296&lt;413,ABS(IFERROR(VALUE(LEFT(M1296,FIND("-",M1296)-1)),M1296))*100&lt;41300)),"Проверьте цену товара. Большинство товаров в выбранной категории стоят дороже 413","")))))),"")</f>
      </c>
    </row>
    <row r="1297">
      <c r="A1297" s="2" t="inlineStr">
        <is>
          <t>Luxaro</t>
        </is>
      </c>
      <c r="B1297" s="2" t="inlineStr">
        <is>
          <t>Тарелки</t>
        </is>
      </c>
      <c r="C1297" s="2">
        <v>866577339</v>
      </c>
      <c r="D1297" s="2" t="inlineStr">
        <is>
          <t>14006</t>
        </is>
      </c>
      <c r="E1297" s="2" t="inlineStr">
        <is>
          <t>2049459720402</t>
        </is>
      </c>
      <c r="F1297" s="2">
        <v>10</v>
      </c>
      <c r="G1297" s="2">
        <v>6</v>
      </c>
      <c r="H1297" s="2">
        <v>33</v>
      </c>
      <c r="I1297" s="2" t="inlineStr">
        <is>
          <t>6304</t>
        </is>
      </c>
      <c r="J1297" s="4"/>
      <c r="K1297" s="2">
        <v>77</v>
      </c>
      <c r="L1297" s="6"/>
      <c r="M1297" s="2" t="str">
        <f>IF(J1297="",ROUND(I1297*(1-IF(ISBLANK(L1297),K1297,L1297)/100),2),ROUND(J1297*(1-IF(ISBLANK(L1297),K1297,L1297)/100),2))</f>
      </c>
      <c r="N1297" s="7" t="str">
        <f>IF(NOT(AND(J1297="",L1297="")),IF(OR(AND(L1297&lt;&gt;"",NOT(ISNUMBER(L1297))),IFERROR(MOD(L1297,1),1)&gt;0,AND(ISNUMBER(L1297),OR(L1297&lt;0,L1297&gt;95))),"Введите целое число от 0 до 95",IF(OR(AND(J1297&lt;&gt;"",NOT(ISNUMBER(J1297))),IFERROR(MOD(J1297,1),1)&gt;0,AND(ISNUMBER(J1297),OR(J1297&lt;50,J1297&gt;20000000))),"Введите целое число от 50 до 20000000",IF(NOT(ABS(IFERROR(VALUE(LEFT(M1297,FIND("-",M1297)-1)),M1297)*100-(2500+2000000000)/2)&lt;=ABS(2500-2000000000)/2),"Цена со скидкой должна быть от 25 до 20000000",IF(AND(IFERROR(VALUE(LEFT(M1297,FIND("-",M1297)-1)),M1297)*150&lt;=144991,IFERROR(VALUE(LEFT(M1297,FIND("-",M1297)-1)),M1297)*200&gt;144991),"Вы уменьшили цену в несколько раз, товар попадет в карантин цен",IF(IFERROR(VALUE(LEFT(M1297,FIND("-",M1297)-1)),M1297)*200&lt;=144991,"Не сохранили изменения, чтобы защитить от ошибки — новые цены меньше текущих более чем в 2 раза. Снижайте их постепенно",IF(AND(IFERROR(VALUE(I1297),0)=0,ISNUMBER(J1297),OR(J1297&lt;413,ABS(IFERROR(VALUE(LEFT(M1297,FIND("-",M1297)-1)),M1297))*100&lt;41300)),"Проверьте цену товара. Большинство товаров в выбранной категории стоят дороже 413","")))))),"")</f>
      </c>
    </row>
    <row r="1298">
      <c r="A1298" s="2" t="inlineStr">
        <is>
          <t>Luxaro</t>
        </is>
      </c>
      <c r="B1298" s="2" t="inlineStr">
        <is>
          <t>Тарелки</t>
        </is>
      </c>
      <c r="C1298" s="2">
        <v>611901054</v>
      </c>
      <c r="D1298" s="2" t="inlineStr">
        <is>
          <t>701254</t>
        </is>
      </c>
      <c r="E1298" s="2" t="inlineStr">
        <is>
          <t>2047237190683</t>
        </is>
      </c>
      <c r="F1298" s="2">
        <v>109</v>
      </c>
      <c r="G1298" s="2">
        <v>5</v>
      </c>
      <c r="H1298" s="2">
        <v>88</v>
      </c>
      <c r="I1298" s="2" t="inlineStr">
        <is>
          <t>6059</t>
        </is>
      </c>
      <c r="J1298" s="4"/>
      <c r="K1298" s="2">
        <v>77</v>
      </c>
      <c r="L1298" s="6"/>
      <c r="M1298" s="2" t="str">
        <f>IF(J1298="",ROUND(I1298*(1-IF(ISBLANK(L1298),K1298,L1298)/100),2),ROUND(J1298*(1-IF(ISBLANK(L1298),K1298,L1298)/100),2))</f>
      </c>
      <c r="N1298" s="7" t="str">
        <f>IF(NOT(AND(J1298="",L1298="")),IF(OR(AND(L1298&lt;&gt;"",NOT(ISNUMBER(L1298))),IFERROR(MOD(L1298,1),1)&gt;0,AND(ISNUMBER(L1298),OR(L1298&lt;0,L1298&gt;95))),"Введите целое число от 0 до 95",IF(OR(AND(J1298&lt;&gt;"",NOT(ISNUMBER(J1298))),IFERROR(MOD(J1298,1),1)&gt;0,AND(ISNUMBER(J1298),OR(J1298&lt;50,J1298&gt;20000000))),"Введите целое число от 50 до 20000000",IF(NOT(ABS(IFERROR(VALUE(LEFT(M1298,FIND("-",M1298)-1)),M1298)*100-(2500+2000000000)/2)&lt;=ABS(2500-2000000000)/2),"Цена со скидкой должна быть от 25 до 20000000",IF(AND(IFERROR(VALUE(LEFT(M1298,FIND("-",M1298)-1)),M1298)*150&lt;=139357,IFERROR(VALUE(LEFT(M1298,FIND("-",M1298)-1)),M1298)*200&gt;139357),"Вы уменьшили цену в несколько раз, товар попадет в карантин цен",IF(IFERROR(VALUE(LEFT(M1298,FIND("-",M1298)-1)),M1298)*200&lt;=139357,"Не сохранили изменения, чтобы защитить от ошибки — новые цены меньше текущих более чем в 2 раза. Снижайте их постепенно",IF(AND(IFERROR(VALUE(I1298),0)=0,ISNUMBER(J1298),OR(J1298&lt;413,ABS(IFERROR(VALUE(LEFT(M1298,FIND("-",M1298)-1)),M1298))*100&lt;41300)),"Проверьте цену товара. Большинство товаров в выбранной категории стоят дороже 413","")))))),"")</f>
      </c>
    </row>
    <row r="1299">
      <c r="A1299" s="2" t="inlineStr">
        <is>
          <t>Luxaro</t>
        </is>
      </c>
      <c r="B1299" s="2" t="inlineStr">
        <is>
          <t>Тарелки</t>
        </is>
      </c>
      <c r="C1299" s="2">
        <v>866577344</v>
      </c>
      <c r="D1299" s="2" t="inlineStr">
        <is>
          <t>14001</t>
        </is>
      </c>
      <c r="E1299" s="2" t="inlineStr">
        <is>
          <t>2049459720495</t>
        </is>
      </c>
      <c r="F1299" s="2">
        <v>195</v>
      </c>
      <c r="G1299" s="2">
        <v>74</v>
      </c>
      <c r="H1299" s="2">
        <v>31</v>
      </c>
      <c r="I1299" s="2" t="inlineStr">
        <is>
          <t>4591</t>
        </is>
      </c>
      <c r="J1299" s="4"/>
      <c r="K1299" s="2">
        <v>75</v>
      </c>
      <c r="L1299" s="6"/>
      <c r="M1299" s="2" t="str">
        <f>IF(J1299="",ROUND(I1299*(1-IF(ISBLANK(L1299),K1299,L1299)/100),2),ROUND(J1299*(1-IF(ISBLANK(L1299),K1299,L1299)/100),2))</f>
      </c>
      <c r="N1299" s="7" t="str">
        <f>IF(NOT(AND(J1299="",L1299="")),IF(OR(AND(L1299&lt;&gt;"",NOT(ISNUMBER(L1299))),IFERROR(MOD(L1299,1),1)&gt;0,AND(ISNUMBER(L1299),OR(L1299&lt;0,L1299&gt;95))),"Введите целое число от 0 до 95",IF(OR(AND(J1299&lt;&gt;"",NOT(ISNUMBER(J1299))),IFERROR(MOD(J1299,1),1)&gt;0,AND(ISNUMBER(J1299),OR(J1299&lt;50,J1299&gt;20000000))),"Введите целое число от 50 до 20000000",IF(NOT(ABS(IFERROR(VALUE(LEFT(M1299,FIND("-",M1299)-1)),M1299)*100-(2500+2000000000)/2)&lt;=ABS(2500-2000000000)/2),"Цена со скидкой должна быть от 25 до 20000000",IF(AND(IFERROR(VALUE(LEFT(M1299,FIND("-",M1299)-1)),M1299)*150&lt;=114775,IFERROR(VALUE(LEFT(M1299,FIND("-",M1299)-1)),M1299)*200&gt;114775),"Вы уменьшили цену в несколько раз, товар попадет в карантин цен",IF(IFERROR(VALUE(LEFT(M1299,FIND("-",M1299)-1)),M1299)*200&lt;=114775,"Не сохранили изменения, чтобы защитить от ошибки — новые цены меньше текущих более чем в 2 раза. Снижайте их постепенно",IF(AND(IFERROR(VALUE(I1299),0)=0,ISNUMBER(J1299),OR(J1299&lt;413,ABS(IFERROR(VALUE(LEFT(M1299,FIND("-",M1299)-1)),M1299))*100&lt;41300)),"Проверьте цену товара. Большинство товаров в выбранной категории стоят дороже 413","")))))),"")</f>
      </c>
    </row>
    <row r="1300">
      <c r="A1300" s="2" t="inlineStr">
        <is>
          <t>Luxaro</t>
        </is>
      </c>
      <c r="B1300" s="2" t="inlineStr">
        <is>
          <t>Тарелки</t>
        </is>
      </c>
      <c r="C1300" s="2">
        <v>608869956</v>
      </c>
      <c r="D1300" s="2" t="inlineStr">
        <is>
          <t>073179</t>
        </is>
      </c>
      <c r="E1300" s="2" t="inlineStr">
        <is>
          <t>2047214988869</t>
        </is>
      </c>
      <c r="F1300" s="2">
        <v>30</v>
      </c>
      <c r="G1300" s="2">
        <v>18</v>
      </c>
      <c r="H1300" s="2">
        <v>34</v>
      </c>
      <c r="I1300" s="2" t="inlineStr">
        <is>
          <t>4056</t>
        </is>
      </c>
      <c r="J1300" s="4"/>
      <c r="K1300" s="2">
        <v>77</v>
      </c>
      <c r="L1300" s="6"/>
      <c r="M1300" s="2" t="str">
        <f>IF(J1300="",ROUND(I1300*(1-IF(ISBLANK(L1300),K1300,L1300)/100),2),ROUND(J1300*(1-IF(ISBLANK(L1300),K1300,L1300)/100),2))</f>
      </c>
      <c r="N1300" s="7" t="str">
        <f>IF(NOT(AND(J1300="",L1300="")),IF(OR(AND(L1300&lt;&gt;"",NOT(ISNUMBER(L1300))),IFERROR(MOD(L1300,1),1)&gt;0,AND(ISNUMBER(L1300),OR(L1300&lt;0,L1300&gt;95))),"Введите целое число от 0 до 95",IF(OR(AND(J1300&lt;&gt;"",NOT(ISNUMBER(J1300))),IFERROR(MOD(J1300,1),1)&gt;0,AND(ISNUMBER(J1300),OR(J1300&lt;50,J1300&gt;20000000))),"Введите целое число от 50 до 20000000",IF(NOT(ABS(IFERROR(VALUE(LEFT(M1300,FIND("-",M1300)-1)),M1300)*100-(2500+2000000000)/2)&lt;=ABS(2500-2000000000)/2),"Цена со скидкой должна быть от 25 до 20000000",IF(AND(IFERROR(VALUE(LEFT(M1300,FIND("-",M1300)-1)),M1300)*150&lt;=93287,IFERROR(VALUE(LEFT(M1300,FIND("-",M1300)-1)),M1300)*200&gt;93287),"Вы уменьшили цену в несколько раз, товар попадет в карантин цен",IF(IFERROR(VALUE(LEFT(M1300,FIND("-",M1300)-1)),M1300)*200&lt;=93287,"Не сохранили изменения, чтобы защитить от ошибки — новые цены меньше текущих более чем в 2 раза. Снижайте их постепенно",IF(AND(IFERROR(VALUE(I1300),0)=0,ISNUMBER(J1300),OR(J1300&lt;413,ABS(IFERROR(VALUE(LEFT(M1300,FIND("-",M1300)-1)),M1300))*100&lt;41300)),"Проверьте цену товара. Большинство товаров в выбранной категории стоят дороже 413","")))))),"")</f>
      </c>
    </row>
    <row r="1301">
      <c r="A1301" s="2" t="inlineStr">
        <is>
          <t>Luxaro</t>
        </is>
      </c>
      <c r="B1301" s="2" t="inlineStr">
        <is>
          <t>Тарелки</t>
        </is>
      </c>
      <c r="C1301" s="2">
        <v>608869957</v>
      </c>
      <c r="D1301" s="2" t="inlineStr">
        <is>
          <t>076396</t>
        </is>
      </c>
      <c r="E1301" s="2" t="inlineStr">
        <is>
          <t>2047214597269</t>
        </is>
      </c>
      <c r="F1301" s="2">
        <v>59</v>
      </c>
      <c r="G1301" s="2">
        <v>2</v>
      </c>
      <c r="H1301" s="2">
        <v>81</v>
      </c>
      <c r="I1301" s="2" t="inlineStr">
        <is>
          <t>5013</t>
        </is>
      </c>
      <c r="J1301" s="4"/>
      <c r="K1301" s="2">
        <v>77</v>
      </c>
      <c r="L1301" s="6"/>
      <c r="M1301" s="2" t="str">
        <f>IF(J1301="",ROUND(I1301*(1-IF(ISBLANK(L1301),K1301,L1301)/100),2),ROUND(J1301*(1-IF(ISBLANK(L1301),K1301,L1301)/100),2))</f>
      </c>
      <c r="N1301" s="7" t="str">
        <f>IF(NOT(AND(J1301="",L1301="")),IF(OR(AND(L1301&lt;&gt;"",NOT(ISNUMBER(L1301))),IFERROR(MOD(L1301,1),1)&gt;0,AND(ISNUMBER(L1301),OR(L1301&lt;0,L1301&gt;95))),"Введите целое число от 0 до 95",IF(OR(AND(J1301&lt;&gt;"",NOT(ISNUMBER(J1301))),IFERROR(MOD(J1301,1),1)&gt;0,AND(ISNUMBER(J1301),OR(J1301&lt;50,J1301&gt;20000000))),"Введите целое число от 50 до 20000000",IF(NOT(ABS(IFERROR(VALUE(LEFT(M1301,FIND("-",M1301)-1)),M1301)*100-(2500+2000000000)/2)&lt;=ABS(2500-2000000000)/2),"Цена со скидкой должна быть от 25 до 20000000",IF(AND(IFERROR(VALUE(LEFT(M1301,FIND("-",M1301)-1)),M1301)*150&lt;=115299,IFERROR(VALUE(LEFT(M1301,FIND("-",M1301)-1)),M1301)*200&gt;115299),"Вы уменьшили цену в несколько раз, товар попадет в карантин цен",IF(IFERROR(VALUE(LEFT(M1301,FIND("-",M1301)-1)),M1301)*200&lt;=115299,"Не сохранили изменения, чтобы защитить от ошибки — новые цены меньше текущих более чем в 2 раза. Снижайте их постепенно",IF(AND(IFERROR(VALUE(I1301),0)=0,ISNUMBER(J1301),OR(J1301&lt;413,ABS(IFERROR(VALUE(LEFT(M1301,FIND("-",M1301)-1)),M1301))*100&lt;41300)),"Проверьте цену товара. Большинство товаров в выбранной категории стоят дороже 413","")))))),"")</f>
      </c>
    </row>
    <row r="1302">
      <c r="A1302" s="2" t="inlineStr">
        <is>
          <t/>
        </is>
      </c>
      <c r="B1302" s="2" t="inlineStr">
        <is>
          <t>Чайники заварочные</t>
        </is>
      </c>
      <c r="C1302" s="2">
        <v>729548697</v>
      </c>
      <c r="D1302" s="2" t="inlineStr">
        <is>
          <t>820092</t>
        </is>
      </c>
      <c r="E1302" s="2" t="inlineStr">
        <is>
          <t>2048083257681</t>
        </is>
      </c>
      <c r="F1302" s="2">
        <v>0</v>
      </c>
      <c r="G1302" s="2">
        <v>0</v>
      </c>
      <c r="H1302" s="2" t="inlineStr">
        <is>
          <t/>
        </is>
      </c>
      <c r="I1302" s="2" t="inlineStr">
        <is>
          <t>6833</t>
        </is>
      </c>
      <c r="J1302" s="4"/>
      <c r="K1302" s="2">
        <v>78</v>
      </c>
      <c r="L1302" s="6"/>
      <c r="M1302" s="2" t="str">
        <f>IF(J1302="",ROUND(I1302*(1-IF(ISBLANK(L1302),K1302,L1302)/100),2),ROUND(J1302*(1-IF(ISBLANK(L1302),K1302,L1302)/100),2))</f>
      </c>
      <c r="N1302" s="7" t="str">
        <f>IF(NOT(AND(J1302="",L1302="")),IF(OR(AND(L1302&lt;&gt;"",NOT(ISNUMBER(L1302))),IFERROR(MOD(L1302,1),1)&gt;0,AND(ISNUMBER(L1302),OR(L1302&lt;0,L1302&gt;95))),"Введите целое число от 0 до 95",IF(OR(AND(J1302&lt;&gt;"",NOT(ISNUMBER(J1302))),IFERROR(MOD(J1302,1),1)&gt;0,AND(ISNUMBER(J1302),OR(J1302&lt;50,J1302&gt;20000000))),"Введите целое число от 50 до 20000000",IF(NOT(ABS(IFERROR(VALUE(LEFT(M1302,FIND("-",M1302)-1)),M1302)*100-(2500+2000000000)/2)&lt;=ABS(2500-2000000000)/2),"Цена со скидкой должна быть от 25 до 20000000",IF(AND(IFERROR(VALUE(LEFT(M1302,FIND("-",M1302)-1)),M1302)*150&lt;=150325,IFERROR(VALUE(LEFT(M1302,FIND("-",M1302)-1)),M1302)*200&gt;150325),"Вы уменьшили цену в несколько раз, товар попадет в карантин цен",IF(IFERROR(VALUE(LEFT(M1302,FIND("-",M1302)-1)),M1302)*200&lt;=150325,"Не сохранили изменения, чтобы защитить от ошибки — новые цены меньше текущих более чем в 2 раза. Снижайте их постепенно",IF(AND(IFERROR(VALUE(I1302),0)=0,ISNUMBER(J1302),OR(J1302&lt;681,ABS(IFERROR(VALUE(LEFT(M1302,FIND("-",M1302)-1)),M1302))*100&lt;68100)),"Проверьте цену товара. Большинство товаров в выбранной категории стоят дороже 681","")))))),"")</f>
      </c>
    </row>
    <row r="1303">
      <c r="A1303" s="2" t="inlineStr">
        <is>
          <t>Luxaro</t>
        </is>
      </c>
      <c r="B1303" s="2" t="inlineStr">
        <is>
          <t>Тарелки</t>
        </is>
      </c>
      <c r="C1303" s="2">
        <v>866577341</v>
      </c>
      <c r="D1303" s="2" t="inlineStr">
        <is>
          <t>14004</t>
        </is>
      </c>
      <c r="E1303" s="2" t="inlineStr">
        <is>
          <t>2049459720426</t>
        </is>
      </c>
      <c r="F1303" s="2">
        <v>104</v>
      </c>
      <c r="G1303" s="2">
        <v>41</v>
      </c>
      <c r="H1303" s="2">
        <v>36</v>
      </c>
      <c r="I1303" s="2" t="inlineStr">
        <is>
          <t>5752</t>
        </is>
      </c>
      <c r="J1303" s="4"/>
      <c r="K1303" s="2">
        <v>77</v>
      </c>
      <c r="L1303" s="6"/>
      <c r="M1303" s="2" t="str">
        <f>IF(J1303="",ROUND(I1303*(1-IF(ISBLANK(L1303),K1303,L1303)/100),2),ROUND(J1303*(1-IF(ISBLANK(L1303),K1303,L1303)/100),2))</f>
      </c>
      <c r="N1303" s="7" t="str">
        <f>IF(NOT(AND(J1303="",L1303="")),IF(OR(AND(L1303&lt;&gt;"",NOT(ISNUMBER(L1303))),IFERROR(MOD(L1303,1),1)&gt;0,AND(ISNUMBER(L1303),OR(L1303&lt;0,L1303&gt;95))),"Введите целое число от 0 до 95",IF(OR(AND(J1303&lt;&gt;"",NOT(ISNUMBER(J1303))),IFERROR(MOD(J1303,1),1)&gt;0,AND(ISNUMBER(J1303),OR(J1303&lt;50,J1303&gt;20000000))),"Введите целое число от 50 до 20000000",IF(NOT(ABS(IFERROR(VALUE(LEFT(M1303,FIND("-",M1303)-1)),M1303)*100-(2500+2000000000)/2)&lt;=ABS(2500-2000000000)/2),"Цена со скидкой должна быть от 25 до 20000000",IF(AND(IFERROR(VALUE(LEFT(M1303,FIND("-",M1303)-1)),M1303)*150&lt;=132295,IFERROR(VALUE(LEFT(M1303,FIND("-",M1303)-1)),M1303)*200&gt;132295),"Вы уменьшили цену в несколько раз, товар попадет в карантин цен",IF(IFERROR(VALUE(LEFT(M1303,FIND("-",M1303)-1)),M1303)*200&lt;=132295,"Не сохранили изменения, чтобы защитить от ошибки — новые цены меньше текущих более чем в 2 раза. Снижайте их постепенно",IF(AND(IFERROR(VALUE(I1303),0)=0,ISNUMBER(J1303),OR(J1303&lt;413,ABS(IFERROR(VALUE(LEFT(M1303,FIND("-",M1303)-1)),M1303))*100&lt;41300)),"Проверьте цену товара. Большинство товаров в выбранной категории стоят дороже 413","")))))),"")</f>
      </c>
    </row>
    <row r="1304">
      <c r="A1304" s="2" t="inlineStr">
        <is>
          <t/>
        </is>
      </c>
      <c r="B1304" s="2" t="inlineStr">
        <is>
          <t>Чайники заварочные</t>
        </is>
      </c>
      <c r="C1304" s="2">
        <v>729548706</v>
      </c>
      <c r="D1304" s="2" t="inlineStr">
        <is>
          <t>820094</t>
        </is>
      </c>
      <c r="E1304" s="2" t="inlineStr">
        <is>
          <t>2048083257797</t>
        </is>
      </c>
      <c r="F1304" s="2">
        <v>10</v>
      </c>
      <c r="G1304" s="2">
        <v>11</v>
      </c>
      <c r="H1304" s="2">
        <v>999</v>
      </c>
      <c r="I1304" s="2" t="inlineStr">
        <is>
          <t>8248</t>
        </is>
      </c>
      <c r="J1304" s="4"/>
      <c r="K1304" s="2">
        <v>80</v>
      </c>
      <c r="L1304" s="6"/>
      <c r="M1304" s="2" t="str">
        <f>IF(J1304="",ROUND(I1304*(1-IF(ISBLANK(L1304),K1304,L1304)/100),2),ROUND(J1304*(1-IF(ISBLANK(L1304),K1304,L1304)/100),2))</f>
      </c>
      <c r="N1304" s="7" t="str">
        <f>IF(NOT(AND(J1304="",L1304="")),IF(OR(AND(L1304&lt;&gt;"",NOT(ISNUMBER(L1304))),IFERROR(MOD(L1304,1),1)&gt;0,AND(ISNUMBER(L1304),OR(L1304&lt;0,L1304&gt;95))),"Введите целое число от 0 до 95",IF(OR(AND(J1304&lt;&gt;"",NOT(ISNUMBER(J1304))),IFERROR(MOD(J1304,1),1)&gt;0,AND(ISNUMBER(J1304),OR(J1304&lt;50,J1304&gt;20000000))),"Введите целое число от 50 до 20000000",IF(NOT(ABS(IFERROR(VALUE(LEFT(M1304,FIND("-",M1304)-1)),M1304)*100-(2500+2000000000)/2)&lt;=ABS(2500-2000000000)/2),"Цена со скидкой должна быть от 25 до 20000000",IF(AND(IFERROR(VALUE(LEFT(M1304,FIND("-",M1304)-1)),M1304)*150&lt;=164959,IFERROR(VALUE(LEFT(M1304,FIND("-",M1304)-1)),M1304)*200&gt;164959),"Вы уменьшили цену в несколько раз, товар попадет в карантин цен",IF(IFERROR(VALUE(LEFT(M1304,FIND("-",M1304)-1)),M1304)*200&lt;=164959,"Не сохранили изменения, чтобы защитить от ошибки — новые цены меньше текущих более чем в 2 раза. Снижайте их постепенно",IF(AND(IFERROR(VALUE(I1304),0)=0,ISNUMBER(J1304),OR(J1304&lt;681,ABS(IFERROR(VALUE(LEFT(M1304,FIND("-",M1304)-1)),M1304))*100&lt;68100)),"Проверьте цену товара. Большинство товаров в выбранной категории стоят дороже 681","")))))),"")</f>
      </c>
    </row>
    <row r="1305">
      <c r="A1305" s="2" t="inlineStr">
        <is>
          <t/>
        </is>
      </c>
      <c r="B1305" s="2" t="inlineStr">
        <is>
          <t>Чайники заварочные</t>
        </is>
      </c>
      <c r="C1305" s="2">
        <v>729548713</v>
      </c>
      <c r="D1305" s="2" t="inlineStr">
        <is>
          <t>820414</t>
        </is>
      </c>
      <c r="E1305" s="2" t="inlineStr">
        <is>
          <t>2048083257872</t>
        </is>
      </c>
      <c r="F1305" s="2">
        <v>10</v>
      </c>
      <c r="G1305" s="2">
        <v>5</v>
      </c>
      <c r="H1305" s="2">
        <v>999</v>
      </c>
      <c r="I1305" s="2" t="inlineStr">
        <is>
          <t>8532</t>
        </is>
      </c>
      <c r="J1305" s="4"/>
      <c r="K1305" s="2">
        <v>82</v>
      </c>
      <c r="L1305" s="6"/>
      <c r="M1305" s="2" t="str">
        <f>IF(J1305="",ROUND(I1305*(1-IF(ISBLANK(L1305),K1305,L1305)/100),2),ROUND(J1305*(1-IF(ISBLANK(L1305),K1305,L1305)/100),2))</f>
      </c>
      <c r="N1305" s="7" t="str">
        <f>IF(NOT(AND(J1305="",L1305="")),IF(OR(AND(L1305&lt;&gt;"",NOT(ISNUMBER(L1305))),IFERROR(MOD(L1305,1),1)&gt;0,AND(ISNUMBER(L1305),OR(L1305&lt;0,L1305&gt;95))),"Введите целое число от 0 до 95",IF(OR(AND(J1305&lt;&gt;"",NOT(ISNUMBER(J1305))),IFERROR(MOD(J1305,1),1)&gt;0,AND(ISNUMBER(J1305),OR(J1305&lt;50,J1305&gt;20000000))),"Введите целое число от 50 до 20000000",IF(NOT(ABS(IFERROR(VALUE(LEFT(M1305,FIND("-",M1305)-1)),M1305)*100-(2500+2000000000)/2)&lt;=ABS(2500-2000000000)/2),"Цена со скидкой должна быть от 25 до 20000000",IF(AND(IFERROR(VALUE(LEFT(M1305,FIND("-",M1305)-1)),M1305)*150&lt;=153576,IFERROR(VALUE(LEFT(M1305,FIND("-",M1305)-1)),M1305)*200&gt;153576),"Вы уменьшили цену в несколько раз, товар попадет в карантин цен",IF(IFERROR(VALUE(LEFT(M1305,FIND("-",M1305)-1)),M1305)*200&lt;=153576,"Не сохранили изменения, чтобы защитить от ошибки — новые цены меньше текущих более чем в 2 раза. Снижайте их постепенно",IF(AND(IFERROR(VALUE(I1305),0)=0,ISNUMBER(J1305),OR(J1305&lt;681,ABS(IFERROR(VALUE(LEFT(M1305,FIND("-",M1305)-1)),M1305))*100&lt;68100)),"Проверьте цену товара. Большинство товаров в выбранной категории стоят дороже 681","")))))),"")</f>
      </c>
    </row>
    <row r="1306">
      <c r="A1306" s="2" t="inlineStr">
        <is>
          <t/>
        </is>
      </c>
      <c r="B1306" s="2" t="inlineStr">
        <is>
          <t>Чайники заварочные</t>
        </is>
      </c>
      <c r="C1306" s="2">
        <v>729548711</v>
      </c>
      <c r="D1306" s="2" t="inlineStr">
        <is>
          <t>820095</t>
        </is>
      </c>
      <c r="E1306" s="2" t="inlineStr">
        <is>
          <t>2048083257841</t>
        </is>
      </c>
      <c r="F1306" s="2">
        <v>0</v>
      </c>
      <c r="G1306" s="2">
        <v>9</v>
      </c>
      <c r="H1306" s="2" t="inlineStr">
        <is>
          <t/>
        </is>
      </c>
      <c r="I1306" s="2" t="inlineStr">
        <is>
          <t>9290</t>
        </is>
      </c>
      <c r="J1306" s="4"/>
      <c r="K1306" s="2">
        <v>78</v>
      </c>
      <c r="L1306" s="6"/>
      <c r="M1306" s="2" t="str">
        <f>IF(J1306="",ROUND(I1306*(1-IF(ISBLANK(L1306),K1306,L1306)/100),2),ROUND(J1306*(1-IF(ISBLANK(L1306),K1306,L1306)/100),2))</f>
      </c>
      <c r="N1306" s="7" t="str">
        <f>IF(NOT(AND(J1306="",L1306="")),IF(OR(AND(L1306&lt;&gt;"",NOT(ISNUMBER(L1306))),IFERROR(MOD(L1306,1),1)&gt;0,AND(ISNUMBER(L1306),OR(L1306&lt;0,L1306&gt;95))),"Введите целое число от 0 до 95",IF(OR(AND(J1306&lt;&gt;"",NOT(ISNUMBER(J1306))),IFERROR(MOD(J1306,1),1)&gt;0,AND(ISNUMBER(J1306),OR(J1306&lt;50,J1306&gt;20000000))),"Введите целое число от 50 до 20000000",IF(NOT(ABS(IFERROR(VALUE(LEFT(M1306,FIND("-",M1306)-1)),M1306)*100-(2500+2000000000)/2)&lt;=ABS(2500-2000000000)/2),"Цена со скидкой должна быть от 25 до 20000000",IF(AND(IFERROR(VALUE(LEFT(M1306,FIND("-",M1306)-1)),M1306)*150&lt;=204379,IFERROR(VALUE(LEFT(M1306,FIND("-",M1306)-1)),M1306)*200&gt;204379),"Вы уменьшили цену в несколько раз, товар попадет в карантин цен",IF(IFERROR(VALUE(LEFT(M1306,FIND("-",M1306)-1)),M1306)*200&lt;=204379,"Не сохранили изменения, чтобы защитить от ошибки — новые цены меньше текущих более чем в 2 раза. Снижайте их постепенно",IF(AND(IFERROR(VALUE(I1306),0)=0,ISNUMBER(J1306),OR(J1306&lt;681,ABS(IFERROR(VALUE(LEFT(M1306,FIND("-",M1306)-1)),M1306))*100&lt;68100)),"Проверьте цену товара. Большинство товаров в выбранной категории стоят дороже 681","")))))),"")</f>
      </c>
    </row>
    <row r="1307">
      <c r="A1307" s="2" t="inlineStr">
        <is>
          <t/>
        </is>
      </c>
      <c r="B1307" s="2" t="inlineStr">
        <is>
          <t>Чайники электрические</t>
        </is>
      </c>
      <c r="C1307" s="2">
        <v>603732360</v>
      </c>
      <c r="D1307" s="2" t="inlineStr">
        <is>
          <t>192635</t>
        </is>
      </c>
      <c r="E1307" s="2" t="inlineStr">
        <is>
          <t>2047147941528</t>
        </is>
      </c>
      <c r="F1307" s="2">
        <v>6</v>
      </c>
      <c r="G1307" s="2">
        <v>8</v>
      </c>
      <c r="H1307" s="2">
        <v>207</v>
      </c>
      <c r="I1307" s="2" t="inlineStr">
        <is>
          <t>12987</t>
        </is>
      </c>
      <c r="J1307" s="4"/>
      <c r="K1307" s="2">
        <v>79</v>
      </c>
      <c r="L1307" s="6"/>
      <c r="M1307" s="2" t="str">
        <f>IF(J1307="",ROUND(I1307*(1-IF(ISBLANK(L1307),K1307,L1307)/100),2),ROUND(J1307*(1-IF(ISBLANK(L1307),K1307,L1307)/100),2))</f>
      </c>
      <c r="N1307" s="7" t="str">
        <f>IF(NOT(AND(J1307="",L1307="")),IF(OR(AND(L1307&lt;&gt;"",NOT(ISNUMBER(L1307))),IFERROR(MOD(L1307,1),1)&gt;0,AND(ISNUMBER(L1307),OR(L1307&lt;0,L1307&gt;95))),"Введите целое число от 0 до 95",IF(OR(AND(J1307&lt;&gt;"",NOT(ISNUMBER(J1307))),IFERROR(MOD(J1307,1),1)&gt;0,AND(ISNUMBER(J1307),OR(J1307&lt;50,J1307&gt;20000000))),"Введите целое число от 50 до 20000000",IF(NOT(ABS(IFERROR(VALUE(LEFT(M1307,FIND("-",M1307)-1)),M1307)*100-(2500+2000000000)/2)&lt;=ABS(2500-2000000000)/2),"Цена со скидкой должна быть от 25 до 20000000",IF(AND(IFERROR(VALUE(LEFT(M1307,FIND("-",M1307)-1)),M1307)*150&lt;=272726,IFERROR(VALUE(LEFT(M1307,FIND("-",M1307)-1)),M1307)*200&gt;272726),"Вы уменьшили цену в несколько раз, товар попадет в карантин цен",IF(IFERROR(VALUE(LEFT(M1307,FIND("-",M1307)-1)),M1307)*200&lt;=272726,"Не сохранили изменения, чтобы защитить от ошибки — новые цены меньше текущих более чем в 2 раза. Снижайте их постепенно",IF(AND(IFERROR(VALUE(I1307),0)=0,ISNUMBER(J1307),OR(J1307&lt;496,ABS(IFERROR(VALUE(LEFT(M1307,FIND("-",M1307)-1)),M1307))*100&lt;49600)),"Проверьте цену товара. Большинство товаров в выбранной категории стоят дороже 496","")))))),"")</f>
      </c>
    </row>
    <row r="1308">
      <c r="A1308" s="2" t="inlineStr">
        <is>
          <t>Luxaro</t>
        </is>
      </c>
      <c r="B1308" s="2" t="inlineStr">
        <is>
          <t>Тарелки</t>
        </is>
      </c>
      <c r="C1308" s="2">
        <v>866577337</v>
      </c>
      <c r="D1308" s="2" t="inlineStr">
        <is>
          <t>14008</t>
        </is>
      </c>
      <c r="E1308" s="2" t="inlineStr">
        <is>
          <t>2049459720358</t>
        </is>
      </c>
      <c r="F1308" s="2">
        <v>0</v>
      </c>
      <c r="G1308" s="2">
        <v>4</v>
      </c>
      <c r="H1308" s="2">
        <v>1</v>
      </c>
      <c r="I1308" s="2" t="inlineStr">
        <is>
          <t>9400</t>
        </is>
      </c>
      <c r="J1308" s="4"/>
      <c r="K1308" s="2">
        <v>77</v>
      </c>
      <c r="L1308" s="6"/>
      <c r="M1308" s="2" t="str">
        <f>IF(J1308="",ROUND(I1308*(1-IF(ISBLANK(L1308),K1308,L1308)/100),2),ROUND(J1308*(1-IF(ISBLANK(L1308),K1308,L1308)/100),2))</f>
      </c>
      <c r="N1308" s="7" t="str">
        <f>IF(NOT(AND(J1308="",L1308="")),IF(OR(AND(L1308&lt;&gt;"",NOT(ISNUMBER(L1308))),IFERROR(MOD(L1308,1),1)&gt;0,AND(ISNUMBER(L1308),OR(L1308&lt;0,L1308&gt;95))),"Введите целое число от 0 до 95",IF(OR(AND(J1308&lt;&gt;"",NOT(ISNUMBER(J1308))),IFERROR(MOD(J1308,1),1)&gt;0,AND(ISNUMBER(J1308),OR(J1308&lt;50,J1308&gt;20000000))),"Введите целое число от 50 до 20000000",IF(NOT(ABS(IFERROR(VALUE(LEFT(M1308,FIND("-",M1308)-1)),M1308)*100-(2500+2000000000)/2)&lt;=ABS(2500-2000000000)/2),"Цена со скидкой должна быть от 25 до 20000000",IF(AND(IFERROR(VALUE(LEFT(M1308,FIND("-",M1308)-1)),M1308)*150&lt;=216200,IFERROR(VALUE(LEFT(M1308,FIND("-",M1308)-1)),M1308)*200&gt;216200),"Вы уменьшили цену в несколько раз, товар попадет в карантин цен",IF(IFERROR(VALUE(LEFT(M1308,FIND("-",M1308)-1)),M1308)*200&lt;=216200,"Не сохранили изменения, чтобы защитить от ошибки — новые цены меньше текущих более чем в 2 раза. Снижайте их постепенно",IF(AND(IFERROR(VALUE(I1308),0)=0,ISNUMBER(J1308),OR(J1308&lt;413,ABS(IFERROR(VALUE(LEFT(M1308,FIND("-",M1308)-1)),M1308))*100&lt;41300)),"Проверьте цену товара. Большинство товаров в выбранной категории стоят дороже 413","")))))),"")</f>
      </c>
    </row>
    <row r="1309">
      <c r="A1309" s="2" t="inlineStr">
        <is>
          <t/>
        </is>
      </c>
      <c r="B1309" s="2" t="inlineStr">
        <is>
          <t>Чайники заварочные</t>
        </is>
      </c>
      <c r="C1309" s="2">
        <v>729548703</v>
      </c>
      <c r="D1309" s="2" t="inlineStr">
        <is>
          <t>283510</t>
        </is>
      </c>
      <c r="E1309" s="2" t="inlineStr">
        <is>
          <t>2048083257766</t>
        </is>
      </c>
      <c r="F1309" s="2">
        <v>7</v>
      </c>
      <c r="G1309" s="2">
        <v>0</v>
      </c>
      <c r="H1309" s="2">
        <v>999</v>
      </c>
      <c r="I1309" s="2" t="inlineStr">
        <is>
          <t>6912</t>
        </is>
      </c>
      <c r="J1309" s="4"/>
      <c r="K1309" s="2">
        <v>80</v>
      </c>
      <c r="L1309" s="6"/>
      <c r="M1309" s="2" t="str">
        <f>IF(J1309="",ROUND(I1309*(1-IF(ISBLANK(L1309),K1309,L1309)/100),2),ROUND(J1309*(1-IF(ISBLANK(L1309),K1309,L1309)/100),2))</f>
      </c>
      <c r="N1309" s="7" t="str">
        <f>IF(NOT(AND(J1309="",L1309="")),IF(OR(AND(L1309&lt;&gt;"",NOT(ISNUMBER(L1309))),IFERROR(MOD(L1309,1),1)&gt;0,AND(ISNUMBER(L1309),OR(L1309&lt;0,L1309&gt;95))),"Введите целое число от 0 до 95",IF(OR(AND(J1309&lt;&gt;"",NOT(ISNUMBER(J1309))),IFERROR(MOD(J1309,1),1)&gt;0,AND(ISNUMBER(J1309),OR(J1309&lt;50,J1309&gt;20000000))),"Введите целое число от 50 до 20000000",IF(NOT(ABS(IFERROR(VALUE(LEFT(M1309,FIND("-",M1309)-1)),M1309)*100-(2500+2000000000)/2)&lt;=ABS(2500-2000000000)/2),"Цена со скидкой должна быть от 25 до 20000000",IF(AND(IFERROR(VALUE(LEFT(M1309,FIND("-",M1309)-1)),M1309)*150&lt;=138239,IFERROR(VALUE(LEFT(M1309,FIND("-",M1309)-1)),M1309)*200&gt;138239),"Вы уменьшили цену в несколько раз, товар попадет в карантин цен",IF(IFERROR(VALUE(LEFT(M1309,FIND("-",M1309)-1)),M1309)*200&lt;=138239,"Не сохранили изменения, чтобы защитить от ошибки — новые цены меньше текущих более чем в 2 раза. Снижайте их постепенно",IF(AND(IFERROR(VALUE(I1309),0)=0,ISNUMBER(J1309),OR(J1309&lt;681,ABS(IFERROR(VALUE(LEFT(M1309,FIND("-",M1309)-1)),M1309))*100&lt;68100)),"Проверьте цену товара. Большинство товаров в выбранной категории стоят дороже 681","")))))),"")</f>
      </c>
    </row>
    <row r="1310">
      <c r="A1310" s="2" t="inlineStr">
        <is>
          <t/>
        </is>
      </c>
      <c r="B1310" s="2" t="inlineStr">
        <is>
          <t>Чайники электрические</t>
        </is>
      </c>
      <c r="C1310" s="2">
        <v>725312312</v>
      </c>
      <c r="D1310" s="2" t="inlineStr">
        <is>
          <t>192464</t>
        </is>
      </c>
      <c r="E1310" s="2" t="inlineStr">
        <is>
          <t>2048047081673</t>
        </is>
      </c>
      <c r="F1310" s="2">
        <v>0</v>
      </c>
      <c r="G1310" s="2">
        <v>0</v>
      </c>
      <c r="H1310" s="2" t="inlineStr">
        <is>
          <t/>
        </is>
      </c>
      <c r="I1310" s="2" t="inlineStr">
        <is>
          <t>59293</t>
        </is>
      </c>
      <c r="J1310" s="4"/>
      <c r="K1310" s="2">
        <v>65</v>
      </c>
      <c r="L1310" s="6"/>
      <c r="M1310" s="2" t="str">
        <f>IF(J1310="",ROUND(I1310*(1-IF(ISBLANK(L1310),K1310,L1310)/100),2),ROUND(J1310*(1-IF(ISBLANK(L1310),K1310,L1310)/100),2))</f>
      </c>
      <c r="N1310" s="7" t="str">
        <f>IF(NOT(AND(J1310="",L1310="")),IF(OR(AND(L1310&lt;&gt;"",NOT(ISNUMBER(L1310))),IFERROR(MOD(L1310,1),1)&gt;0,AND(ISNUMBER(L1310),OR(L1310&lt;0,L1310&gt;95))),"Введите целое число от 0 до 95",IF(OR(AND(J1310&lt;&gt;"",NOT(ISNUMBER(J1310))),IFERROR(MOD(J1310,1),1)&gt;0,AND(ISNUMBER(J1310),OR(J1310&lt;50,J1310&gt;20000000))),"Введите целое число от 50 до 20000000",IF(NOT(ABS(IFERROR(VALUE(LEFT(M1310,FIND("-",M1310)-1)),M1310)*100-(2500+2000000000)/2)&lt;=ABS(2500-2000000000)/2),"Цена со скидкой должна быть от 25 до 20000000",IF(AND(IFERROR(VALUE(LEFT(M1310,FIND("-",M1310)-1)),M1310)*150&lt;=2075255,IFERROR(VALUE(LEFT(M1310,FIND("-",M1310)-1)),M1310)*200&gt;2075255),"Вы уменьшили цену в несколько раз, товар попадет в карантин цен",IF(IFERROR(VALUE(LEFT(M1310,FIND("-",M1310)-1)),M1310)*200&lt;=2075255,"Не сохранили изменения, чтобы защитить от ошибки — новые цены меньше текущих более чем в 2 раза. Снижайте их постепенно",IF(AND(IFERROR(VALUE(I1310),0)=0,ISNUMBER(J1310),OR(J1310&lt;496,ABS(IFERROR(VALUE(LEFT(M1310,FIND("-",M1310)-1)),M1310))*100&lt;49600)),"Проверьте цену товара. Большинство товаров в выбранной категории стоят дороже 496","")))))),"")</f>
      </c>
    </row>
    <row r="1311">
      <c r="A1311" s="2" t="inlineStr">
        <is>
          <t/>
        </is>
      </c>
      <c r="B1311" s="2" t="inlineStr">
        <is>
          <t>Чайники электрические</t>
        </is>
      </c>
      <c r="C1311" s="2">
        <v>725312326</v>
      </c>
      <c r="D1311" s="2" t="inlineStr">
        <is>
          <t>191607</t>
        </is>
      </c>
      <c r="E1311" s="2" t="inlineStr">
        <is>
          <t>2048047081819</t>
        </is>
      </c>
      <c r="F1311" s="2">
        <v>0</v>
      </c>
      <c r="G1311" s="2">
        <v>9</v>
      </c>
      <c r="H1311" s="2" t="inlineStr">
        <is>
          <t/>
        </is>
      </c>
      <c r="I1311" s="2" t="inlineStr">
        <is>
          <t>12083</t>
        </is>
      </c>
      <c r="J1311" s="4"/>
      <c r="K1311" s="2">
        <v>75</v>
      </c>
      <c r="L1311" s="6"/>
      <c r="M1311" s="2" t="str">
        <f>IF(J1311="",ROUND(I1311*(1-IF(ISBLANK(L1311),K1311,L1311)/100),2),ROUND(J1311*(1-IF(ISBLANK(L1311),K1311,L1311)/100),2))</f>
      </c>
      <c r="N1311" s="7" t="str">
        <f>IF(NOT(AND(J1311="",L1311="")),IF(OR(AND(L1311&lt;&gt;"",NOT(ISNUMBER(L1311))),IFERROR(MOD(L1311,1),1)&gt;0,AND(ISNUMBER(L1311),OR(L1311&lt;0,L1311&gt;95))),"Введите целое число от 0 до 95",IF(OR(AND(J1311&lt;&gt;"",NOT(ISNUMBER(J1311))),IFERROR(MOD(J1311,1),1)&gt;0,AND(ISNUMBER(J1311),OR(J1311&lt;50,J1311&gt;20000000))),"Введите целое число от 50 до 20000000",IF(NOT(ABS(IFERROR(VALUE(LEFT(M1311,FIND("-",M1311)-1)),M1311)*100-(2500+2000000000)/2)&lt;=ABS(2500-2000000000)/2),"Цена со скидкой должна быть от 25 до 20000000",IF(AND(IFERROR(VALUE(LEFT(M1311,FIND("-",M1311)-1)),M1311)*150&lt;=302075,IFERROR(VALUE(LEFT(M1311,FIND("-",M1311)-1)),M1311)*200&gt;302075),"Вы уменьшили цену в несколько раз, товар попадет в карантин цен",IF(IFERROR(VALUE(LEFT(M1311,FIND("-",M1311)-1)),M1311)*200&lt;=302075,"Не сохранили изменения, чтобы защитить от ошибки — новые цены меньше текущих более чем в 2 раза. Снижайте их постепенно",IF(AND(IFERROR(VALUE(I1311),0)=0,ISNUMBER(J1311),OR(J1311&lt;496,ABS(IFERROR(VALUE(LEFT(M1311,FIND("-",M1311)-1)),M1311))*100&lt;49600)),"Проверьте цену товара. Большинство товаров в выбранной категории стоят дороже 496","")))))),"")</f>
      </c>
    </row>
    <row r="1312">
      <c r="A1312" s="2" t="inlineStr">
        <is>
          <t/>
        </is>
      </c>
      <c r="B1312" s="2" t="inlineStr">
        <is>
          <t>Чайники электрические</t>
        </is>
      </c>
      <c r="C1312" s="2">
        <v>725312315</v>
      </c>
      <c r="D1312" s="2" t="inlineStr">
        <is>
          <t>192179</t>
        </is>
      </c>
      <c r="E1312" s="2" t="inlineStr">
        <is>
          <t>2048047081703</t>
        </is>
      </c>
      <c r="F1312" s="2">
        <v>0</v>
      </c>
      <c r="G1312" s="2">
        <v>0</v>
      </c>
      <c r="H1312" s="2" t="inlineStr">
        <is>
          <t/>
        </is>
      </c>
      <c r="I1312" s="2" t="inlineStr">
        <is>
          <t>12043</t>
        </is>
      </c>
      <c r="J1312" s="4"/>
      <c r="K1312" s="2">
        <v>78</v>
      </c>
      <c r="L1312" s="6"/>
      <c r="M1312" s="2" t="str">
        <f>IF(J1312="",ROUND(I1312*(1-IF(ISBLANK(L1312),K1312,L1312)/100),2),ROUND(J1312*(1-IF(ISBLANK(L1312),K1312,L1312)/100),2))</f>
      </c>
      <c r="N1312" s="7" t="str">
        <f>IF(NOT(AND(J1312="",L1312="")),IF(OR(AND(L1312&lt;&gt;"",NOT(ISNUMBER(L1312))),IFERROR(MOD(L1312,1),1)&gt;0,AND(ISNUMBER(L1312),OR(L1312&lt;0,L1312&gt;95))),"Введите целое число от 0 до 95",IF(OR(AND(J1312&lt;&gt;"",NOT(ISNUMBER(J1312))),IFERROR(MOD(J1312,1),1)&gt;0,AND(ISNUMBER(J1312),OR(J1312&lt;50,J1312&gt;20000000))),"Введите целое число от 50 до 20000000",IF(NOT(ABS(IFERROR(VALUE(LEFT(M1312,FIND("-",M1312)-1)),M1312)*100-(2500+2000000000)/2)&lt;=ABS(2500-2000000000)/2),"Цена со скидкой должна быть от 25 до 20000000",IF(AND(IFERROR(VALUE(LEFT(M1312,FIND("-",M1312)-1)),M1312)*150&lt;=264945,IFERROR(VALUE(LEFT(M1312,FIND("-",M1312)-1)),M1312)*200&gt;264945),"Вы уменьшили цену в несколько раз, товар попадет в карантин цен",IF(IFERROR(VALUE(LEFT(M1312,FIND("-",M1312)-1)),M1312)*200&lt;=264945,"Не сохранили изменения, чтобы защитить от ошибки — новые цены меньше текущих более чем в 2 раза. Снижайте их постепенно",IF(AND(IFERROR(VALUE(I1312),0)=0,ISNUMBER(J1312),OR(J1312&lt;496,ABS(IFERROR(VALUE(LEFT(M1312,FIND("-",M1312)-1)),M1312))*100&lt;49600)),"Проверьте цену товара. Большинство товаров в выбранной категории стоят дороже 496","")))))),"")</f>
      </c>
    </row>
    <row r="1313">
      <c r="A1313" s="2" t="inlineStr">
        <is>
          <t/>
        </is>
      </c>
      <c r="B1313" s="2" t="inlineStr">
        <is>
          <t>Чайники электрические</t>
        </is>
      </c>
      <c r="C1313" s="2">
        <v>725312310</v>
      </c>
      <c r="D1313" s="2" t="inlineStr">
        <is>
          <t>192392</t>
        </is>
      </c>
      <c r="E1313" s="2" t="inlineStr">
        <is>
          <t>2048047081659</t>
        </is>
      </c>
      <c r="F1313" s="2">
        <v>0</v>
      </c>
      <c r="G1313" s="2">
        <v>3</v>
      </c>
      <c r="H1313" s="2" t="inlineStr">
        <is>
          <t/>
        </is>
      </c>
      <c r="I1313" s="2" t="inlineStr">
        <is>
          <t>22766</t>
        </is>
      </c>
      <c r="J1313" s="4"/>
      <c r="K1313" s="2">
        <v>80</v>
      </c>
      <c r="L1313" s="6"/>
      <c r="M1313" s="2" t="str">
        <f>IF(J1313="",ROUND(I1313*(1-IF(ISBLANK(L1313),K1313,L1313)/100),2),ROUND(J1313*(1-IF(ISBLANK(L1313),K1313,L1313)/100),2))</f>
      </c>
      <c r="N1313" s="7" t="str">
        <f>IF(NOT(AND(J1313="",L1313="")),IF(OR(AND(L1313&lt;&gt;"",NOT(ISNUMBER(L1313))),IFERROR(MOD(L1313,1),1)&gt;0,AND(ISNUMBER(L1313),OR(L1313&lt;0,L1313&gt;95))),"Введите целое число от 0 до 95",IF(OR(AND(J1313&lt;&gt;"",NOT(ISNUMBER(J1313))),IFERROR(MOD(J1313,1),1)&gt;0,AND(ISNUMBER(J1313),OR(J1313&lt;50,J1313&gt;20000000))),"Введите целое число от 50 до 20000000",IF(NOT(ABS(IFERROR(VALUE(LEFT(M1313,FIND("-",M1313)-1)),M1313)*100-(2500+2000000000)/2)&lt;=ABS(2500-2000000000)/2),"Цена со скидкой должна быть от 25 до 20000000",IF(AND(IFERROR(VALUE(LEFT(M1313,FIND("-",M1313)-1)),M1313)*150&lt;=455319,IFERROR(VALUE(LEFT(M1313,FIND("-",M1313)-1)),M1313)*200&gt;455319),"Вы уменьшили цену в несколько раз, товар попадет в карантин цен",IF(IFERROR(VALUE(LEFT(M1313,FIND("-",M1313)-1)),M1313)*200&lt;=455319,"Не сохранили изменения, чтобы защитить от ошибки — новые цены меньше текущих более чем в 2 раза. Снижайте их постепенно",IF(AND(IFERROR(VALUE(I1313),0)=0,ISNUMBER(J1313),OR(J1313&lt;496,ABS(IFERROR(VALUE(LEFT(M1313,FIND("-",M1313)-1)),M1313))*100&lt;49600)),"Проверьте цену товара. Большинство товаров в выбранной категории стоят дороже 496","")))))),"")</f>
      </c>
    </row>
    <row r="1314">
      <c r="A1314" s="2" t="inlineStr">
        <is>
          <t/>
        </is>
      </c>
      <c r="B1314" s="2" t="inlineStr">
        <is>
          <t>Чайники электрические</t>
        </is>
      </c>
      <c r="C1314" s="2">
        <v>725312323</v>
      </c>
      <c r="D1314" s="2" t="inlineStr">
        <is>
          <t>192562</t>
        </is>
      </c>
      <c r="E1314" s="2" t="inlineStr">
        <is>
          <t>2048047081789</t>
        </is>
      </c>
      <c r="F1314" s="2">
        <v>0</v>
      </c>
      <c r="G1314" s="2">
        <v>0</v>
      </c>
      <c r="H1314" s="2" t="inlineStr">
        <is>
          <t/>
        </is>
      </c>
      <c r="I1314" s="2" t="inlineStr">
        <is>
          <t>16811</t>
        </is>
      </c>
      <c r="J1314" s="4"/>
      <c r="K1314" s="2">
        <v>65</v>
      </c>
      <c r="L1314" s="6"/>
      <c r="M1314" s="2" t="str">
        <f>IF(J1314="",ROUND(I1314*(1-IF(ISBLANK(L1314),K1314,L1314)/100),2),ROUND(J1314*(1-IF(ISBLANK(L1314),K1314,L1314)/100),2))</f>
      </c>
      <c r="N1314" s="7" t="str">
        <f>IF(NOT(AND(J1314="",L1314="")),IF(OR(AND(L1314&lt;&gt;"",NOT(ISNUMBER(L1314))),IFERROR(MOD(L1314,1),1)&gt;0,AND(ISNUMBER(L1314),OR(L1314&lt;0,L1314&gt;95))),"Введите целое число от 0 до 95",IF(OR(AND(J1314&lt;&gt;"",NOT(ISNUMBER(J1314))),IFERROR(MOD(J1314,1),1)&gt;0,AND(ISNUMBER(J1314),OR(J1314&lt;50,J1314&gt;20000000))),"Введите целое число от 50 до 20000000",IF(NOT(ABS(IFERROR(VALUE(LEFT(M1314,FIND("-",M1314)-1)),M1314)*100-(2500+2000000000)/2)&lt;=ABS(2500-2000000000)/2),"Цена со скидкой должна быть от 25 до 20000000",IF(AND(IFERROR(VALUE(LEFT(M1314,FIND("-",M1314)-1)),M1314)*150&lt;=588385,IFERROR(VALUE(LEFT(M1314,FIND("-",M1314)-1)),M1314)*200&gt;588385),"Вы уменьшили цену в несколько раз, товар попадет в карантин цен",IF(IFERROR(VALUE(LEFT(M1314,FIND("-",M1314)-1)),M1314)*200&lt;=588385,"Не сохранили изменения, чтобы защитить от ошибки — новые цены меньше текущих более чем в 2 раза. Снижайте их постепенно",IF(AND(IFERROR(VALUE(I1314),0)=0,ISNUMBER(J1314),OR(J1314&lt;496,ABS(IFERROR(VALUE(LEFT(M1314,FIND("-",M1314)-1)),M1314))*100&lt;49600)),"Проверьте цену товара. Большинство товаров в выбранной категории стоят дороже 496","")))))),"")</f>
      </c>
    </row>
    <row r="1315">
      <c r="A1315" s="2" t="inlineStr">
        <is>
          <t/>
        </is>
      </c>
      <c r="B1315" s="2" t="inlineStr">
        <is>
          <t>Чайники заварочные</t>
        </is>
      </c>
      <c r="C1315" s="2">
        <v>729548458</v>
      </c>
      <c r="D1315" s="2" t="inlineStr">
        <is>
          <t>283178</t>
        </is>
      </c>
      <c r="E1315" s="2" t="inlineStr">
        <is>
          <t>2048083256257</t>
        </is>
      </c>
      <c r="F1315" s="2">
        <v>1</v>
      </c>
      <c r="G1315" s="2">
        <v>0</v>
      </c>
      <c r="H1315" s="2">
        <v>999</v>
      </c>
      <c r="I1315" s="2" t="inlineStr">
        <is>
          <t>8707</t>
        </is>
      </c>
      <c r="J1315" s="4"/>
      <c r="K1315" s="2">
        <v>81</v>
      </c>
      <c r="L1315" s="6"/>
      <c r="M1315" s="2" t="str">
        <f>IF(J1315="",ROUND(I1315*(1-IF(ISBLANK(L1315),K1315,L1315)/100),2),ROUND(J1315*(1-IF(ISBLANK(L1315),K1315,L1315)/100),2))</f>
      </c>
      <c r="N1315" s="7" t="str">
        <f>IF(NOT(AND(J1315="",L1315="")),IF(OR(AND(L1315&lt;&gt;"",NOT(ISNUMBER(L1315))),IFERROR(MOD(L1315,1),1)&gt;0,AND(ISNUMBER(L1315),OR(L1315&lt;0,L1315&gt;95))),"Введите целое число от 0 до 95",IF(OR(AND(J1315&lt;&gt;"",NOT(ISNUMBER(J1315))),IFERROR(MOD(J1315,1),1)&gt;0,AND(ISNUMBER(J1315),OR(J1315&lt;50,J1315&gt;20000000))),"Введите целое число от 50 до 20000000",IF(NOT(ABS(IFERROR(VALUE(LEFT(M1315,FIND("-",M1315)-1)),M1315)*100-(2500+2000000000)/2)&lt;=ABS(2500-2000000000)/2),"Цена со скидкой должна быть от 25 до 20000000",IF(AND(IFERROR(VALUE(LEFT(M1315,FIND("-",M1315)-1)),M1315)*150&lt;=165432,IFERROR(VALUE(LEFT(M1315,FIND("-",M1315)-1)),M1315)*200&gt;165432),"Вы уменьшили цену в несколько раз, товар попадет в карантин цен",IF(IFERROR(VALUE(LEFT(M1315,FIND("-",M1315)-1)),M1315)*200&lt;=165432,"Не сохранили изменения, чтобы защитить от ошибки — новые цены меньше текущих более чем в 2 раза. Снижайте их постепенно",IF(AND(IFERROR(VALUE(I1315),0)=0,ISNUMBER(J1315),OR(J1315&lt;681,ABS(IFERROR(VALUE(LEFT(M1315,FIND("-",M1315)-1)),M1315))*100&lt;68100)),"Проверьте цену товара. Большинство товаров в выбранной категории стоят дороже 681","")))))),"")</f>
      </c>
    </row>
    <row r="1316">
      <c r="A1316" s="2" t="inlineStr">
        <is>
          <t/>
        </is>
      </c>
      <c r="B1316" s="2" t="inlineStr">
        <is>
          <t>Чайники электрические</t>
        </is>
      </c>
      <c r="C1316" s="2">
        <v>725312321</v>
      </c>
      <c r="D1316" s="2" t="inlineStr">
        <is>
          <t>192202</t>
        </is>
      </c>
      <c r="E1316" s="2" t="inlineStr">
        <is>
          <t>2048047081765</t>
        </is>
      </c>
      <c r="F1316" s="2">
        <v>0</v>
      </c>
      <c r="G1316" s="2">
        <v>0</v>
      </c>
      <c r="H1316" s="2" t="inlineStr">
        <is>
          <t/>
        </is>
      </c>
      <c r="I1316" s="2" t="inlineStr">
        <is>
          <t>13865</t>
        </is>
      </c>
      <c r="J1316" s="4"/>
      <c r="K1316" s="2">
        <v>65</v>
      </c>
      <c r="L1316" s="6"/>
      <c r="M1316" s="2" t="str">
        <f>IF(J1316="",ROUND(I1316*(1-IF(ISBLANK(L1316),K1316,L1316)/100),2),ROUND(J1316*(1-IF(ISBLANK(L1316),K1316,L1316)/100),2))</f>
      </c>
      <c r="N1316" s="7" t="str">
        <f>IF(NOT(AND(J1316="",L1316="")),IF(OR(AND(L1316&lt;&gt;"",NOT(ISNUMBER(L1316))),IFERROR(MOD(L1316,1),1)&gt;0,AND(ISNUMBER(L1316),OR(L1316&lt;0,L1316&gt;95))),"Введите целое число от 0 до 95",IF(OR(AND(J1316&lt;&gt;"",NOT(ISNUMBER(J1316))),IFERROR(MOD(J1316,1),1)&gt;0,AND(ISNUMBER(J1316),OR(J1316&lt;50,J1316&gt;20000000))),"Введите целое число от 50 до 20000000",IF(NOT(ABS(IFERROR(VALUE(LEFT(M1316,FIND("-",M1316)-1)),M1316)*100-(2500+2000000000)/2)&lt;=ABS(2500-2000000000)/2),"Цена со скидкой должна быть от 25 до 20000000",IF(AND(IFERROR(VALUE(LEFT(M1316,FIND("-",M1316)-1)),M1316)*150&lt;=485275,IFERROR(VALUE(LEFT(M1316,FIND("-",M1316)-1)),M1316)*200&gt;485275),"Вы уменьшили цену в несколько раз, товар попадет в карантин цен",IF(IFERROR(VALUE(LEFT(M1316,FIND("-",M1316)-1)),M1316)*200&lt;=485275,"Не сохранили изменения, чтобы защитить от ошибки — новые цены меньше текущих более чем в 2 раза. Снижайте их постепенно",IF(AND(IFERROR(VALUE(I1316),0)=0,ISNUMBER(J1316),OR(J1316&lt;496,ABS(IFERROR(VALUE(LEFT(M1316,FIND("-",M1316)-1)),M1316))*100&lt;49600)),"Проверьте цену товара. Большинство товаров в выбранной категории стоят дороже 496","")))))),"")</f>
      </c>
    </row>
    <row r="1317">
      <c r="A1317" s="2" t="inlineStr">
        <is>
          <t/>
        </is>
      </c>
      <c r="B1317" s="2" t="inlineStr">
        <is>
          <t>Чайники заварочные</t>
        </is>
      </c>
      <c r="C1317" s="2">
        <v>729548455</v>
      </c>
      <c r="D1317" s="2" t="inlineStr">
        <is>
          <t>820980</t>
        </is>
      </c>
      <c r="E1317" s="2" t="inlineStr">
        <is>
          <t>2048083256219</t>
        </is>
      </c>
      <c r="F1317" s="2">
        <v>0</v>
      </c>
      <c r="G1317" s="2">
        <v>0</v>
      </c>
      <c r="H1317" s="2" t="inlineStr">
        <is>
          <t/>
        </is>
      </c>
      <c r="I1317" s="2" t="inlineStr">
        <is>
          <t>11447</t>
        </is>
      </c>
      <c r="J1317" s="4"/>
      <c r="K1317" s="2">
        <v>65</v>
      </c>
      <c r="L1317" s="6"/>
      <c r="M1317" s="2" t="str">
        <f>IF(J1317="",ROUND(I1317*(1-IF(ISBLANK(L1317),K1317,L1317)/100),2),ROUND(J1317*(1-IF(ISBLANK(L1317),K1317,L1317)/100),2))</f>
      </c>
      <c r="N1317" s="7" t="str">
        <f>IF(NOT(AND(J1317="",L1317="")),IF(OR(AND(L1317&lt;&gt;"",NOT(ISNUMBER(L1317))),IFERROR(MOD(L1317,1),1)&gt;0,AND(ISNUMBER(L1317),OR(L1317&lt;0,L1317&gt;95))),"Введите целое число от 0 до 95",IF(OR(AND(J1317&lt;&gt;"",NOT(ISNUMBER(J1317))),IFERROR(MOD(J1317,1),1)&gt;0,AND(ISNUMBER(J1317),OR(J1317&lt;50,J1317&gt;20000000))),"Введите целое число от 50 до 20000000",IF(NOT(ABS(IFERROR(VALUE(LEFT(M1317,FIND("-",M1317)-1)),M1317)*100-(2500+2000000000)/2)&lt;=ABS(2500-2000000000)/2),"Цена со скидкой должна быть от 25 до 20000000",IF(AND(IFERROR(VALUE(LEFT(M1317,FIND("-",M1317)-1)),M1317)*150&lt;=400645,IFERROR(VALUE(LEFT(M1317,FIND("-",M1317)-1)),M1317)*200&gt;400645),"Вы уменьшили цену в несколько раз, товар попадет в карантин цен",IF(IFERROR(VALUE(LEFT(M1317,FIND("-",M1317)-1)),M1317)*200&lt;=400645,"Не сохранили изменения, чтобы защитить от ошибки — новые цены меньше текущих более чем в 2 раза. Снижайте их постепенно",IF(AND(IFERROR(VALUE(I1317),0)=0,ISNUMBER(J1317),OR(J1317&lt;681,ABS(IFERROR(VALUE(LEFT(M1317,FIND("-",M1317)-1)),M1317))*100&lt;68100)),"Проверьте цену товара. Большинство товаров в выбранной категории стоят дороже 681","")))))),"")</f>
      </c>
    </row>
    <row r="1318">
      <c r="A1318" s="2" t="inlineStr">
        <is>
          <t/>
        </is>
      </c>
      <c r="B1318" s="2" t="inlineStr">
        <is>
          <t>Чайники заварочные</t>
        </is>
      </c>
      <c r="C1318" s="2">
        <v>729548551</v>
      </c>
      <c r="D1318" s="2" t="inlineStr">
        <is>
          <t>283234</t>
        </is>
      </c>
      <c r="E1318" s="2" t="inlineStr">
        <is>
          <t>2048083257131</t>
        </is>
      </c>
      <c r="F1318" s="2">
        <v>7</v>
      </c>
      <c r="G1318" s="2">
        <v>3</v>
      </c>
      <c r="H1318" s="2">
        <v>999</v>
      </c>
      <c r="I1318" s="2" t="inlineStr">
        <is>
          <t>6372</t>
        </is>
      </c>
      <c r="J1318" s="4"/>
      <c r="K1318" s="2">
        <v>79</v>
      </c>
      <c r="L1318" s="6"/>
      <c r="M1318" s="2" t="str">
        <f>IF(J1318="",ROUND(I1318*(1-IF(ISBLANK(L1318),K1318,L1318)/100),2),ROUND(J1318*(1-IF(ISBLANK(L1318),K1318,L1318)/100),2))</f>
      </c>
      <c r="N1318" s="7" t="str">
        <f>IF(NOT(AND(J1318="",L1318="")),IF(OR(AND(L1318&lt;&gt;"",NOT(ISNUMBER(L1318))),IFERROR(MOD(L1318,1),1)&gt;0,AND(ISNUMBER(L1318),OR(L1318&lt;0,L1318&gt;95))),"Введите целое число от 0 до 95",IF(OR(AND(J1318&lt;&gt;"",NOT(ISNUMBER(J1318))),IFERROR(MOD(J1318,1),1)&gt;0,AND(ISNUMBER(J1318),OR(J1318&lt;50,J1318&gt;20000000))),"Введите целое число от 50 до 20000000",IF(NOT(ABS(IFERROR(VALUE(LEFT(M1318,FIND("-",M1318)-1)),M1318)*100-(2500+2000000000)/2)&lt;=ABS(2500-2000000000)/2),"Цена со скидкой должна быть от 25 до 20000000",IF(AND(IFERROR(VALUE(LEFT(M1318,FIND("-",M1318)-1)),M1318)*150&lt;=133811,IFERROR(VALUE(LEFT(M1318,FIND("-",M1318)-1)),M1318)*200&gt;133811),"Вы уменьшили цену в несколько раз, товар попадет в карантин цен",IF(IFERROR(VALUE(LEFT(M1318,FIND("-",M1318)-1)),M1318)*200&lt;=133811,"Не сохранили изменения, чтобы защитить от ошибки — новые цены меньше текущих более чем в 2 раза. Снижайте их постепенно",IF(AND(IFERROR(VALUE(I1318),0)=0,ISNUMBER(J1318),OR(J1318&lt;681,ABS(IFERROR(VALUE(LEFT(M1318,FIND("-",M1318)-1)),M1318))*100&lt;68100)),"Проверьте цену товара. Большинство товаров в выбранной категории стоят дороже 681","")))))),"")</f>
      </c>
    </row>
    <row r="1319">
      <c r="A1319" s="2" t="inlineStr">
        <is>
          <t>Luxaro</t>
        </is>
      </c>
      <c r="B1319" s="2" t="inlineStr">
        <is>
          <t>Чайники заварочные</t>
        </is>
      </c>
      <c r="C1319" s="2">
        <v>306130373</v>
      </c>
      <c r="D1319" s="2" t="inlineStr">
        <is>
          <t>282976</t>
        </is>
      </c>
      <c r="E1319" s="2" t="inlineStr">
        <is>
          <t>4670294453187</t>
        </is>
      </c>
      <c r="F1319" s="2">
        <v>281</v>
      </c>
      <c r="G1319" s="2">
        <v>2</v>
      </c>
      <c r="H1319" s="2">
        <v>999</v>
      </c>
      <c r="I1319" s="2" t="inlineStr">
        <is>
          <t>4923</t>
        </is>
      </c>
      <c r="J1319" s="4"/>
      <c r="K1319" s="2">
        <v>79</v>
      </c>
      <c r="L1319" s="6"/>
      <c r="M1319" s="2" t="str">
        <f>IF(J1319="",ROUND(I1319*(1-IF(ISBLANK(L1319),K1319,L1319)/100),2),ROUND(J1319*(1-IF(ISBLANK(L1319),K1319,L1319)/100),2))</f>
      </c>
      <c r="N1319" s="7" t="str">
        <f>IF(NOT(AND(J1319="",L1319="")),IF(OR(AND(L1319&lt;&gt;"",NOT(ISNUMBER(L1319))),IFERROR(MOD(L1319,1),1)&gt;0,AND(ISNUMBER(L1319),OR(L1319&lt;0,L1319&gt;95))),"Введите целое число от 0 до 95",IF(OR(AND(J1319&lt;&gt;"",NOT(ISNUMBER(J1319))),IFERROR(MOD(J1319,1),1)&gt;0,AND(ISNUMBER(J1319),OR(J1319&lt;50,J1319&gt;20000000))),"Введите целое число от 50 до 20000000",IF(NOT(ABS(IFERROR(VALUE(LEFT(M1319,FIND("-",M1319)-1)),M1319)*100-(2500+2000000000)/2)&lt;=ABS(2500-2000000000)/2),"Цена со скидкой должна быть от 25 до 20000000",IF(AND(IFERROR(VALUE(LEFT(M1319,FIND("-",M1319)-1)),M1319)*150&lt;=103383,IFERROR(VALUE(LEFT(M1319,FIND("-",M1319)-1)),M1319)*200&gt;103383),"Вы уменьшили цену в несколько раз, товар попадет в карантин цен",IF(IFERROR(VALUE(LEFT(M1319,FIND("-",M1319)-1)),M1319)*200&lt;=103383,"Не сохранили изменения, чтобы защитить от ошибки — новые цены меньше текущих более чем в 2 раза. Снижайте их постепенно",IF(AND(IFERROR(VALUE(I1319),0)=0,ISNUMBER(J1319),OR(J1319&lt;681,ABS(IFERROR(VALUE(LEFT(M1319,FIND("-",M1319)-1)),M1319))*100&lt;68100)),"Проверьте цену товара. Большинство товаров в выбранной категории стоят дороже 681","")))))),"")</f>
      </c>
    </row>
    <row r="1320">
      <c r="A1320" s="2" t="inlineStr">
        <is>
          <t/>
        </is>
      </c>
      <c r="B1320" s="2" t="inlineStr">
        <is>
          <t>Салфетки для уборки</t>
        </is>
      </c>
      <c r="C1320" s="2">
        <v>766640462</v>
      </c>
      <c r="D1320" s="2" t="inlineStr">
        <is>
          <t>400408</t>
        </is>
      </c>
      <c r="E1320" s="2" t="inlineStr">
        <is>
          <t>2048435515650</t>
        </is>
      </c>
      <c r="F1320" s="2">
        <v>0</v>
      </c>
      <c r="G1320" s="2">
        <v>13</v>
      </c>
      <c r="H1320" s="2" t="inlineStr">
        <is>
          <t/>
        </is>
      </c>
      <c r="I1320" s="2" t="inlineStr">
        <is>
          <t>5401</t>
        </is>
      </c>
      <c r="J1320" s="4"/>
      <c r="K1320" s="2">
        <v>78</v>
      </c>
      <c r="L1320" s="6"/>
      <c r="M1320" s="2" t="str">
        <f>IF(J1320="",ROUND(I1320*(1-IF(ISBLANK(L1320),K1320,L1320)/100),2),ROUND(J1320*(1-IF(ISBLANK(L1320),K1320,L1320)/100),2))</f>
      </c>
      <c r="N1320" s="7" t="str">
        <f>IF(NOT(AND(J1320="",L1320="")),IF(OR(AND(L1320&lt;&gt;"",NOT(ISNUMBER(L1320))),IFERROR(MOD(L1320,1),1)&gt;0,AND(ISNUMBER(L1320),OR(L1320&lt;0,L1320&gt;95))),"Введите целое число от 0 до 95",IF(OR(AND(J1320&lt;&gt;"",NOT(ISNUMBER(J1320))),IFERROR(MOD(J1320,1),1)&gt;0,AND(ISNUMBER(J1320),OR(J1320&lt;50,J1320&gt;20000000))),"Введите целое число от 50 до 20000000",IF(NOT(ABS(IFERROR(VALUE(LEFT(M1320,FIND("-",M1320)-1)),M1320)*100-(2500+2000000000)/2)&lt;=ABS(2500-2000000000)/2),"Цена со скидкой должна быть от 25 до 20000000",IF(AND(IFERROR(VALUE(LEFT(M1320,FIND("-",M1320)-1)),M1320)*150&lt;=118821,IFERROR(VALUE(LEFT(M1320,FIND("-",M1320)-1)),M1320)*200&gt;118821),"Вы уменьшили цену в несколько раз, товар попадет в карантин цен",IF(IFERROR(VALUE(LEFT(M1320,FIND("-",M1320)-1)),M1320)*200&lt;=118821,"Не сохранили изменения, чтобы защитить от ошибки — новые цены меньше текущих более чем в 2 раза. Снижайте их постепенно",IF(AND(IFERROR(VALUE(I1320),0)=0,ISNUMBER(J1320),OR(J1320&lt;288,ABS(IFERROR(VALUE(LEFT(M1320,FIND("-",M1320)-1)),M1320))*100&lt;28800)),"Проверьте цену товара. Большинство товаров в выбранной категории стоят дороже 288","")))))),"")</f>
      </c>
    </row>
    <row r="1321">
      <c r="A1321" s="2" t="inlineStr">
        <is>
          <t>Luxaro</t>
        </is>
      </c>
      <c r="B1321" s="2" t="inlineStr">
        <is>
          <t>Чайники заварочные</t>
        </is>
      </c>
      <c r="C1321" s="2">
        <v>317220873</v>
      </c>
      <c r="D1321" s="2" t="inlineStr">
        <is>
          <t>282981</t>
        </is>
      </c>
      <c r="E1321" s="2" t="inlineStr">
        <is>
          <t>2042582467107</t>
        </is>
      </c>
      <c r="F1321" s="2">
        <v>0</v>
      </c>
      <c r="G1321" s="2">
        <v>0</v>
      </c>
      <c r="H1321" s="2">
        <v>1</v>
      </c>
      <c r="I1321" s="2" t="inlineStr">
        <is>
          <t>3317</t>
        </is>
      </c>
      <c r="J1321" s="4"/>
      <c r="K1321" s="2">
        <v>65</v>
      </c>
      <c r="L1321" s="6"/>
      <c r="M1321" s="2" t="str">
        <f>IF(J1321="",ROUND(I1321*(1-IF(ISBLANK(L1321),K1321,L1321)/100),2),ROUND(J1321*(1-IF(ISBLANK(L1321),K1321,L1321)/100),2))</f>
      </c>
      <c r="N1321" s="7" t="str">
        <f>IF(NOT(AND(J1321="",L1321="")),IF(OR(AND(L1321&lt;&gt;"",NOT(ISNUMBER(L1321))),IFERROR(MOD(L1321,1),1)&gt;0,AND(ISNUMBER(L1321),OR(L1321&lt;0,L1321&gt;95))),"Введите целое число от 0 до 95",IF(OR(AND(J1321&lt;&gt;"",NOT(ISNUMBER(J1321))),IFERROR(MOD(J1321,1),1)&gt;0,AND(ISNUMBER(J1321),OR(J1321&lt;50,J1321&gt;20000000))),"Введите целое число от 50 до 20000000",IF(NOT(ABS(IFERROR(VALUE(LEFT(M1321,FIND("-",M1321)-1)),M1321)*100-(2500+2000000000)/2)&lt;=ABS(2500-2000000000)/2),"Цена со скидкой должна быть от 25 до 20000000",IF(AND(IFERROR(VALUE(LEFT(M1321,FIND("-",M1321)-1)),M1321)*150&lt;=116094,IFERROR(VALUE(LEFT(M1321,FIND("-",M1321)-1)),M1321)*200&gt;116094),"Вы уменьшили цену в несколько раз, товар попадет в карантин цен",IF(IFERROR(VALUE(LEFT(M1321,FIND("-",M1321)-1)),M1321)*200&lt;=116094,"Не сохранили изменения, чтобы защитить от ошибки — новые цены меньше текущих более чем в 2 раза. Снижайте их постепенно",IF(AND(IFERROR(VALUE(I1321),0)=0,ISNUMBER(J1321),OR(J1321&lt;681,ABS(IFERROR(VALUE(LEFT(M1321,FIND("-",M1321)-1)),M1321))*100&lt;68100)),"Проверьте цену товара. Большинство товаров в выбранной категории стоят дороже 681","")))))),"")</f>
      </c>
    </row>
    <row r="1322">
      <c r="A1322" s="2" t="inlineStr">
        <is>
          <t/>
        </is>
      </c>
      <c r="B1322" s="2" t="inlineStr">
        <is>
          <t>Чайники заварочные</t>
        </is>
      </c>
      <c r="C1322" s="2">
        <v>729548467</v>
      </c>
      <c r="D1322" s="2" t="inlineStr">
        <is>
          <t>821548</t>
        </is>
      </c>
      <c r="E1322" s="2" t="inlineStr">
        <is>
          <t>2048083256363</t>
        </is>
      </c>
      <c r="F1322" s="2">
        <v>4</v>
      </c>
      <c r="G1322" s="2">
        <v>0</v>
      </c>
      <c r="H1322" s="2">
        <v>25</v>
      </c>
      <c r="I1322" s="2" t="inlineStr">
        <is>
          <t>8128</t>
        </is>
      </c>
      <c r="J1322" s="4"/>
      <c r="K1322" s="2">
        <v>78</v>
      </c>
      <c r="L1322" s="6"/>
      <c r="M1322" s="2" t="str">
        <f>IF(J1322="",ROUND(I1322*(1-IF(ISBLANK(L1322),K1322,L1322)/100),2),ROUND(J1322*(1-IF(ISBLANK(L1322),K1322,L1322)/100),2))</f>
      </c>
      <c r="N1322" s="7" t="str">
        <f>IF(NOT(AND(J1322="",L1322="")),IF(OR(AND(L1322&lt;&gt;"",NOT(ISNUMBER(L1322))),IFERROR(MOD(L1322,1),1)&gt;0,AND(ISNUMBER(L1322),OR(L1322&lt;0,L1322&gt;95))),"Введите целое число от 0 до 95",IF(OR(AND(J1322&lt;&gt;"",NOT(ISNUMBER(J1322))),IFERROR(MOD(J1322,1),1)&gt;0,AND(ISNUMBER(J1322),OR(J1322&lt;50,J1322&gt;20000000))),"Введите целое число от 50 до 20000000",IF(NOT(ABS(IFERROR(VALUE(LEFT(M1322,FIND("-",M1322)-1)),M1322)*100-(2500+2000000000)/2)&lt;=ABS(2500-2000000000)/2),"Цена со скидкой должна быть от 25 до 20000000",IF(AND(IFERROR(VALUE(LEFT(M1322,FIND("-",M1322)-1)),M1322)*150&lt;=178816,IFERROR(VALUE(LEFT(M1322,FIND("-",M1322)-1)),M1322)*200&gt;178816),"Вы уменьшили цену в несколько раз, товар попадет в карантин цен",IF(IFERROR(VALUE(LEFT(M1322,FIND("-",M1322)-1)),M1322)*200&lt;=178816,"Не сохранили изменения, чтобы защитить от ошибки — новые цены меньше текущих более чем в 2 раза. Снижайте их постепенно",IF(AND(IFERROR(VALUE(I1322),0)=0,ISNUMBER(J1322),OR(J1322&lt;681,ABS(IFERROR(VALUE(LEFT(M1322,FIND("-",M1322)-1)),M1322))*100&lt;68100)),"Проверьте цену товара. Большинство товаров в выбранной категории стоят дороже 681","")))))),"")</f>
      </c>
    </row>
    <row r="1323">
      <c r="A1323" s="2" t="inlineStr">
        <is>
          <t/>
        </is>
      </c>
      <c r="B1323" s="2" t="inlineStr">
        <is>
          <t>Чайники заварочные</t>
        </is>
      </c>
      <c r="C1323" s="2">
        <v>729548452</v>
      </c>
      <c r="D1323" s="2" t="inlineStr">
        <is>
          <t>283036</t>
        </is>
      </c>
      <c r="E1323" s="2" t="inlineStr">
        <is>
          <t>2048083256189</t>
        </is>
      </c>
      <c r="F1323" s="2">
        <v>15</v>
      </c>
      <c r="G1323" s="2">
        <v>0</v>
      </c>
      <c r="H1323" s="2">
        <v>240</v>
      </c>
      <c r="I1323" s="2" t="inlineStr">
        <is>
          <t>5069</t>
        </is>
      </c>
      <c r="J1323" s="4"/>
      <c r="K1323" s="2">
        <v>80</v>
      </c>
      <c r="L1323" s="6"/>
      <c r="M1323" s="2" t="str">
        <f>IF(J1323="",ROUND(I1323*(1-IF(ISBLANK(L1323),K1323,L1323)/100),2),ROUND(J1323*(1-IF(ISBLANK(L1323),K1323,L1323)/100),2))</f>
      </c>
      <c r="N1323" s="7" t="str">
        <f>IF(NOT(AND(J1323="",L1323="")),IF(OR(AND(L1323&lt;&gt;"",NOT(ISNUMBER(L1323))),IFERROR(MOD(L1323,1),1)&gt;0,AND(ISNUMBER(L1323),OR(L1323&lt;0,L1323&gt;95))),"Введите целое число от 0 до 95",IF(OR(AND(J1323&lt;&gt;"",NOT(ISNUMBER(J1323))),IFERROR(MOD(J1323,1),1)&gt;0,AND(ISNUMBER(J1323),OR(J1323&lt;50,J1323&gt;20000000))),"Введите целое число от 50 до 20000000",IF(NOT(ABS(IFERROR(VALUE(LEFT(M1323,FIND("-",M1323)-1)),M1323)*100-(2500+2000000000)/2)&lt;=ABS(2500-2000000000)/2),"Цена со скидкой должна быть от 25 до 20000000",IF(AND(IFERROR(VALUE(LEFT(M1323,FIND("-",M1323)-1)),M1323)*150&lt;=101379,IFERROR(VALUE(LEFT(M1323,FIND("-",M1323)-1)),M1323)*200&gt;101379),"Вы уменьшили цену в несколько раз, товар попадет в карантин цен",IF(IFERROR(VALUE(LEFT(M1323,FIND("-",M1323)-1)),M1323)*200&lt;=101379,"Не сохранили изменения, чтобы защитить от ошибки — новые цены меньше текущих более чем в 2 раза. Снижайте их постепенно",IF(AND(IFERROR(VALUE(I1323),0)=0,ISNUMBER(J1323),OR(J1323&lt;681,ABS(IFERROR(VALUE(LEFT(M1323,FIND("-",M1323)-1)),M1323))*100&lt;68100)),"Проверьте цену товара. Большинство товаров в выбранной категории стоят дороже 681","")))))),"")</f>
      </c>
    </row>
    <row r="1324">
      <c r="A1324" s="2" t="inlineStr">
        <is>
          <t/>
        </is>
      </c>
      <c r="B1324" s="2" t="inlineStr">
        <is>
          <t>Чайники заварочные</t>
        </is>
      </c>
      <c r="C1324" s="2">
        <v>729548463</v>
      </c>
      <c r="D1324" s="2" t="inlineStr">
        <is>
          <t>821547</t>
        </is>
      </c>
      <c r="E1324" s="2" t="inlineStr">
        <is>
          <t>2048083256325</t>
        </is>
      </c>
      <c r="F1324" s="2">
        <v>0</v>
      </c>
      <c r="G1324" s="2">
        <v>1</v>
      </c>
      <c r="H1324" s="2" t="inlineStr">
        <is>
          <t/>
        </is>
      </c>
      <c r="I1324" s="2" t="inlineStr">
        <is>
          <t>7226</t>
        </is>
      </c>
      <c r="J1324" s="4"/>
      <c r="K1324" s="2">
        <v>78</v>
      </c>
      <c r="L1324" s="6"/>
      <c r="M1324" s="2" t="str">
        <f>IF(J1324="",ROUND(I1324*(1-IF(ISBLANK(L1324),K1324,L1324)/100),2),ROUND(J1324*(1-IF(ISBLANK(L1324),K1324,L1324)/100),2))</f>
      </c>
      <c r="N1324" s="7" t="str">
        <f>IF(NOT(AND(J1324="",L1324="")),IF(OR(AND(L1324&lt;&gt;"",NOT(ISNUMBER(L1324))),IFERROR(MOD(L1324,1),1)&gt;0,AND(ISNUMBER(L1324),OR(L1324&lt;0,L1324&gt;95))),"Введите целое число от 0 до 95",IF(OR(AND(J1324&lt;&gt;"",NOT(ISNUMBER(J1324))),IFERROR(MOD(J1324,1),1)&gt;0,AND(ISNUMBER(J1324),OR(J1324&lt;50,J1324&gt;20000000))),"Введите целое число от 50 до 20000000",IF(NOT(ABS(IFERROR(VALUE(LEFT(M1324,FIND("-",M1324)-1)),M1324)*100-(2500+2000000000)/2)&lt;=ABS(2500-2000000000)/2),"Цена со скидкой должна быть от 25 до 20000000",IF(AND(IFERROR(VALUE(LEFT(M1324,FIND("-",M1324)-1)),M1324)*150&lt;=158971,IFERROR(VALUE(LEFT(M1324,FIND("-",M1324)-1)),M1324)*200&gt;158971),"Вы уменьшили цену в несколько раз, товар попадет в карантин цен",IF(IFERROR(VALUE(LEFT(M1324,FIND("-",M1324)-1)),M1324)*200&lt;=158971,"Не сохранили изменения, чтобы защитить от ошибки — новые цены меньше текущих более чем в 2 раза. Снижайте их постепенно",IF(AND(IFERROR(VALUE(I1324),0)=0,ISNUMBER(J1324),OR(J1324&lt;681,ABS(IFERROR(VALUE(LEFT(M1324,FIND("-",M1324)-1)),M1324))*100&lt;68100)),"Проверьте цену товара. Большинство товаров в выбранной категории стоят дороже 681","")))))),"")</f>
      </c>
    </row>
    <row r="1325">
      <c r="A1325" s="2" t="inlineStr">
        <is>
          <t/>
        </is>
      </c>
      <c r="B1325" s="2" t="inlineStr">
        <is>
          <t>Чайники заварочные</t>
        </is>
      </c>
      <c r="C1325" s="2">
        <v>729548468</v>
      </c>
      <c r="D1325" s="2" t="inlineStr">
        <is>
          <t>821341</t>
        </is>
      </c>
      <c r="E1325" s="2" t="inlineStr">
        <is>
          <t>2048083256387</t>
        </is>
      </c>
      <c r="F1325" s="2">
        <v>0</v>
      </c>
      <c r="G1325" s="2">
        <v>0</v>
      </c>
      <c r="H1325" s="2">
        <v>1</v>
      </c>
      <c r="I1325" s="2" t="inlineStr">
        <is>
          <t>8407</t>
        </is>
      </c>
      <c r="J1325" s="4"/>
      <c r="K1325" s="2">
        <v>65</v>
      </c>
      <c r="L1325" s="6"/>
      <c r="M1325" s="2" t="str">
        <f>IF(J1325="",ROUND(I1325*(1-IF(ISBLANK(L1325),K1325,L1325)/100),2),ROUND(J1325*(1-IF(ISBLANK(L1325),K1325,L1325)/100),2))</f>
      </c>
      <c r="N1325" s="7" t="str">
        <f>IF(NOT(AND(J1325="",L1325="")),IF(OR(AND(L1325&lt;&gt;"",NOT(ISNUMBER(L1325))),IFERROR(MOD(L1325,1),1)&gt;0,AND(ISNUMBER(L1325),OR(L1325&lt;0,L1325&gt;95))),"Введите целое число от 0 до 95",IF(OR(AND(J1325&lt;&gt;"",NOT(ISNUMBER(J1325))),IFERROR(MOD(J1325,1),1)&gt;0,AND(ISNUMBER(J1325),OR(J1325&lt;50,J1325&gt;20000000))),"Введите целое число от 50 до 20000000",IF(NOT(ABS(IFERROR(VALUE(LEFT(M1325,FIND("-",M1325)-1)),M1325)*100-(2500+2000000000)/2)&lt;=ABS(2500-2000000000)/2),"Цена со скидкой должна быть от 25 до 20000000",IF(AND(IFERROR(VALUE(LEFT(M1325,FIND("-",M1325)-1)),M1325)*150&lt;=294245,IFERROR(VALUE(LEFT(M1325,FIND("-",M1325)-1)),M1325)*200&gt;294245),"Вы уменьшили цену в несколько раз, товар попадет в карантин цен",IF(IFERROR(VALUE(LEFT(M1325,FIND("-",M1325)-1)),M1325)*200&lt;=294245,"Не сохранили изменения, чтобы защитить от ошибки — новые цены меньше текущих более чем в 2 раза. Снижайте их постепенно",IF(AND(IFERROR(VALUE(I1325),0)=0,ISNUMBER(J1325),OR(J1325&lt;681,ABS(IFERROR(VALUE(LEFT(M1325,FIND("-",M1325)-1)),M1325))*100&lt;68100)),"Проверьте цену товара. Большинство товаров в выбранной категории стоят дороже 681","")))))),"")</f>
      </c>
    </row>
    <row r="1326">
      <c r="A1326" s="2" t="inlineStr">
        <is>
          <t/>
        </is>
      </c>
      <c r="B1326" s="2" t="inlineStr">
        <is>
          <t>Чайники заварочные</t>
        </is>
      </c>
      <c r="C1326" s="2">
        <v>729548476</v>
      </c>
      <c r="D1326" s="2" t="inlineStr">
        <is>
          <t>121926</t>
        </is>
      </c>
      <c r="E1326" s="2" t="inlineStr">
        <is>
          <t>2048083256462</t>
        </is>
      </c>
      <c r="F1326" s="2">
        <v>26</v>
      </c>
      <c r="G1326" s="2">
        <v>104</v>
      </c>
      <c r="H1326" s="2">
        <v>999</v>
      </c>
      <c r="I1326" s="2" t="inlineStr">
        <is>
          <t>6813</t>
        </is>
      </c>
      <c r="J1326" s="4"/>
      <c r="K1326" s="2">
        <v>80</v>
      </c>
      <c r="L1326" s="6"/>
      <c r="M1326" s="2" t="str">
        <f>IF(J1326="",ROUND(I1326*(1-IF(ISBLANK(L1326),K1326,L1326)/100),2),ROUND(J1326*(1-IF(ISBLANK(L1326),K1326,L1326)/100),2))</f>
      </c>
      <c r="N1326" s="7" t="str">
        <f>IF(NOT(AND(J1326="",L1326="")),IF(OR(AND(L1326&lt;&gt;"",NOT(ISNUMBER(L1326))),IFERROR(MOD(L1326,1),1)&gt;0,AND(ISNUMBER(L1326),OR(L1326&lt;0,L1326&gt;95))),"Введите целое число от 0 до 95",IF(OR(AND(J1326&lt;&gt;"",NOT(ISNUMBER(J1326))),IFERROR(MOD(J1326,1),1)&gt;0,AND(ISNUMBER(J1326),OR(J1326&lt;50,J1326&gt;20000000))),"Введите целое число от 50 до 20000000",IF(NOT(ABS(IFERROR(VALUE(LEFT(M1326,FIND("-",M1326)-1)),M1326)*100-(2500+2000000000)/2)&lt;=ABS(2500-2000000000)/2),"Цена со скидкой должна быть от 25 до 20000000",IF(AND(IFERROR(VALUE(LEFT(M1326,FIND("-",M1326)-1)),M1326)*150&lt;=136259,IFERROR(VALUE(LEFT(M1326,FIND("-",M1326)-1)),M1326)*200&gt;136259),"Вы уменьшили цену в несколько раз, товар попадет в карантин цен",IF(IFERROR(VALUE(LEFT(M1326,FIND("-",M1326)-1)),M1326)*200&lt;=136259,"Не сохранили изменения, чтобы защитить от ошибки — новые цены меньше текущих более чем в 2 раза. Снижайте их постепенно",IF(AND(IFERROR(VALUE(I1326),0)=0,ISNUMBER(J1326),OR(J1326&lt;681,ABS(IFERROR(VALUE(LEFT(M1326,FIND("-",M1326)-1)),M1326))*100&lt;68100)),"Проверьте цену товара. Большинство товаров в выбранной категории стоят дороже 681","")))))),"")</f>
      </c>
    </row>
    <row r="1327">
      <c r="A1327" s="2" t="inlineStr">
        <is>
          <t/>
        </is>
      </c>
      <c r="B1327" s="2" t="inlineStr">
        <is>
          <t>Чайники заварочные</t>
        </is>
      </c>
      <c r="C1327" s="2">
        <v>729548461</v>
      </c>
      <c r="D1327" s="2" t="inlineStr">
        <is>
          <t>281768</t>
        </is>
      </c>
      <c r="E1327" s="2" t="inlineStr">
        <is>
          <t>2048083256295</t>
        </is>
      </c>
      <c r="F1327" s="2">
        <v>31</v>
      </c>
      <c r="G1327" s="2">
        <v>0</v>
      </c>
      <c r="H1327" s="2">
        <v>999</v>
      </c>
      <c r="I1327" s="2" t="inlineStr">
        <is>
          <t>5688</t>
        </is>
      </c>
      <c r="J1327" s="4"/>
      <c r="K1327" s="2">
        <v>84</v>
      </c>
      <c r="L1327" s="6"/>
      <c r="M1327" s="2" t="str">
        <f>IF(J1327="",ROUND(I1327*(1-IF(ISBLANK(L1327),K1327,L1327)/100),2),ROUND(J1327*(1-IF(ISBLANK(L1327),K1327,L1327)/100),2))</f>
      </c>
      <c r="N1327" s="7" t="str">
        <f>IF(NOT(AND(J1327="",L1327="")),IF(OR(AND(L1327&lt;&gt;"",NOT(ISNUMBER(L1327))),IFERROR(MOD(L1327,1),1)&gt;0,AND(ISNUMBER(L1327),OR(L1327&lt;0,L1327&gt;95))),"Введите целое число от 0 до 95",IF(OR(AND(J1327&lt;&gt;"",NOT(ISNUMBER(J1327))),IFERROR(MOD(J1327,1),1)&gt;0,AND(ISNUMBER(J1327),OR(J1327&lt;50,J1327&gt;20000000))),"Введите целое число от 50 до 20000000",IF(NOT(ABS(IFERROR(VALUE(LEFT(M1327,FIND("-",M1327)-1)),M1327)*100-(2500+2000000000)/2)&lt;=ABS(2500-2000000000)/2),"Цена со скидкой должна быть от 25 до 20000000",IF(AND(IFERROR(VALUE(LEFT(M1327,FIND("-",M1327)-1)),M1327)*150&lt;=91008,IFERROR(VALUE(LEFT(M1327,FIND("-",M1327)-1)),M1327)*200&gt;91008),"Вы уменьшили цену в несколько раз, товар попадет в карантин цен",IF(IFERROR(VALUE(LEFT(M1327,FIND("-",M1327)-1)),M1327)*200&lt;=91008,"Не сохранили изменения, чтобы защитить от ошибки — новые цены меньше текущих более чем в 2 раза. Снижайте их постепенно",IF(AND(IFERROR(VALUE(I1327),0)=0,ISNUMBER(J1327),OR(J1327&lt;681,ABS(IFERROR(VALUE(LEFT(M1327,FIND("-",M1327)-1)),M1327))*100&lt;68100)),"Проверьте цену товара. Большинство товаров в выбранной категории стоят дороже 681","")))))),"")</f>
      </c>
    </row>
    <row r="1328">
      <c r="A1328" s="2" t="inlineStr">
        <is>
          <t>Luxaro</t>
        </is>
      </c>
      <c r="B1328" s="2" t="inlineStr">
        <is>
          <t>Чайники заварочные</t>
        </is>
      </c>
      <c r="C1328" s="2">
        <v>260895788</v>
      </c>
      <c r="D1328" s="2" t="inlineStr">
        <is>
          <t>282954</t>
        </is>
      </c>
      <c r="E1328" s="2" t="inlineStr">
        <is>
          <t>2041200011326</t>
        </is>
      </c>
      <c r="F1328" s="2">
        <v>0</v>
      </c>
      <c r="G1328" s="2">
        <v>0</v>
      </c>
      <c r="H1328" s="2">
        <v>999</v>
      </c>
      <c r="I1328" s="2" t="inlineStr">
        <is>
          <t>3326</t>
        </is>
      </c>
      <c r="J1328" s="4"/>
      <c r="K1328" s="2">
        <v>65</v>
      </c>
      <c r="L1328" s="6"/>
      <c r="M1328" s="2" t="str">
        <f>IF(J1328="",ROUND(I1328*(1-IF(ISBLANK(L1328),K1328,L1328)/100),2),ROUND(J1328*(1-IF(ISBLANK(L1328),K1328,L1328)/100),2))</f>
      </c>
      <c r="N1328" s="7" t="str">
        <f>IF(NOT(AND(J1328="",L1328="")),IF(OR(AND(L1328&lt;&gt;"",NOT(ISNUMBER(L1328))),IFERROR(MOD(L1328,1),1)&gt;0,AND(ISNUMBER(L1328),OR(L1328&lt;0,L1328&gt;95))),"Введите целое число от 0 до 95",IF(OR(AND(J1328&lt;&gt;"",NOT(ISNUMBER(J1328))),IFERROR(MOD(J1328,1),1)&gt;0,AND(ISNUMBER(J1328),OR(J1328&lt;50,J1328&gt;20000000))),"Введите целое число от 50 до 20000000",IF(NOT(ABS(IFERROR(VALUE(LEFT(M1328,FIND("-",M1328)-1)),M1328)*100-(2500+2000000000)/2)&lt;=ABS(2500-2000000000)/2),"Цена со скидкой должна быть от 25 до 20000000",IF(AND(IFERROR(VALUE(LEFT(M1328,FIND("-",M1328)-1)),M1328)*150&lt;=116409,IFERROR(VALUE(LEFT(M1328,FIND("-",M1328)-1)),M1328)*200&gt;116409),"Вы уменьшили цену в несколько раз, товар попадет в карантин цен",IF(IFERROR(VALUE(LEFT(M1328,FIND("-",M1328)-1)),M1328)*200&lt;=116409,"Не сохранили изменения, чтобы защитить от ошибки — новые цены меньше текущих более чем в 2 раза. Снижайте их постепенно",IF(AND(IFERROR(VALUE(I1328),0)=0,ISNUMBER(J1328),OR(J1328&lt;681,ABS(IFERROR(VALUE(LEFT(M1328,FIND("-",M1328)-1)),M1328))*100&lt;68100)),"Проверьте цену товара. Большинство товаров в выбранной категории стоят дороже 681","")))))),"")</f>
      </c>
    </row>
    <row r="1329">
      <c r="A1329" s="2" t="inlineStr">
        <is>
          <t>Luxaro</t>
        </is>
      </c>
      <c r="B1329" s="2" t="inlineStr">
        <is>
          <t>Чайники заварочные</t>
        </is>
      </c>
      <c r="C1329" s="2">
        <v>306130372</v>
      </c>
      <c r="D1329" s="2" t="inlineStr">
        <is>
          <t>282975</t>
        </is>
      </c>
      <c r="E1329" s="2" t="inlineStr">
        <is>
          <t>4670294453170</t>
        </is>
      </c>
      <c r="F1329" s="2">
        <v>218</v>
      </c>
      <c r="G1329" s="2">
        <v>157</v>
      </c>
      <c r="H1329" s="2">
        <v>606</v>
      </c>
      <c r="I1329" s="2" t="inlineStr">
        <is>
          <t>3750</t>
        </is>
      </c>
      <c r="J1329" s="4"/>
      <c r="K1329" s="2">
        <v>80</v>
      </c>
      <c r="L1329" s="6"/>
      <c r="M1329" s="2" t="str">
        <f>IF(J1329="",ROUND(I1329*(1-IF(ISBLANK(L1329),K1329,L1329)/100),2),ROUND(J1329*(1-IF(ISBLANK(L1329),K1329,L1329)/100),2))</f>
      </c>
      <c r="N1329" s="7" t="str">
        <f>IF(NOT(AND(J1329="",L1329="")),IF(OR(AND(L1329&lt;&gt;"",NOT(ISNUMBER(L1329))),IFERROR(MOD(L1329,1),1)&gt;0,AND(ISNUMBER(L1329),OR(L1329&lt;0,L1329&gt;95))),"Введите целое число от 0 до 95",IF(OR(AND(J1329&lt;&gt;"",NOT(ISNUMBER(J1329))),IFERROR(MOD(J1329,1),1)&gt;0,AND(ISNUMBER(J1329),OR(J1329&lt;50,J1329&gt;20000000))),"Введите целое число от 50 до 20000000",IF(NOT(ABS(IFERROR(VALUE(LEFT(M1329,FIND("-",M1329)-1)),M1329)*100-(2500+2000000000)/2)&lt;=ABS(2500-2000000000)/2),"Цена со скидкой должна быть от 25 до 20000000",IF(AND(IFERROR(VALUE(LEFT(M1329,FIND("-",M1329)-1)),M1329)*150&lt;=74999,IFERROR(VALUE(LEFT(M1329,FIND("-",M1329)-1)),M1329)*200&gt;74999),"Вы уменьшили цену в несколько раз, товар попадет в карантин цен",IF(IFERROR(VALUE(LEFT(M1329,FIND("-",M1329)-1)),M1329)*200&lt;=74999,"Не сохранили изменения, чтобы защитить от ошибки — новые цены меньше текущих более чем в 2 раза. Снижайте их постепенно",IF(AND(IFERROR(VALUE(I1329),0)=0,ISNUMBER(J1329),OR(J1329&lt;681,ABS(IFERROR(VALUE(LEFT(M1329,FIND("-",M1329)-1)),M1329))*100&lt;68100)),"Проверьте цену товара. Большинство товаров в выбранной категории стоят дороже 681","")))))),"")</f>
      </c>
    </row>
    <row r="1330">
      <c r="A1330" s="2" t="inlineStr">
        <is>
          <t/>
        </is>
      </c>
      <c r="B1330" s="2" t="inlineStr">
        <is>
          <t>Чайники заварочные</t>
        </is>
      </c>
      <c r="C1330" s="2">
        <v>729548466</v>
      </c>
      <c r="D1330" s="2" t="inlineStr">
        <is>
          <t>283061</t>
        </is>
      </c>
      <c r="E1330" s="2" t="inlineStr">
        <is>
          <t>2048083256356</t>
        </is>
      </c>
      <c r="F1330" s="2">
        <v>0</v>
      </c>
      <c r="G1330" s="2">
        <v>0</v>
      </c>
      <c r="H1330" s="2" t="inlineStr">
        <is>
          <t/>
        </is>
      </c>
      <c r="I1330" s="2" t="inlineStr">
        <is>
          <t>21301</t>
        </is>
      </c>
      <c r="J1330" s="4"/>
      <c r="K1330" s="2">
        <v>65</v>
      </c>
      <c r="L1330" s="6"/>
      <c r="M1330" s="2" t="str">
        <f>IF(J1330="",ROUND(I1330*(1-IF(ISBLANK(L1330),K1330,L1330)/100),2),ROUND(J1330*(1-IF(ISBLANK(L1330),K1330,L1330)/100),2))</f>
      </c>
      <c r="N1330" s="7" t="str">
        <f>IF(NOT(AND(J1330="",L1330="")),IF(OR(AND(L1330&lt;&gt;"",NOT(ISNUMBER(L1330))),IFERROR(MOD(L1330,1),1)&gt;0,AND(ISNUMBER(L1330),OR(L1330&lt;0,L1330&gt;95))),"Введите целое число от 0 до 95",IF(OR(AND(J1330&lt;&gt;"",NOT(ISNUMBER(J1330))),IFERROR(MOD(J1330,1),1)&gt;0,AND(ISNUMBER(J1330),OR(J1330&lt;50,J1330&gt;20000000))),"Введите целое число от 50 до 20000000",IF(NOT(ABS(IFERROR(VALUE(LEFT(M1330,FIND("-",M1330)-1)),M1330)*100-(2500+2000000000)/2)&lt;=ABS(2500-2000000000)/2),"Цена со скидкой должна быть от 25 до 20000000",IF(AND(IFERROR(VALUE(LEFT(M1330,FIND("-",M1330)-1)),M1330)*150&lt;=745535,IFERROR(VALUE(LEFT(M1330,FIND("-",M1330)-1)),M1330)*200&gt;745535),"Вы уменьшили цену в несколько раз, товар попадет в карантин цен",IF(IFERROR(VALUE(LEFT(M1330,FIND("-",M1330)-1)),M1330)*200&lt;=745535,"Не сохранили изменения, чтобы защитить от ошибки — новые цены меньше текущих более чем в 2 раза. Снижайте их постепенно",IF(AND(IFERROR(VALUE(I1330),0)=0,ISNUMBER(J1330),OR(J1330&lt;681,ABS(IFERROR(VALUE(LEFT(M1330,FIND("-",M1330)-1)),M1330))*100&lt;68100)),"Проверьте цену товара. Большинство товаров в выбранной категории стоят дороже 681","")))))),"")</f>
      </c>
    </row>
    <row r="1331">
      <c r="A1331" s="2" t="inlineStr">
        <is>
          <t/>
        </is>
      </c>
      <c r="B1331" s="2" t="inlineStr">
        <is>
          <t>Чайники заварочные</t>
        </is>
      </c>
      <c r="C1331" s="2">
        <v>729548472</v>
      </c>
      <c r="D1331" s="2" t="inlineStr">
        <is>
          <t>820588</t>
        </is>
      </c>
      <c r="E1331" s="2" t="inlineStr">
        <is>
          <t>2048083256424</t>
        </is>
      </c>
      <c r="F1331" s="2">
        <v>0</v>
      </c>
      <c r="G1331" s="2">
        <v>0</v>
      </c>
      <c r="H1331" s="2" t="inlineStr">
        <is>
          <t/>
        </is>
      </c>
      <c r="I1331" s="2" t="inlineStr">
        <is>
          <t>14946</t>
        </is>
      </c>
      <c r="J1331" s="4"/>
      <c r="K1331" s="2">
        <v>65</v>
      </c>
      <c r="L1331" s="6"/>
      <c r="M1331" s="2" t="str">
        <f>IF(J1331="",ROUND(I1331*(1-IF(ISBLANK(L1331),K1331,L1331)/100),2),ROUND(J1331*(1-IF(ISBLANK(L1331),K1331,L1331)/100),2))</f>
      </c>
      <c r="N1331" s="7" t="str">
        <f>IF(NOT(AND(J1331="",L1331="")),IF(OR(AND(L1331&lt;&gt;"",NOT(ISNUMBER(L1331))),IFERROR(MOD(L1331,1),1)&gt;0,AND(ISNUMBER(L1331),OR(L1331&lt;0,L1331&gt;95))),"Введите целое число от 0 до 95",IF(OR(AND(J1331&lt;&gt;"",NOT(ISNUMBER(J1331))),IFERROR(MOD(J1331,1),1)&gt;0,AND(ISNUMBER(J1331),OR(J1331&lt;50,J1331&gt;20000000))),"Введите целое число от 50 до 20000000",IF(NOT(ABS(IFERROR(VALUE(LEFT(M1331,FIND("-",M1331)-1)),M1331)*100-(2500+2000000000)/2)&lt;=ABS(2500-2000000000)/2),"Цена со скидкой должна быть от 25 до 20000000",IF(AND(IFERROR(VALUE(LEFT(M1331,FIND("-",M1331)-1)),M1331)*150&lt;=523109,IFERROR(VALUE(LEFT(M1331,FIND("-",M1331)-1)),M1331)*200&gt;523109),"Вы уменьшили цену в несколько раз, товар попадет в карантин цен",IF(IFERROR(VALUE(LEFT(M1331,FIND("-",M1331)-1)),M1331)*200&lt;=523109,"Не сохранили изменения, чтобы защитить от ошибки — новые цены меньше текущих более чем в 2 раза. Снижайте их постепенно",IF(AND(IFERROR(VALUE(I1331),0)=0,ISNUMBER(J1331),OR(J1331&lt;681,ABS(IFERROR(VALUE(LEFT(M1331,FIND("-",M1331)-1)),M1331))*100&lt;68100)),"Проверьте цену товара. Большинство товаров в выбранной категории стоят дороже 681","")))))),"")</f>
      </c>
    </row>
    <row r="1332">
      <c r="A1332" s="2" t="inlineStr">
        <is>
          <t/>
        </is>
      </c>
      <c r="B1332" s="2" t="inlineStr">
        <is>
          <t>Чайники заварочные</t>
        </is>
      </c>
      <c r="C1332" s="2">
        <v>729548460</v>
      </c>
      <c r="D1332" s="2" t="inlineStr">
        <is>
          <t>821551</t>
        </is>
      </c>
      <c r="E1332" s="2" t="inlineStr">
        <is>
          <t>2048083256271</t>
        </is>
      </c>
      <c r="F1332" s="2">
        <v>2</v>
      </c>
      <c r="G1332" s="2">
        <v>0</v>
      </c>
      <c r="H1332" s="2">
        <v>999</v>
      </c>
      <c r="I1332" s="2" t="inlineStr">
        <is>
          <t>7078</t>
        </is>
      </c>
      <c r="J1332" s="4"/>
      <c r="K1332" s="2">
        <v>80</v>
      </c>
      <c r="L1332" s="6"/>
      <c r="M1332" s="2" t="str">
        <f>IF(J1332="",ROUND(I1332*(1-IF(ISBLANK(L1332),K1332,L1332)/100),2),ROUND(J1332*(1-IF(ISBLANK(L1332),K1332,L1332)/100),2))</f>
      </c>
      <c r="N1332" s="7" t="str">
        <f>IF(NOT(AND(J1332="",L1332="")),IF(OR(AND(L1332&lt;&gt;"",NOT(ISNUMBER(L1332))),IFERROR(MOD(L1332,1),1)&gt;0,AND(ISNUMBER(L1332),OR(L1332&lt;0,L1332&gt;95))),"Введите целое число от 0 до 95",IF(OR(AND(J1332&lt;&gt;"",NOT(ISNUMBER(J1332))),IFERROR(MOD(J1332,1),1)&gt;0,AND(ISNUMBER(J1332),OR(J1332&lt;50,J1332&gt;20000000))),"Введите целое число от 50 до 20000000",IF(NOT(ABS(IFERROR(VALUE(LEFT(M1332,FIND("-",M1332)-1)),M1332)*100-(2500+2000000000)/2)&lt;=ABS(2500-2000000000)/2),"Цена со скидкой должна быть от 25 до 20000000",IF(AND(IFERROR(VALUE(LEFT(M1332,FIND("-",M1332)-1)),M1332)*150&lt;=141559,IFERROR(VALUE(LEFT(M1332,FIND("-",M1332)-1)),M1332)*200&gt;141559),"Вы уменьшили цену в несколько раз, товар попадет в карантин цен",IF(IFERROR(VALUE(LEFT(M1332,FIND("-",M1332)-1)),M1332)*200&lt;=141559,"Не сохранили изменения, чтобы защитить от ошибки — новые цены меньше текущих более чем в 2 раза. Снижайте их постепенно",IF(AND(IFERROR(VALUE(I1332),0)=0,ISNUMBER(J1332),OR(J1332&lt;681,ABS(IFERROR(VALUE(LEFT(M1332,FIND("-",M1332)-1)),M1332))*100&lt;68100)),"Проверьте цену товара. Большинство товаров в выбранной категории стоят дороже 681","")))))),"")</f>
      </c>
    </row>
    <row r="1333">
      <c r="A1333" s="2" t="inlineStr">
        <is>
          <t/>
        </is>
      </c>
      <c r="B1333" s="2" t="inlineStr">
        <is>
          <t>Чайники заварочные</t>
        </is>
      </c>
      <c r="C1333" s="2">
        <v>729548454</v>
      </c>
      <c r="D1333" s="2" t="inlineStr">
        <is>
          <t>821549</t>
        </is>
      </c>
      <c r="E1333" s="2" t="inlineStr">
        <is>
          <t>2048083256202</t>
        </is>
      </c>
      <c r="F1333" s="2">
        <v>13</v>
      </c>
      <c r="G1333" s="2">
        <v>0</v>
      </c>
      <c r="H1333" s="2">
        <v>999</v>
      </c>
      <c r="I1333" s="2" t="inlineStr">
        <is>
          <t>6443</t>
        </is>
      </c>
      <c r="J1333" s="4"/>
      <c r="K1333" s="2">
        <v>81</v>
      </c>
      <c r="L1333" s="6"/>
      <c r="M1333" s="2" t="str">
        <f>IF(J1333="",ROUND(I1333*(1-IF(ISBLANK(L1333),K1333,L1333)/100),2),ROUND(J1333*(1-IF(ISBLANK(L1333),K1333,L1333)/100),2))</f>
      </c>
      <c r="N1333" s="7" t="str">
        <f>IF(NOT(AND(J1333="",L1333="")),IF(OR(AND(L1333&lt;&gt;"",NOT(ISNUMBER(L1333))),IFERROR(MOD(L1333,1),1)&gt;0,AND(ISNUMBER(L1333),OR(L1333&lt;0,L1333&gt;95))),"Введите целое число от 0 до 95",IF(OR(AND(J1333&lt;&gt;"",NOT(ISNUMBER(J1333))),IFERROR(MOD(J1333,1),1)&gt;0,AND(ISNUMBER(J1333),OR(J1333&lt;50,J1333&gt;20000000))),"Введите целое число от 50 до 20000000",IF(NOT(ABS(IFERROR(VALUE(LEFT(M1333,FIND("-",M1333)-1)),M1333)*100-(2500+2000000000)/2)&lt;=ABS(2500-2000000000)/2),"Цена со скидкой должна быть от 25 до 20000000",IF(AND(IFERROR(VALUE(LEFT(M1333,FIND("-",M1333)-1)),M1333)*150&lt;=122416,IFERROR(VALUE(LEFT(M1333,FIND("-",M1333)-1)),M1333)*200&gt;122416),"Вы уменьшили цену в несколько раз, товар попадет в карантин цен",IF(IFERROR(VALUE(LEFT(M1333,FIND("-",M1333)-1)),M1333)*200&lt;=122416,"Не сохранили изменения, чтобы защитить от ошибки — новые цены меньше текущих более чем в 2 раза. Снижайте их постепенно",IF(AND(IFERROR(VALUE(I1333),0)=0,ISNUMBER(J1333),OR(J1333&lt;681,ABS(IFERROR(VALUE(LEFT(M1333,FIND("-",M1333)-1)),M1333))*100&lt;68100)),"Проверьте цену товара. Большинство товаров в выбранной категории стоят дороже 681","")))))),"")</f>
      </c>
    </row>
    <row r="1334">
      <c r="A1334" s="2" t="inlineStr">
        <is>
          <t/>
        </is>
      </c>
      <c r="B1334" s="2" t="inlineStr">
        <is>
          <t>Чайники заварочные</t>
        </is>
      </c>
      <c r="C1334" s="2">
        <v>729548477</v>
      </c>
      <c r="D1334" s="2" t="inlineStr">
        <is>
          <t>283257</t>
        </is>
      </c>
      <c r="E1334" s="2" t="inlineStr">
        <is>
          <t>2048083256479</t>
        </is>
      </c>
      <c r="F1334" s="2">
        <v>3</v>
      </c>
      <c r="G1334" s="2">
        <v>0</v>
      </c>
      <c r="H1334" s="2">
        <v>54</v>
      </c>
      <c r="I1334" s="2" t="inlineStr">
        <is>
          <t>9661</t>
        </is>
      </c>
      <c r="J1334" s="4"/>
      <c r="K1334" s="2">
        <v>79</v>
      </c>
      <c r="L1334" s="6"/>
      <c r="M1334" s="2" t="str">
        <f>IF(J1334="",ROUND(I1334*(1-IF(ISBLANK(L1334),K1334,L1334)/100),2),ROUND(J1334*(1-IF(ISBLANK(L1334),K1334,L1334)/100),2))</f>
      </c>
      <c r="N1334" s="7" t="str">
        <f>IF(NOT(AND(J1334="",L1334="")),IF(OR(AND(L1334&lt;&gt;"",NOT(ISNUMBER(L1334))),IFERROR(MOD(L1334,1),1)&gt;0,AND(ISNUMBER(L1334),OR(L1334&lt;0,L1334&gt;95))),"Введите целое число от 0 до 95",IF(OR(AND(J1334&lt;&gt;"",NOT(ISNUMBER(J1334))),IFERROR(MOD(J1334,1),1)&gt;0,AND(ISNUMBER(J1334),OR(J1334&lt;50,J1334&gt;20000000))),"Введите целое число от 50 до 20000000",IF(NOT(ABS(IFERROR(VALUE(LEFT(M1334,FIND("-",M1334)-1)),M1334)*100-(2500+2000000000)/2)&lt;=ABS(2500-2000000000)/2),"Цена со скидкой должна быть от 25 до 20000000",IF(AND(IFERROR(VALUE(LEFT(M1334,FIND("-",M1334)-1)),M1334)*150&lt;=202880,IFERROR(VALUE(LEFT(M1334,FIND("-",M1334)-1)),M1334)*200&gt;202880),"Вы уменьшили цену в несколько раз, товар попадет в карантин цен",IF(IFERROR(VALUE(LEFT(M1334,FIND("-",M1334)-1)),M1334)*200&lt;=202880,"Не сохранили изменения, чтобы защитить от ошибки — новые цены меньше текущих более чем в 2 раза. Снижайте их постепенно",IF(AND(IFERROR(VALUE(I1334),0)=0,ISNUMBER(J1334),OR(J1334&lt;681,ABS(IFERROR(VALUE(LEFT(M1334,FIND("-",M1334)-1)),M1334))*100&lt;68100)),"Проверьте цену товара. Большинство товаров в выбранной категории стоят дороже 681","")))))),"")</f>
      </c>
    </row>
    <row r="1335">
      <c r="A1335" s="2" t="inlineStr">
        <is>
          <t>Luxaro</t>
        </is>
      </c>
      <c r="B1335" s="2" t="inlineStr">
        <is>
          <t>Выпрямители волос</t>
        </is>
      </c>
      <c r="C1335" s="2">
        <v>430065418</v>
      </c>
      <c r="D1335" s="2" t="inlineStr">
        <is>
          <t>192530</t>
        </is>
      </c>
      <c r="E1335" s="2" t="inlineStr">
        <is>
          <t>4670294455587</t>
        </is>
      </c>
      <c r="F1335" s="2">
        <v>394</v>
      </c>
      <c r="G1335" s="2">
        <v>1</v>
      </c>
      <c r="H1335" s="2">
        <v>118</v>
      </c>
      <c r="I1335" s="2" t="inlineStr">
        <is>
          <t>4780</t>
        </is>
      </c>
      <c r="J1335" s="4"/>
      <c r="K1335" s="2">
        <v>79</v>
      </c>
      <c r="L1335" s="6"/>
      <c r="M1335" s="2" t="str">
        <f>IF(J1335="",ROUND(I1335*(1-IF(ISBLANK(L1335),K1335,L1335)/100),2),ROUND(J1335*(1-IF(ISBLANK(L1335),K1335,L1335)/100),2))</f>
      </c>
      <c r="N1335" s="7" t="str">
        <f>IF(NOT(AND(J1335="",L1335="")),IF(OR(AND(L1335&lt;&gt;"",NOT(ISNUMBER(L1335))),IFERROR(MOD(L1335,1),1)&gt;0,AND(ISNUMBER(L1335),OR(L1335&lt;0,L1335&gt;95))),"Введите целое число от 0 до 95",IF(OR(AND(J1335&lt;&gt;"",NOT(ISNUMBER(J1335))),IFERROR(MOD(J1335,1),1)&gt;0,AND(ISNUMBER(J1335),OR(J1335&lt;50,J1335&gt;20000000))),"Введите целое число от 50 до 20000000",IF(NOT(ABS(IFERROR(VALUE(LEFT(M1335,FIND("-",M1335)-1)),M1335)*100-(2500+2000000000)/2)&lt;=ABS(2500-2000000000)/2),"Цена со скидкой должна быть от 25 до 20000000",IF(AND(IFERROR(VALUE(LEFT(M1335,FIND("-",M1335)-1)),M1335)*150&lt;=100379,IFERROR(VALUE(LEFT(M1335,FIND("-",M1335)-1)),M1335)*200&gt;100379),"Вы уменьшили цену в несколько раз, товар попадет в карантин цен",IF(IFERROR(VALUE(LEFT(M1335,FIND("-",M1335)-1)),M1335)*200&lt;=100379,"Не сохранили изменения, чтобы защитить от ошибки — новые цены меньше текущих более чем в 2 раза. Снижайте их постепенно",IF(AND(IFERROR(VALUE(I1335),0)=0,ISNUMBER(J1335),OR(J1335&lt;467,ABS(IFERROR(VALUE(LEFT(M1335,FIND("-",M1335)-1)),M1335))*100&lt;46700)),"Проверьте цену товара. Большинство товаров в выбранной категории стоят дороже 467","")))))),"")</f>
      </c>
    </row>
    <row r="1336">
      <c r="A1336" s="2" t="inlineStr">
        <is>
          <t/>
        </is>
      </c>
      <c r="B1336" s="2" t="inlineStr">
        <is>
          <t>Выпрямители волос</t>
        </is>
      </c>
      <c r="C1336" s="2">
        <v>725161853</v>
      </c>
      <c r="D1336" s="2" t="inlineStr">
        <is>
          <t>192455</t>
        </is>
      </c>
      <c r="E1336" s="2" t="inlineStr">
        <is>
          <t>2048045685033</t>
        </is>
      </c>
      <c r="F1336" s="2">
        <v>5</v>
      </c>
      <c r="G1336" s="2">
        <v>0</v>
      </c>
      <c r="H1336" s="2">
        <v>999</v>
      </c>
      <c r="I1336" s="2" t="inlineStr">
        <is>
          <t>6863</t>
        </is>
      </c>
      <c r="J1336" s="4"/>
      <c r="K1336" s="2">
        <v>81</v>
      </c>
      <c r="L1336" s="6"/>
      <c r="M1336" s="2" t="str">
        <f>IF(J1336="",ROUND(I1336*(1-IF(ISBLANK(L1336),K1336,L1336)/100),2),ROUND(J1336*(1-IF(ISBLANK(L1336),K1336,L1336)/100),2))</f>
      </c>
      <c r="N1336" s="7" t="str">
        <f>IF(NOT(AND(J1336="",L1336="")),IF(OR(AND(L1336&lt;&gt;"",NOT(ISNUMBER(L1336))),IFERROR(MOD(L1336,1),1)&gt;0,AND(ISNUMBER(L1336),OR(L1336&lt;0,L1336&gt;95))),"Введите целое число от 0 до 95",IF(OR(AND(J1336&lt;&gt;"",NOT(ISNUMBER(J1336))),IFERROR(MOD(J1336,1),1)&gt;0,AND(ISNUMBER(J1336),OR(J1336&lt;50,J1336&gt;20000000))),"Введите целое число от 50 до 20000000",IF(NOT(ABS(IFERROR(VALUE(LEFT(M1336,FIND("-",M1336)-1)),M1336)*100-(2500+2000000000)/2)&lt;=ABS(2500-2000000000)/2),"Цена со скидкой должна быть от 25 до 20000000",IF(AND(IFERROR(VALUE(LEFT(M1336,FIND("-",M1336)-1)),M1336)*150&lt;=130396,IFERROR(VALUE(LEFT(M1336,FIND("-",M1336)-1)),M1336)*200&gt;130396),"Вы уменьшили цену в несколько раз, товар попадет в карантин цен",IF(IFERROR(VALUE(LEFT(M1336,FIND("-",M1336)-1)),M1336)*200&lt;=130396,"Не сохранили изменения, чтобы защитить от ошибки — новые цены меньше текущих более чем в 2 раза. Снижайте их постепенно",IF(AND(IFERROR(VALUE(I1336),0)=0,ISNUMBER(J1336),OR(J1336&lt;467,ABS(IFERROR(VALUE(LEFT(M1336,FIND("-",M1336)-1)),M1336))*100&lt;46700)),"Проверьте цену товара. Большинство товаров в выбранной категории стоят дороже 467","")))))),"")</f>
      </c>
    </row>
    <row r="1337">
      <c r="A1337" s="2" t="inlineStr">
        <is>
          <t/>
        </is>
      </c>
      <c r="B1337" s="2" t="inlineStr">
        <is>
          <t>Выпрямители волос</t>
        </is>
      </c>
      <c r="C1337" s="2">
        <v>725161856</v>
      </c>
      <c r="D1337" s="2" t="inlineStr">
        <is>
          <t>191717</t>
        </is>
      </c>
      <c r="E1337" s="2" t="inlineStr">
        <is>
          <t>2048045685071</t>
        </is>
      </c>
      <c r="F1337" s="2">
        <v>0</v>
      </c>
      <c r="G1337" s="2">
        <v>7</v>
      </c>
      <c r="H1337" s="2" t="inlineStr">
        <is>
          <t/>
        </is>
      </c>
      <c r="I1337" s="2" t="inlineStr">
        <is>
          <t>5465</t>
        </is>
      </c>
      <c r="J1337" s="4"/>
      <c r="K1337" s="2">
        <v>80</v>
      </c>
      <c r="L1337" s="6"/>
      <c r="M1337" s="2" t="str">
        <f>IF(J1337="",ROUND(I1337*(1-IF(ISBLANK(L1337),K1337,L1337)/100),2),ROUND(J1337*(1-IF(ISBLANK(L1337),K1337,L1337)/100),2))</f>
      </c>
      <c r="N1337" s="7" t="str">
        <f>IF(NOT(AND(J1337="",L1337="")),IF(OR(AND(L1337&lt;&gt;"",NOT(ISNUMBER(L1337))),IFERROR(MOD(L1337,1),1)&gt;0,AND(ISNUMBER(L1337),OR(L1337&lt;0,L1337&gt;95))),"Введите целое число от 0 до 95",IF(OR(AND(J1337&lt;&gt;"",NOT(ISNUMBER(J1337))),IFERROR(MOD(J1337,1),1)&gt;0,AND(ISNUMBER(J1337),OR(J1337&lt;50,J1337&gt;20000000))),"Введите целое число от 50 до 20000000",IF(NOT(ABS(IFERROR(VALUE(LEFT(M1337,FIND("-",M1337)-1)),M1337)*100-(2500+2000000000)/2)&lt;=ABS(2500-2000000000)/2),"Цена со скидкой должна быть от 25 до 20000000",IF(AND(IFERROR(VALUE(LEFT(M1337,FIND("-",M1337)-1)),M1337)*150&lt;=109299,IFERROR(VALUE(LEFT(M1337,FIND("-",M1337)-1)),M1337)*200&gt;109299),"Вы уменьшили цену в несколько раз, товар попадет в карантин цен",IF(IFERROR(VALUE(LEFT(M1337,FIND("-",M1337)-1)),M1337)*200&lt;=109299,"Не сохранили изменения, чтобы защитить от ошибки — новые цены меньше текущих более чем в 2 раза. Снижайте их постепенно",IF(AND(IFERROR(VALUE(I1337),0)=0,ISNUMBER(J1337),OR(J1337&lt;467,ABS(IFERROR(VALUE(LEFT(M1337,FIND("-",M1337)-1)),M1337))*100&lt;46700)),"Проверьте цену товара. Большинство товаров в выбранной категории стоят дороже 467","")))))),"")</f>
      </c>
    </row>
    <row r="1338">
      <c r="A1338" s="2" t="inlineStr">
        <is>
          <t>Luxaro</t>
        </is>
      </c>
      <c r="B1338" s="2" t="inlineStr">
        <is>
          <t>Чайники заварочные</t>
        </is>
      </c>
      <c r="C1338" s="2">
        <v>306130374</v>
      </c>
      <c r="D1338" s="2" t="inlineStr">
        <is>
          <t>282977</t>
        </is>
      </c>
      <c r="E1338" s="2" t="inlineStr">
        <is>
          <t>4670294453194</t>
        </is>
      </c>
      <c r="F1338" s="2">
        <v>108</v>
      </c>
      <c r="G1338" s="2">
        <v>145</v>
      </c>
      <c r="H1338" s="2">
        <v>999</v>
      </c>
      <c r="I1338" s="2" t="inlineStr">
        <is>
          <t>4572</t>
        </is>
      </c>
      <c r="J1338" s="4"/>
      <c r="K1338" s="2">
        <v>81</v>
      </c>
      <c r="L1338" s="6"/>
      <c r="M1338" s="2" t="str">
        <f>IF(J1338="",ROUND(I1338*(1-IF(ISBLANK(L1338),K1338,L1338)/100),2),ROUND(J1338*(1-IF(ISBLANK(L1338),K1338,L1338)/100),2))</f>
      </c>
      <c r="N1338" s="7" t="str">
        <f>IF(NOT(AND(J1338="",L1338="")),IF(OR(AND(L1338&lt;&gt;"",NOT(ISNUMBER(L1338))),IFERROR(MOD(L1338,1),1)&gt;0,AND(ISNUMBER(L1338),OR(L1338&lt;0,L1338&gt;95))),"Введите целое число от 0 до 95",IF(OR(AND(J1338&lt;&gt;"",NOT(ISNUMBER(J1338))),IFERROR(MOD(J1338,1),1)&gt;0,AND(ISNUMBER(J1338),OR(J1338&lt;50,J1338&gt;20000000))),"Введите целое число от 50 до 20000000",IF(NOT(ABS(IFERROR(VALUE(LEFT(M1338,FIND("-",M1338)-1)),M1338)*100-(2500+2000000000)/2)&lt;=ABS(2500-2000000000)/2),"Цена со скидкой должна быть от 25 до 20000000",IF(AND(IFERROR(VALUE(LEFT(M1338,FIND("-",M1338)-1)),M1338)*150&lt;=86867,IFERROR(VALUE(LEFT(M1338,FIND("-",M1338)-1)),M1338)*200&gt;86867),"Вы уменьшили цену в несколько раз, товар попадет в карантин цен",IF(IFERROR(VALUE(LEFT(M1338,FIND("-",M1338)-1)),M1338)*200&lt;=86867,"Не сохранили изменения, чтобы защитить от ошибки — новые цены меньше текущих более чем в 2 раза. Снижайте их постепенно",IF(AND(IFERROR(VALUE(I1338),0)=0,ISNUMBER(J1338),OR(J1338&lt;681,ABS(IFERROR(VALUE(LEFT(M1338,FIND("-",M1338)-1)),M1338))*100&lt;68100)),"Проверьте цену товара. Большинство товаров в выбранной категории стоят дороже 681","")))))),"")</f>
      </c>
    </row>
    <row r="1339">
      <c r="A1339" s="2" t="inlineStr">
        <is>
          <t/>
        </is>
      </c>
      <c r="B1339" s="2" t="inlineStr">
        <is>
          <t>Выпрямители волос</t>
        </is>
      </c>
      <c r="C1339" s="2">
        <v>725161855</v>
      </c>
      <c r="D1339" s="2" t="inlineStr">
        <is>
          <t>192124</t>
        </is>
      </c>
      <c r="E1339" s="2" t="inlineStr">
        <is>
          <t>2048045685064</t>
        </is>
      </c>
      <c r="F1339" s="2">
        <v>4</v>
      </c>
      <c r="G1339" s="2">
        <v>0</v>
      </c>
      <c r="H1339" s="2">
        <v>139</v>
      </c>
      <c r="I1339" s="2" t="inlineStr">
        <is>
          <t>5578</t>
        </is>
      </c>
      <c r="J1339" s="4"/>
      <c r="K1339" s="2">
        <v>81</v>
      </c>
      <c r="L1339" s="6"/>
      <c r="M1339" s="2" t="str">
        <f>IF(J1339="",ROUND(I1339*(1-IF(ISBLANK(L1339),K1339,L1339)/100),2),ROUND(J1339*(1-IF(ISBLANK(L1339),K1339,L1339)/100),2))</f>
      </c>
      <c r="N1339" s="7" t="str">
        <f>IF(NOT(AND(J1339="",L1339="")),IF(OR(AND(L1339&lt;&gt;"",NOT(ISNUMBER(L1339))),IFERROR(MOD(L1339,1),1)&gt;0,AND(ISNUMBER(L1339),OR(L1339&lt;0,L1339&gt;95))),"Введите целое число от 0 до 95",IF(OR(AND(J1339&lt;&gt;"",NOT(ISNUMBER(J1339))),IFERROR(MOD(J1339,1),1)&gt;0,AND(ISNUMBER(J1339),OR(J1339&lt;50,J1339&gt;20000000))),"Введите целое число от 50 до 20000000",IF(NOT(ABS(IFERROR(VALUE(LEFT(M1339,FIND("-",M1339)-1)),M1339)*100-(2500+2000000000)/2)&lt;=ABS(2500-2000000000)/2),"Цена со скидкой должна быть от 25 до 20000000",IF(AND(IFERROR(VALUE(LEFT(M1339,FIND("-",M1339)-1)),M1339)*150&lt;=105981,IFERROR(VALUE(LEFT(M1339,FIND("-",M1339)-1)),M1339)*200&gt;105981),"Вы уменьшили цену в несколько раз, товар попадет в карантин цен",IF(IFERROR(VALUE(LEFT(M1339,FIND("-",M1339)-1)),M1339)*200&lt;=105981,"Не сохранили изменения, чтобы защитить от ошибки — новые цены меньше текущих более чем в 2 раза. Снижайте их постепенно",IF(AND(IFERROR(VALUE(I1339),0)=0,ISNUMBER(J1339),OR(J1339&lt;467,ABS(IFERROR(VALUE(LEFT(M1339,FIND("-",M1339)-1)),M1339))*100&lt;46700)),"Проверьте цену товара. Большинство товаров в выбранной категории стоят дороже 467","")))))),"")</f>
      </c>
    </row>
    <row r="1340">
      <c r="A1340" s="2" t="inlineStr">
        <is>
          <t/>
        </is>
      </c>
      <c r="B1340" s="2" t="inlineStr">
        <is>
          <t>Тарелки</t>
        </is>
      </c>
      <c r="C1340" s="2">
        <v>729438957</v>
      </c>
      <c r="D1340" s="2" t="inlineStr">
        <is>
          <t>076487</t>
        </is>
      </c>
      <c r="E1340" s="2" t="inlineStr">
        <is>
          <t>2048082126582</t>
        </is>
      </c>
      <c r="F1340" s="2" t="inlineStr">
        <is>
          <t/>
        </is>
      </c>
      <c r="G1340" s="2" t="inlineStr">
        <is>
          <t/>
        </is>
      </c>
      <c r="H1340" s="2" t="inlineStr">
        <is>
          <t/>
        </is>
      </c>
      <c r="I1340" s="2" t="inlineStr">
        <is>
          <t>0</t>
        </is>
      </c>
      <c r="J1340" s="4"/>
      <c r="K1340" s="2">
        <v>0</v>
      </c>
      <c r="L1340" s="6"/>
      <c r="M1340" s="2" t="str">
        <f>IF(J1340="",ROUND(I1340*(1-IF(ISBLANK(L1340),K1340,L1340)/100),2),ROUND(J1340*(1-IF(ISBLANK(L1340),K1340,L1340)/100),2))</f>
      </c>
      <c r="N1340" s="7" t="str">
        <f>IF(NOT(AND(J1340="",L1340="")),IF(OR(AND(L1340&lt;&gt;"",NOT(ISNUMBER(L1340))),IFERROR(MOD(L1340,1),1)&gt;0,AND(ISNUMBER(L1340),OR(L1340&lt;0,L1340&gt;95))),"Введите целое число от 0 до 95",IF(OR(AND(J1340&lt;&gt;"",NOT(ISNUMBER(J1340))),IFERROR(MOD(J1340,1),1)&gt;0,AND(ISNUMBER(J1340),OR(J1340&lt;50,J1340&gt;20000000))),"Введите целое число от 50 до 20000000",IF(NOT(ABS(IFERROR(VALUE(LEFT(M1340,FIND("-",M1340)-1)),M1340)*100-(2500+2000000000)/2)&lt;=ABS(2500-2000000000)/2),"Цена со скидкой должна быть от 25 до 20000000",IF(AND(IFERROR(VALUE(LEFT(M1340,FIND("-",M1340)-1)),M1340)*150&lt;=0,IFERROR(VALUE(LEFT(M1340,FIND("-",M1340)-1)),M1340)*200&gt;0),"Вы уменьшили цену в несколько раз, товар попадет в карантин цен",IF(IFERROR(VALUE(LEFT(M1340,FIND("-",M1340)-1)),M1340)*200&lt;=0,"Не сохранили изменения, чтобы защитить от ошибки — новые цены меньше текущих более чем в 2 раза. Снижайте их постепенно",IF(AND(IFERROR(VALUE(I1340),0)=0,ISNUMBER(J1340),OR(J1340&lt;413,ABS(IFERROR(VALUE(LEFT(M1340,FIND("-",M1340)-1)),M1340))*100&lt;41300)),"Проверьте цену товара. Большинство товаров в выбранной категории стоят дороже 413","")))))),"")</f>
      </c>
    </row>
    <row r="1341">
      <c r="A1341" s="2" t="inlineStr">
        <is>
          <t/>
        </is>
      </c>
      <c r="B1341" s="2" t="inlineStr">
        <is>
          <t>Графины</t>
        </is>
      </c>
      <c r="C1341" s="2">
        <v>765931940</v>
      </c>
      <c r="D1341" s="2" t="inlineStr">
        <is>
          <t>12102</t>
        </is>
      </c>
      <c r="E1341" s="2" t="inlineStr">
        <is>
          <t>2048428757159</t>
        </is>
      </c>
      <c r="F1341" s="2">
        <v>22</v>
      </c>
      <c r="G1341" s="2">
        <v>129</v>
      </c>
      <c r="H1341" s="2">
        <v>999</v>
      </c>
      <c r="I1341" s="2" t="inlineStr">
        <is>
          <t>6721</t>
        </is>
      </c>
      <c r="J1341" s="4"/>
      <c r="K1341" s="2">
        <v>82</v>
      </c>
      <c r="L1341" s="6"/>
      <c r="M1341" s="2" t="str">
        <f>IF(J1341="",ROUND(I1341*(1-IF(ISBLANK(L1341),K1341,L1341)/100),2),ROUND(J1341*(1-IF(ISBLANK(L1341),K1341,L1341)/100),2))</f>
      </c>
      <c r="N1341" s="7" t="str">
        <f>IF(NOT(AND(J1341="",L1341="")),IF(OR(AND(L1341&lt;&gt;"",NOT(ISNUMBER(L1341))),IFERROR(MOD(L1341,1),1)&gt;0,AND(ISNUMBER(L1341),OR(L1341&lt;0,L1341&gt;95))),"Введите целое число от 0 до 95",IF(OR(AND(J1341&lt;&gt;"",NOT(ISNUMBER(J1341))),IFERROR(MOD(J1341,1),1)&gt;0,AND(ISNUMBER(J1341),OR(J1341&lt;50,J1341&gt;20000000))),"Введите целое число от 50 до 20000000",IF(NOT(ABS(IFERROR(VALUE(LEFT(M1341,FIND("-",M1341)-1)),M1341)*100-(2500+2000000000)/2)&lt;=ABS(2500-2000000000)/2),"Цена со скидкой должна быть от 25 до 20000000",IF(AND(IFERROR(VALUE(LEFT(M1341,FIND("-",M1341)-1)),M1341)*150&lt;=120978,IFERROR(VALUE(LEFT(M1341,FIND("-",M1341)-1)),M1341)*200&gt;120978),"Вы уменьшили цену в несколько раз, товар попадет в карантин цен",IF(IFERROR(VALUE(LEFT(M1341,FIND("-",M1341)-1)),M1341)*200&lt;=120978,"Не сохранили изменения, чтобы защитить от ошибки — новые цены меньше текущих более чем в 2 раза. Снижайте их постепенно",IF(AND(IFERROR(VALUE(I1341),0)=0,ISNUMBER(J1341),OR(J1341&lt;458,ABS(IFERROR(VALUE(LEFT(M1341,FIND("-",M1341)-1)),M1341))*100&lt;45800)),"Проверьте цену товара. Большинство товаров в выбранной категории стоят дороже 458","")))))),"")</f>
      </c>
    </row>
    <row r="1342">
      <c r="A1342" s="2" t="inlineStr">
        <is>
          <t>Pasabahce</t>
        </is>
      </c>
      <c r="B1342" s="2" t="inlineStr">
        <is>
          <t>Графины</t>
        </is>
      </c>
      <c r="C1342" s="2">
        <v>253244932</v>
      </c>
      <c r="D1342" s="2" t="inlineStr">
        <is>
          <t>121817</t>
        </is>
      </c>
      <c r="E1342" s="2" t="inlineStr">
        <is>
          <t>2040948908097</t>
        </is>
      </c>
      <c r="F1342" s="2">
        <v>0</v>
      </c>
      <c r="G1342" s="2">
        <v>0</v>
      </c>
      <c r="H1342" s="2">
        <v>1</v>
      </c>
      <c r="I1342" s="2" t="inlineStr">
        <is>
          <t>3376</t>
        </is>
      </c>
      <c r="J1342" s="4"/>
      <c r="K1342" s="2">
        <v>65</v>
      </c>
      <c r="L1342" s="6"/>
      <c r="M1342" s="2" t="str">
        <f>IF(J1342="",ROUND(I1342*(1-IF(ISBLANK(L1342),K1342,L1342)/100),2),ROUND(J1342*(1-IF(ISBLANK(L1342),K1342,L1342)/100),2))</f>
      </c>
      <c r="N1342" s="7" t="str">
        <f>IF(NOT(AND(J1342="",L1342="")),IF(OR(AND(L1342&lt;&gt;"",NOT(ISNUMBER(L1342))),IFERROR(MOD(L1342,1),1)&gt;0,AND(ISNUMBER(L1342),OR(L1342&lt;0,L1342&gt;95))),"Введите целое число от 0 до 95",IF(OR(AND(J1342&lt;&gt;"",NOT(ISNUMBER(J1342))),IFERROR(MOD(J1342,1),1)&gt;0,AND(ISNUMBER(J1342),OR(J1342&lt;50,J1342&gt;20000000))),"Введите целое число от 50 до 20000000",IF(NOT(ABS(IFERROR(VALUE(LEFT(M1342,FIND("-",M1342)-1)),M1342)*100-(2500+2000000000)/2)&lt;=ABS(2500-2000000000)/2),"Цена со скидкой должна быть от 25 до 20000000",IF(AND(IFERROR(VALUE(LEFT(M1342,FIND("-",M1342)-1)),M1342)*150&lt;=118159,IFERROR(VALUE(LEFT(M1342,FIND("-",M1342)-1)),M1342)*200&gt;118159),"Вы уменьшили цену в несколько раз, товар попадет в карантин цен",IF(IFERROR(VALUE(LEFT(M1342,FIND("-",M1342)-1)),M1342)*200&lt;=118159,"Не сохранили изменения, чтобы защитить от ошибки — новые цены меньше текущих более чем в 2 раза. Снижайте их постепенно",IF(AND(IFERROR(VALUE(I1342),0)=0,ISNUMBER(J1342),OR(J1342&lt;458,ABS(IFERROR(VALUE(LEFT(M1342,FIND("-",M1342)-1)),M1342))*100&lt;45800)),"Проверьте цену товара. Большинство товаров в выбранной категории стоят дороже 458","")))))),"")</f>
      </c>
    </row>
    <row r="1343">
      <c r="A1343" s="2" t="inlineStr">
        <is>
          <t>Luxaro</t>
        </is>
      </c>
      <c r="B1343" s="2" t="inlineStr">
        <is>
          <t>Тарелки</t>
        </is>
      </c>
      <c r="C1343" s="2">
        <v>866577333</v>
      </c>
      <c r="D1343" s="2" t="inlineStr">
        <is>
          <t>14012</t>
        </is>
      </c>
      <c r="E1343" s="2" t="inlineStr">
        <is>
          <t>2049459720266</t>
        </is>
      </c>
      <c r="F1343" s="2">
        <v>68</v>
      </c>
      <c r="G1343" s="2">
        <v>61</v>
      </c>
      <c r="H1343" s="2">
        <v>110</v>
      </c>
      <c r="I1343" s="2" t="inlineStr">
        <is>
          <t>6600</t>
        </is>
      </c>
      <c r="J1343" s="4"/>
      <c r="K1343" s="2">
        <v>75</v>
      </c>
      <c r="L1343" s="6"/>
      <c r="M1343" s="2" t="str">
        <f>IF(J1343="",ROUND(I1343*(1-IF(ISBLANK(L1343),K1343,L1343)/100),2),ROUND(J1343*(1-IF(ISBLANK(L1343),K1343,L1343)/100),2))</f>
      </c>
      <c r="N1343" s="7" t="str">
        <f>IF(NOT(AND(J1343="",L1343="")),IF(OR(AND(L1343&lt;&gt;"",NOT(ISNUMBER(L1343))),IFERROR(MOD(L1343,1),1)&gt;0,AND(ISNUMBER(L1343),OR(L1343&lt;0,L1343&gt;95))),"Введите целое число от 0 до 95",IF(OR(AND(J1343&lt;&gt;"",NOT(ISNUMBER(J1343))),IFERROR(MOD(J1343,1),1)&gt;0,AND(ISNUMBER(J1343),OR(J1343&lt;50,J1343&gt;20000000))),"Введите целое число от 50 до 20000000",IF(NOT(ABS(IFERROR(VALUE(LEFT(M1343,FIND("-",M1343)-1)),M1343)*100-(2500+2000000000)/2)&lt;=ABS(2500-2000000000)/2),"Цена со скидкой должна быть от 25 до 20000000",IF(AND(IFERROR(VALUE(LEFT(M1343,FIND("-",M1343)-1)),M1343)*150&lt;=165000,IFERROR(VALUE(LEFT(M1343,FIND("-",M1343)-1)),M1343)*200&gt;165000),"Вы уменьшили цену в несколько раз, товар попадет в карантин цен",IF(IFERROR(VALUE(LEFT(M1343,FIND("-",M1343)-1)),M1343)*200&lt;=165000,"Не сохранили изменения, чтобы защитить от ошибки — новые цены меньше текущих более чем в 2 раза. Снижайте их постепенно",IF(AND(IFERROR(VALUE(I1343),0)=0,ISNUMBER(J1343),OR(J1343&lt;413,ABS(IFERROR(VALUE(LEFT(M1343,FIND("-",M1343)-1)),M1343))*100&lt;41300)),"Проверьте цену товара. Большинство товаров в выбранной категории стоят дороже 413","")))))),"")</f>
      </c>
    </row>
    <row r="1344">
      <c r="A1344" s="2" t="inlineStr">
        <is>
          <t/>
        </is>
      </c>
      <c r="B1344" s="2" t="inlineStr">
        <is>
          <t>Графины</t>
        </is>
      </c>
      <c r="C1344" s="2">
        <v>765931942</v>
      </c>
      <c r="D1344" s="2" t="inlineStr">
        <is>
          <t>12432</t>
        </is>
      </c>
      <c r="E1344" s="2" t="inlineStr">
        <is>
          <t>2048428757173</t>
        </is>
      </c>
      <c r="F1344" s="2">
        <v>15</v>
      </c>
      <c r="G1344" s="2">
        <v>29</v>
      </c>
      <c r="H1344" s="2">
        <v>999</v>
      </c>
      <c r="I1344" s="2" t="inlineStr">
        <is>
          <t>6532</t>
        </is>
      </c>
      <c r="J1344" s="4"/>
      <c r="K1344" s="2">
        <v>81</v>
      </c>
      <c r="L1344" s="6"/>
      <c r="M1344" s="2" t="str">
        <f>IF(J1344="",ROUND(I1344*(1-IF(ISBLANK(L1344),K1344,L1344)/100),2),ROUND(J1344*(1-IF(ISBLANK(L1344),K1344,L1344)/100),2))</f>
      </c>
      <c r="N1344" s="7" t="str">
        <f>IF(NOT(AND(J1344="",L1344="")),IF(OR(AND(L1344&lt;&gt;"",NOT(ISNUMBER(L1344))),IFERROR(MOD(L1344,1),1)&gt;0,AND(ISNUMBER(L1344),OR(L1344&lt;0,L1344&gt;95))),"Введите целое число от 0 до 95",IF(OR(AND(J1344&lt;&gt;"",NOT(ISNUMBER(J1344))),IFERROR(MOD(J1344,1),1)&gt;0,AND(ISNUMBER(J1344),OR(J1344&lt;50,J1344&gt;20000000))),"Введите целое число от 50 до 20000000",IF(NOT(ABS(IFERROR(VALUE(LEFT(M1344,FIND("-",M1344)-1)),M1344)*100-(2500+2000000000)/2)&lt;=ABS(2500-2000000000)/2),"Цена со скидкой должна быть от 25 до 20000000",IF(AND(IFERROR(VALUE(LEFT(M1344,FIND("-",M1344)-1)),M1344)*150&lt;=124107,IFERROR(VALUE(LEFT(M1344,FIND("-",M1344)-1)),M1344)*200&gt;124107),"Вы уменьшили цену в несколько раз, товар попадет в карантин цен",IF(IFERROR(VALUE(LEFT(M1344,FIND("-",M1344)-1)),M1344)*200&lt;=124107,"Не сохранили изменения, чтобы защитить от ошибки — новые цены меньше текущих более чем в 2 раза. Снижайте их постепенно",IF(AND(IFERROR(VALUE(I1344),0)=0,ISNUMBER(J1344),OR(J1344&lt;458,ABS(IFERROR(VALUE(LEFT(M1344,FIND("-",M1344)-1)),M1344))*100&lt;45800)),"Проверьте цену товара. Большинство товаров в выбранной категории стоят дороже 458","")))))),"")</f>
      </c>
    </row>
    <row r="1345">
      <c r="A1345" s="2" t="inlineStr">
        <is>
          <t/>
        </is>
      </c>
      <c r="B1345" s="2" t="inlineStr">
        <is>
          <t>Чайники электрические</t>
        </is>
      </c>
      <c r="C1345" s="2">
        <v>725312311</v>
      </c>
      <c r="D1345" s="2" t="inlineStr">
        <is>
          <t>192163</t>
        </is>
      </c>
      <c r="E1345" s="2" t="inlineStr">
        <is>
          <t>2048047081666</t>
        </is>
      </c>
      <c r="F1345" s="2">
        <v>0</v>
      </c>
      <c r="G1345" s="2">
        <v>9</v>
      </c>
      <c r="H1345" s="2" t="inlineStr">
        <is>
          <t/>
        </is>
      </c>
      <c r="I1345" s="2" t="inlineStr">
        <is>
          <t>6237</t>
        </is>
      </c>
      <c r="J1345" s="4"/>
      <c r="K1345" s="2">
        <v>79</v>
      </c>
      <c r="L1345" s="6"/>
      <c r="M1345" s="2" t="str">
        <f>IF(J1345="",ROUND(I1345*(1-IF(ISBLANK(L1345),K1345,L1345)/100),2),ROUND(J1345*(1-IF(ISBLANK(L1345),K1345,L1345)/100),2))</f>
      </c>
      <c r="N1345" s="7" t="str">
        <f>IF(NOT(AND(J1345="",L1345="")),IF(OR(AND(L1345&lt;&gt;"",NOT(ISNUMBER(L1345))),IFERROR(MOD(L1345,1),1)&gt;0,AND(ISNUMBER(L1345),OR(L1345&lt;0,L1345&gt;95))),"Введите целое число от 0 до 95",IF(OR(AND(J1345&lt;&gt;"",NOT(ISNUMBER(J1345))),IFERROR(MOD(J1345,1),1)&gt;0,AND(ISNUMBER(J1345),OR(J1345&lt;50,J1345&gt;20000000))),"Введите целое число от 50 до 20000000",IF(NOT(ABS(IFERROR(VALUE(LEFT(M1345,FIND("-",M1345)-1)),M1345)*100-(2500+2000000000)/2)&lt;=ABS(2500-2000000000)/2),"Цена со скидкой должна быть от 25 до 20000000",IF(AND(IFERROR(VALUE(LEFT(M1345,FIND("-",M1345)-1)),M1345)*150&lt;=130976,IFERROR(VALUE(LEFT(M1345,FIND("-",M1345)-1)),M1345)*200&gt;130976),"Вы уменьшили цену в несколько раз, товар попадет в карантин цен",IF(IFERROR(VALUE(LEFT(M1345,FIND("-",M1345)-1)),M1345)*200&lt;=130976,"Не сохранили изменения, чтобы защитить от ошибки — новые цены меньше текущих более чем в 2 раза. Снижайте их постепенно",IF(AND(IFERROR(VALUE(I1345),0)=0,ISNUMBER(J1345),OR(J1345&lt;496,ABS(IFERROR(VALUE(LEFT(M1345,FIND("-",M1345)-1)),M1345))*100&lt;49600)),"Проверьте цену товара. Большинство товаров в выбранной категории стоят дороже 496","")))))),"")</f>
      </c>
    </row>
    <row r="1346">
      <c r="A1346" s="2" t="inlineStr">
        <is>
          <t>Luxaro</t>
        </is>
      </c>
      <c r="B1346" s="2" t="inlineStr">
        <is>
          <t>Вазы</t>
        </is>
      </c>
      <c r="C1346" s="2">
        <v>314395304</v>
      </c>
      <c r="D1346" s="2" t="inlineStr">
        <is>
          <t>100486</t>
        </is>
      </c>
      <c r="E1346" s="2" t="inlineStr">
        <is>
          <t>2042537093696</t>
        </is>
      </c>
      <c r="F1346" s="2">
        <v>0</v>
      </c>
      <c r="G1346" s="2">
        <v>0</v>
      </c>
      <c r="H1346" s="2">
        <v>999</v>
      </c>
      <c r="I1346" s="2" t="inlineStr">
        <is>
          <t>4968</t>
        </is>
      </c>
      <c r="J1346" s="4"/>
      <c r="K1346" s="2">
        <v>65</v>
      </c>
      <c r="L1346" s="6"/>
      <c r="M1346" s="2" t="str">
        <f>IF(J1346="",ROUND(I1346*(1-IF(ISBLANK(L1346),K1346,L1346)/100),2),ROUND(J1346*(1-IF(ISBLANK(L1346),K1346,L1346)/100),2))</f>
      </c>
      <c r="N1346" s="7" t="str">
        <f>IF(NOT(AND(J1346="",L1346="")),IF(OR(AND(L1346&lt;&gt;"",NOT(ISNUMBER(L1346))),IFERROR(MOD(L1346,1),1)&gt;0,AND(ISNUMBER(L1346),OR(L1346&lt;0,L1346&gt;95))),"Введите целое число от 0 до 95",IF(OR(AND(J1346&lt;&gt;"",NOT(ISNUMBER(J1346))),IFERROR(MOD(J1346,1),1)&gt;0,AND(ISNUMBER(J1346),OR(J1346&lt;50,J1346&gt;20000000))),"Введите целое число от 50 до 20000000",IF(NOT(ABS(IFERROR(VALUE(LEFT(M1346,FIND("-",M1346)-1)),M1346)*100-(2500+2000000000)/2)&lt;=ABS(2500-2000000000)/2),"Цена со скидкой должна быть от 25 до 20000000",IF(AND(IFERROR(VALUE(LEFT(M1346,FIND("-",M1346)-1)),M1346)*150&lt;=173880,IFERROR(VALUE(LEFT(M1346,FIND("-",M1346)-1)),M1346)*200&gt;173880),"Вы уменьшили цену в несколько раз, товар попадет в карантин цен",IF(IFERROR(VALUE(LEFT(M1346,FIND("-",M1346)-1)),M1346)*200&lt;=173880,"Не сохранили изменения, чтобы защитить от ошибки — новые цены меньше текущих более чем в 2 раза. Снижайте их постепенно",IF(AND(IFERROR(VALUE(I1346),0)=0,ISNUMBER(J1346),OR(J1346&lt;296,ABS(IFERROR(VALUE(LEFT(M1346,FIND("-",M1346)-1)),M1346))*100&lt;29600)),"Проверьте цену товара. Большинство товаров в выбранной категории стоят дороже 296","")))))),"")</f>
      </c>
    </row>
    <row r="1347">
      <c r="A1347" s="2" t="inlineStr">
        <is>
          <t>Pasabahce</t>
        </is>
      </c>
      <c r="B1347" s="2" t="inlineStr">
        <is>
          <t>Графины</t>
        </is>
      </c>
      <c r="C1347" s="2">
        <v>372823862</v>
      </c>
      <c r="D1347" s="2" t="inlineStr">
        <is>
          <t>121888</t>
        </is>
      </c>
      <c r="E1347" s="2" t="inlineStr">
        <is>
          <t>2043399134619</t>
        </is>
      </c>
      <c r="F1347" s="2">
        <v>0</v>
      </c>
      <c r="G1347" s="2">
        <v>0</v>
      </c>
      <c r="H1347" s="2">
        <v>1</v>
      </c>
      <c r="I1347" s="2" t="inlineStr">
        <is>
          <t>3448</t>
        </is>
      </c>
      <c r="J1347" s="4"/>
      <c r="K1347" s="2">
        <v>65</v>
      </c>
      <c r="L1347" s="6"/>
      <c r="M1347" s="2" t="str">
        <f>IF(J1347="",ROUND(I1347*(1-IF(ISBLANK(L1347),K1347,L1347)/100),2),ROUND(J1347*(1-IF(ISBLANK(L1347),K1347,L1347)/100),2))</f>
      </c>
      <c r="N1347" s="7" t="str">
        <f>IF(NOT(AND(J1347="",L1347="")),IF(OR(AND(L1347&lt;&gt;"",NOT(ISNUMBER(L1347))),IFERROR(MOD(L1347,1),1)&gt;0,AND(ISNUMBER(L1347),OR(L1347&lt;0,L1347&gt;95))),"Введите целое число от 0 до 95",IF(OR(AND(J1347&lt;&gt;"",NOT(ISNUMBER(J1347))),IFERROR(MOD(J1347,1),1)&gt;0,AND(ISNUMBER(J1347),OR(J1347&lt;50,J1347&gt;20000000))),"Введите целое число от 50 до 20000000",IF(NOT(ABS(IFERROR(VALUE(LEFT(M1347,FIND("-",M1347)-1)),M1347)*100-(2500+2000000000)/2)&lt;=ABS(2500-2000000000)/2),"Цена со скидкой должна быть от 25 до 20000000",IF(AND(IFERROR(VALUE(LEFT(M1347,FIND("-",M1347)-1)),M1347)*150&lt;=120680,IFERROR(VALUE(LEFT(M1347,FIND("-",M1347)-1)),M1347)*200&gt;120680),"Вы уменьшили цену в несколько раз, товар попадет в карантин цен",IF(IFERROR(VALUE(LEFT(M1347,FIND("-",M1347)-1)),M1347)*200&lt;=120680,"Не сохранили изменения, чтобы защитить от ошибки — новые цены меньше текущих более чем в 2 раза. Снижайте их постепенно",IF(AND(IFERROR(VALUE(I1347),0)=0,ISNUMBER(J1347),OR(J1347&lt;458,ABS(IFERROR(VALUE(LEFT(M1347,FIND("-",M1347)-1)),M1347))*100&lt;45800)),"Проверьте цену товара. Большинство товаров в выбранной категории стоят дороже 458","")))))),"")</f>
      </c>
    </row>
    <row r="1348">
      <c r="A1348" s="2" t="inlineStr">
        <is>
          <t/>
        </is>
      </c>
      <c r="B1348" s="2" t="inlineStr">
        <is>
          <t>Чайники электрические</t>
        </is>
      </c>
      <c r="C1348" s="2">
        <v>765820365</v>
      </c>
      <c r="D1348" s="2" t="inlineStr">
        <is>
          <t>192180</t>
        </is>
      </c>
      <c r="E1348" s="2" t="inlineStr">
        <is>
          <t>2048427567865</t>
        </is>
      </c>
      <c r="F1348" s="2">
        <v>3</v>
      </c>
      <c r="G1348" s="2">
        <v>8</v>
      </c>
      <c r="H1348" s="2">
        <v>117</v>
      </c>
      <c r="I1348" s="2" t="inlineStr">
        <is>
          <t>12043</t>
        </is>
      </c>
      <c r="J1348" s="4"/>
      <c r="K1348" s="2">
        <v>80</v>
      </c>
      <c r="L1348" s="6"/>
      <c r="M1348" s="2" t="str">
        <f>IF(J1348="",ROUND(I1348*(1-IF(ISBLANK(L1348),K1348,L1348)/100),2),ROUND(J1348*(1-IF(ISBLANK(L1348),K1348,L1348)/100),2))</f>
      </c>
      <c r="N1348" s="7" t="str">
        <f>IF(NOT(AND(J1348="",L1348="")),IF(OR(AND(L1348&lt;&gt;"",NOT(ISNUMBER(L1348))),IFERROR(MOD(L1348,1),1)&gt;0,AND(ISNUMBER(L1348),OR(L1348&lt;0,L1348&gt;95))),"Введите целое число от 0 до 95",IF(OR(AND(J1348&lt;&gt;"",NOT(ISNUMBER(J1348))),IFERROR(MOD(J1348,1),1)&gt;0,AND(ISNUMBER(J1348),OR(J1348&lt;50,J1348&gt;20000000))),"Введите целое число от 50 до 20000000",IF(NOT(ABS(IFERROR(VALUE(LEFT(M1348,FIND("-",M1348)-1)),M1348)*100-(2500+2000000000)/2)&lt;=ABS(2500-2000000000)/2),"Цена со скидкой должна быть от 25 до 20000000",IF(AND(IFERROR(VALUE(LEFT(M1348,FIND("-",M1348)-1)),M1348)*150&lt;=240859,IFERROR(VALUE(LEFT(M1348,FIND("-",M1348)-1)),M1348)*200&gt;240859),"Вы уменьшили цену в несколько раз, товар попадет в карантин цен",IF(IFERROR(VALUE(LEFT(M1348,FIND("-",M1348)-1)),M1348)*200&lt;=240859,"Не сохранили изменения, чтобы защитить от ошибки — новые цены меньше текущих более чем в 2 раза. Снижайте их постепенно",IF(AND(IFERROR(VALUE(I1348),0)=0,ISNUMBER(J1348),OR(J1348&lt;496,ABS(IFERROR(VALUE(LEFT(M1348,FIND("-",M1348)-1)),M1348))*100&lt;49600)),"Проверьте цену товара. Большинство товаров в выбранной категории стоят дороже 496","")))))),"")</f>
      </c>
    </row>
    <row r="1349">
      <c r="A1349" s="2" t="inlineStr">
        <is>
          <t/>
        </is>
      </c>
      <c r="B1349" s="2" t="inlineStr">
        <is>
          <t>Вафельницы</t>
        </is>
      </c>
      <c r="C1349" s="2">
        <v>603587812</v>
      </c>
      <c r="D1349" s="2" t="inlineStr">
        <is>
          <t>192606</t>
        </is>
      </c>
      <c r="E1349" s="2" t="inlineStr">
        <is>
          <t>2047146681333</t>
        </is>
      </c>
      <c r="F1349" s="2">
        <v>0</v>
      </c>
      <c r="G1349" s="2">
        <v>1</v>
      </c>
      <c r="H1349" s="2" t="inlineStr">
        <is>
          <t/>
        </is>
      </c>
      <c r="I1349" s="2" t="inlineStr">
        <is>
          <t>11327</t>
        </is>
      </c>
      <c r="J1349" s="4"/>
      <c r="K1349" s="2">
        <v>78</v>
      </c>
      <c r="L1349" s="6"/>
      <c r="M1349" s="2" t="str">
        <f>IF(J1349="",ROUND(I1349*(1-IF(ISBLANK(L1349),K1349,L1349)/100),2),ROUND(J1349*(1-IF(ISBLANK(L1349),K1349,L1349)/100),2))</f>
      </c>
      <c r="N1349" s="7" t="str">
        <f>IF(NOT(AND(J1349="",L1349="")),IF(OR(AND(L1349&lt;&gt;"",NOT(ISNUMBER(L1349))),IFERROR(MOD(L1349,1),1)&gt;0,AND(ISNUMBER(L1349),OR(L1349&lt;0,L1349&gt;95))),"Введите целое число от 0 до 95",IF(OR(AND(J1349&lt;&gt;"",NOT(ISNUMBER(J1349))),IFERROR(MOD(J1349,1),1)&gt;0,AND(ISNUMBER(J1349),OR(J1349&lt;50,J1349&gt;20000000))),"Введите целое число от 50 до 20000000",IF(NOT(ABS(IFERROR(VALUE(LEFT(M1349,FIND("-",M1349)-1)),M1349)*100-(2500+2000000000)/2)&lt;=ABS(2500-2000000000)/2),"Цена со скидкой должна быть от 25 до 20000000",IF(AND(IFERROR(VALUE(LEFT(M1349,FIND("-",M1349)-1)),M1349)*150&lt;=249193,IFERROR(VALUE(LEFT(M1349,FIND("-",M1349)-1)),M1349)*200&gt;249193),"Вы уменьшили цену в несколько раз, товар попадет в карантин цен",IF(IFERROR(VALUE(LEFT(M1349,FIND("-",M1349)-1)),M1349)*200&lt;=249193,"Не сохранили изменения, чтобы защитить от ошибки — новые цены меньше текущих более чем в 2 раза. Снижайте их постепенно",IF(AND(IFERROR(VALUE(I1349),0)=0,ISNUMBER(J1349),OR(J1349&lt;720,ABS(IFERROR(VALUE(LEFT(M1349,FIND("-",M1349)-1)),M1349))*100&lt;72000)),"Проверьте цену товара. Большинство товаров в выбранной категории стоят дороже 720","")))))),"")</f>
      </c>
    </row>
    <row r="1350">
      <c r="A1350" s="2" t="inlineStr">
        <is>
          <t/>
        </is>
      </c>
      <c r="B1350" s="2" t="inlineStr">
        <is>
          <t>Вафельницы</t>
        </is>
      </c>
      <c r="C1350" s="2">
        <v>912761082</v>
      </c>
      <c r="D1350" s="2" t="inlineStr">
        <is>
          <t>192673</t>
        </is>
      </c>
      <c r="E1350" s="2" t="inlineStr">
        <is>
          <t>4670294457260</t>
        </is>
      </c>
      <c r="F1350" s="2">
        <v>0</v>
      </c>
      <c r="G1350" s="2">
        <v>1</v>
      </c>
      <c r="H1350" s="2" t="inlineStr">
        <is>
          <t/>
        </is>
      </c>
      <c r="I1350" s="2" t="inlineStr">
        <is>
          <t>18800</t>
        </is>
      </c>
      <c r="J1350" s="4"/>
      <c r="K1350" s="2">
        <v>76</v>
      </c>
      <c r="L1350" s="6"/>
      <c r="M1350" s="2" t="str">
        <f>IF(J1350="",ROUND(I1350*(1-IF(ISBLANK(L1350),K1350,L1350)/100),2),ROUND(J1350*(1-IF(ISBLANK(L1350),K1350,L1350)/100),2))</f>
      </c>
      <c r="N1350" s="7" t="str">
        <f>IF(NOT(AND(J1350="",L1350="")),IF(OR(AND(L1350&lt;&gt;"",NOT(ISNUMBER(L1350))),IFERROR(MOD(L1350,1),1)&gt;0,AND(ISNUMBER(L1350),OR(L1350&lt;0,L1350&gt;95))),"Введите целое число от 0 до 95",IF(OR(AND(J1350&lt;&gt;"",NOT(ISNUMBER(J1350))),IFERROR(MOD(J1350,1),1)&gt;0,AND(ISNUMBER(J1350),OR(J1350&lt;50,J1350&gt;20000000))),"Введите целое число от 50 до 20000000",IF(NOT(ABS(IFERROR(VALUE(LEFT(M1350,FIND("-",M1350)-1)),M1350)*100-(2500+2000000000)/2)&lt;=ABS(2500-2000000000)/2),"Цена со скидкой должна быть от 25 до 20000000",IF(AND(IFERROR(VALUE(LEFT(M1350,FIND("-",M1350)-1)),M1350)*150&lt;=451200,IFERROR(VALUE(LEFT(M1350,FIND("-",M1350)-1)),M1350)*200&gt;451200),"Вы уменьшили цену в несколько раз, товар попадет в карантин цен",IF(IFERROR(VALUE(LEFT(M1350,FIND("-",M1350)-1)),M1350)*200&lt;=451200,"Не сохранили изменения, чтобы защитить от ошибки — новые цены меньше текущих более чем в 2 раза. Снижайте их постепенно",IF(AND(IFERROR(VALUE(I1350),0)=0,ISNUMBER(J1350),OR(J1350&lt;720,ABS(IFERROR(VALUE(LEFT(M1350,FIND("-",M1350)-1)),M1350))*100&lt;72000)),"Проверьте цену товара. Большинство товаров в выбранной категории стоят дороже 720","")))))),"")</f>
      </c>
    </row>
    <row r="1351">
      <c r="A1351" s="2" t="inlineStr">
        <is>
          <t>Luxaro</t>
        </is>
      </c>
      <c r="B1351" s="2" t="inlineStr">
        <is>
          <t>Вазы</t>
        </is>
      </c>
      <c r="C1351" s="2">
        <v>314393146</v>
      </c>
      <c r="D1351" s="2" t="inlineStr">
        <is>
          <t>100485</t>
        </is>
      </c>
      <c r="E1351" s="2" t="inlineStr">
        <is>
          <t>2042537064115</t>
        </is>
      </c>
      <c r="F1351" s="2">
        <v>0</v>
      </c>
      <c r="G1351" s="2">
        <v>0</v>
      </c>
      <c r="H1351" s="2">
        <v>999</v>
      </c>
      <c r="I1351" s="2" t="inlineStr">
        <is>
          <t>5713</t>
        </is>
      </c>
      <c r="J1351" s="4"/>
      <c r="K1351" s="2">
        <v>65</v>
      </c>
      <c r="L1351" s="6"/>
      <c r="M1351" s="2" t="str">
        <f>IF(J1351="",ROUND(I1351*(1-IF(ISBLANK(L1351),K1351,L1351)/100),2),ROUND(J1351*(1-IF(ISBLANK(L1351),K1351,L1351)/100),2))</f>
      </c>
      <c r="N1351" s="7" t="str">
        <f>IF(NOT(AND(J1351="",L1351="")),IF(OR(AND(L1351&lt;&gt;"",NOT(ISNUMBER(L1351))),IFERROR(MOD(L1351,1),1)&gt;0,AND(ISNUMBER(L1351),OR(L1351&lt;0,L1351&gt;95))),"Введите целое число от 0 до 95",IF(OR(AND(J1351&lt;&gt;"",NOT(ISNUMBER(J1351))),IFERROR(MOD(J1351,1),1)&gt;0,AND(ISNUMBER(J1351),OR(J1351&lt;50,J1351&gt;20000000))),"Введите целое число от 50 до 20000000",IF(NOT(ABS(IFERROR(VALUE(LEFT(M1351,FIND("-",M1351)-1)),M1351)*100-(2500+2000000000)/2)&lt;=ABS(2500-2000000000)/2),"Цена со скидкой должна быть от 25 до 20000000",IF(AND(IFERROR(VALUE(LEFT(M1351,FIND("-",M1351)-1)),M1351)*150&lt;=199955,IFERROR(VALUE(LEFT(M1351,FIND("-",M1351)-1)),M1351)*200&gt;199955),"Вы уменьшили цену в несколько раз, товар попадет в карантин цен",IF(IFERROR(VALUE(LEFT(M1351,FIND("-",M1351)-1)),M1351)*200&lt;=199955,"Не сохранили изменения, чтобы защитить от ошибки — новые цены меньше текущих более чем в 2 раза. Снижайте их постепенно",IF(AND(IFERROR(VALUE(I1351),0)=0,ISNUMBER(J1351),OR(J1351&lt;296,ABS(IFERROR(VALUE(LEFT(M1351,FIND("-",M1351)-1)),M1351))*100&lt;29600)),"Проверьте цену товара. Большинство товаров в выбранной категории стоят дороже 296","")))))),"")</f>
      </c>
    </row>
    <row r="1352">
      <c r="A1352" s="2" t="inlineStr">
        <is>
          <t/>
        </is>
      </c>
      <c r="B1352" s="2" t="inlineStr">
        <is>
          <t>Корзины для белья</t>
        </is>
      </c>
      <c r="C1352" s="2">
        <v>932787815</v>
      </c>
      <c r="D1352" s="2" t="inlineStr">
        <is>
          <t>514225</t>
        </is>
      </c>
      <c r="E1352" s="2" t="inlineStr">
        <is>
          <t>4670294457222</t>
        </is>
      </c>
      <c r="F1352" s="2">
        <v>0</v>
      </c>
      <c r="G1352" s="2">
        <v>5</v>
      </c>
      <c r="H1352" s="2" t="inlineStr">
        <is>
          <t/>
        </is>
      </c>
      <c r="I1352" s="2" t="inlineStr">
        <is>
          <t>13508</t>
        </is>
      </c>
      <c r="J1352" s="4"/>
      <c r="K1352" s="2">
        <v>76</v>
      </c>
      <c r="L1352" s="6"/>
      <c r="M1352" s="2" t="str">
        <f>IF(J1352="",ROUND(I1352*(1-IF(ISBLANK(L1352),K1352,L1352)/100),2),ROUND(J1352*(1-IF(ISBLANK(L1352),K1352,L1352)/100),2))</f>
      </c>
      <c r="N1352" s="7" t="str">
        <f>IF(NOT(AND(J1352="",L1352="")),IF(OR(AND(L1352&lt;&gt;"",NOT(ISNUMBER(L1352))),IFERROR(MOD(L1352,1),1)&gt;0,AND(ISNUMBER(L1352),OR(L1352&lt;0,L1352&gt;95))),"Введите целое число от 0 до 95",IF(OR(AND(J1352&lt;&gt;"",NOT(ISNUMBER(J1352))),IFERROR(MOD(J1352,1),1)&gt;0,AND(ISNUMBER(J1352),OR(J1352&lt;50,J1352&gt;20000000))),"Введите целое число от 50 до 20000000",IF(NOT(ABS(IFERROR(VALUE(LEFT(M1352,FIND("-",M1352)-1)),M1352)*100-(2500+2000000000)/2)&lt;=ABS(2500-2000000000)/2),"Цена со скидкой должна быть от 25 до 20000000",IF(AND(IFERROR(VALUE(LEFT(M1352,FIND("-",M1352)-1)),M1352)*150&lt;=324192,IFERROR(VALUE(LEFT(M1352,FIND("-",M1352)-1)),M1352)*200&gt;324192),"Вы уменьшили цену в несколько раз, товар попадет в карантин цен",IF(IFERROR(VALUE(LEFT(M1352,FIND("-",M1352)-1)),M1352)*200&lt;=324192,"Не сохранили изменения, чтобы защитить от ошибки — новые цены меньше текущих более чем в 2 раза. Снижайте их постепенно",IF(AND(IFERROR(VALUE(I1352),0)=0,ISNUMBER(J1352),OR(J1352&lt;490,ABS(IFERROR(VALUE(LEFT(M1352,FIND("-",M1352)-1)),M1352))*100&lt;49000)),"Проверьте цену товара. Большинство товаров в выбранной категории стоят дороже 490","")))))),"")</f>
      </c>
    </row>
    <row r="1353">
      <c r="A1353" s="2" t="inlineStr">
        <is>
          <t/>
        </is>
      </c>
      <c r="B1353" s="2" t="inlineStr">
        <is>
          <t>Аппараты для маникюра и педикюра</t>
        </is>
      </c>
      <c r="C1353" s="2">
        <v>912738005</v>
      </c>
      <c r="D1353" s="2" t="inlineStr">
        <is>
          <t>192679</t>
        </is>
      </c>
      <c r="E1353" s="2" t="inlineStr">
        <is>
          <t>4670294457321</t>
        </is>
      </c>
      <c r="F1353" s="2">
        <v>1</v>
      </c>
      <c r="G1353" s="2">
        <v>17</v>
      </c>
      <c r="H1353" s="2">
        <v>999</v>
      </c>
      <c r="I1353" s="2" t="inlineStr">
        <is>
          <t>27500</t>
        </is>
      </c>
      <c r="J1353" s="4"/>
      <c r="K1353" s="2">
        <v>81</v>
      </c>
      <c r="L1353" s="6"/>
      <c r="M1353" s="2" t="str">
        <f>IF(J1353="",ROUND(I1353*(1-IF(ISBLANK(L1353),K1353,L1353)/100),2),ROUND(J1353*(1-IF(ISBLANK(L1353),K1353,L1353)/100),2))</f>
      </c>
      <c r="N1353" s="7" t="str">
        <f>IF(NOT(AND(J1353="",L1353="")),IF(OR(AND(L1353&lt;&gt;"",NOT(ISNUMBER(L1353))),IFERROR(MOD(L1353,1),1)&gt;0,AND(ISNUMBER(L1353),OR(L1353&lt;0,L1353&gt;95))),"Введите целое число от 0 до 95",IF(OR(AND(J1353&lt;&gt;"",NOT(ISNUMBER(J1353))),IFERROR(MOD(J1353,1),1)&gt;0,AND(ISNUMBER(J1353),OR(J1353&lt;50,J1353&gt;20000000))),"Введите целое число от 50 до 20000000",IF(NOT(ABS(IFERROR(VALUE(LEFT(M1353,FIND("-",M1353)-1)),M1353)*100-(2500+2000000000)/2)&lt;=ABS(2500-2000000000)/2),"Цена со скидкой должна быть от 25 до 20000000",IF(AND(IFERROR(VALUE(LEFT(M1353,FIND("-",M1353)-1)),M1353)*150&lt;=522499,IFERROR(VALUE(LEFT(M1353,FIND("-",M1353)-1)),M1353)*200&gt;522499),"Вы уменьшили цену в несколько раз, товар попадет в карантин цен",IF(IFERROR(VALUE(LEFT(M1353,FIND("-",M1353)-1)),M1353)*200&lt;=522499,"Не сохранили изменения, чтобы защитить от ошибки — новые цены меньше текущих более чем в 2 раза. Снижайте их постепенно",IF(AND(IFERROR(VALUE(I1353),0)=0,ISNUMBER(J1353),OR(J1353&lt;421,ABS(IFERROR(VALUE(LEFT(M1353,FIND("-",M1353)-1)),M1353))*100&lt;42100)),"Проверьте цену товара. Большинство товаров в выбранной категории стоят дороже 421","")))))),"")</f>
      </c>
    </row>
    <row r="1354">
      <c r="A1354" s="2" t="inlineStr">
        <is>
          <t/>
        </is>
      </c>
      <c r="B1354" s="2" t="inlineStr">
        <is>
          <t>Аппараты для маникюра и педикюра</t>
        </is>
      </c>
      <c r="C1354" s="2">
        <v>912738006</v>
      </c>
      <c r="D1354" s="2" t="inlineStr">
        <is>
          <t>192675</t>
        </is>
      </c>
      <c r="E1354" s="2" t="inlineStr">
        <is>
          <t>4670294457284</t>
        </is>
      </c>
      <c r="F1354" s="2">
        <v>0</v>
      </c>
      <c r="G1354" s="2">
        <v>13</v>
      </c>
      <c r="H1354" s="2" t="inlineStr">
        <is>
          <t/>
        </is>
      </c>
      <c r="I1354" s="2" t="inlineStr">
        <is>
          <t>18500</t>
        </is>
      </c>
      <c r="J1354" s="4"/>
      <c r="K1354" s="2">
        <v>76</v>
      </c>
      <c r="L1354" s="6"/>
      <c r="M1354" s="2" t="str">
        <f>IF(J1354="",ROUND(I1354*(1-IF(ISBLANK(L1354),K1354,L1354)/100),2),ROUND(J1354*(1-IF(ISBLANK(L1354),K1354,L1354)/100),2))</f>
      </c>
      <c r="N1354" s="7" t="str">
        <f>IF(NOT(AND(J1354="",L1354="")),IF(OR(AND(L1354&lt;&gt;"",NOT(ISNUMBER(L1354))),IFERROR(MOD(L1354,1),1)&gt;0,AND(ISNUMBER(L1354),OR(L1354&lt;0,L1354&gt;95))),"Введите целое число от 0 до 95",IF(OR(AND(J1354&lt;&gt;"",NOT(ISNUMBER(J1354))),IFERROR(MOD(J1354,1),1)&gt;0,AND(ISNUMBER(J1354),OR(J1354&lt;50,J1354&gt;20000000))),"Введите целое число от 50 до 20000000",IF(NOT(ABS(IFERROR(VALUE(LEFT(M1354,FIND("-",M1354)-1)),M1354)*100-(2500+2000000000)/2)&lt;=ABS(2500-2000000000)/2),"Цена со скидкой должна быть от 25 до 20000000",IF(AND(IFERROR(VALUE(LEFT(M1354,FIND("-",M1354)-1)),M1354)*150&lt;=444000,IFERROR(VALUE(LEFT(M1354,FIND("-",M1354)-1)),M1354)*200&gt;444000),"Вы уменьшили цену в несколько раз, товар попадет в карантин цен",IF(IFERROR(VALUE(LEFT(M1354,FIND("-",M1354)-1)),M1354)*200&lt;=444000,"Не сохранили изменения, чтобы защитить от ошибки — новые цены меньше текущих более чем в 2 раза. Снижайте их постепенно",IF(AND(IFERROR(VALUE(I1354),0)=0,ISNUMBER(J1354),OR(J1354&lt;421,ABS(IFERROR(VALUE(LEFT(M1354,FIND("-",M1354)-1)),M1354))*100&lt;42100)),"Проверьте цену товара. Большинство товаров в выбранной категории стоят дороже 421","")))))),"")</f>
      </c>
    </row>
    <row r="1355">
      <c r="A1355" s="2" t="inlineStr">
        <is>
          <t/>
        </is>
      </c>
      <c r="B1355" s="2" t="inlineStr">
        <is>
          <t>Аппараты для маникюра и педикюра</t>
        </is>
      </c>
      <c r="C1355" s="2">
        <v>912738008</v>
      </c>
      <c r="D1355" s="2" t="inlineStr">
        <is>
          <t>192677</t>
        </is>
      </c>
      <c r="E1355" s="2" t="inlineStr">
        <is>
          <t>4670294457307</t>
        </is>
      </c>
      <c r="F1355" s="2">
        <v>0</v>
      </c>
      <c r="G1355" s="2">
        <v>35</v>
      </c>
      <c r="H1355" s="2" t="inlineStr">
        <is>
          <t/>
        </is>
      </c>
      <c r="I1355" s="2" t="inlineStr">
        <is>
          <t>9828</t>
        </is>
      </c>
      <c r="J1355" s="4"/>
      <c r="K1355" s="2">
        <v>76</v>
      </c>
      <c r="L1355" s="6"/>
      <c r="M1355" s="2" t="str">
        <f>IF(J1355="",ROUND(I1355*(1-IF(ISBLANK(L1355),K1355,L1355)/100),2),ROUND(J1355*(1-IF(ISBLANK(L1355),K1355,L1355)/100),2))</f>
      </c>
      <c r="N1355" s="7" t="str">
        <f>IF(NOT(AND(J1355="",L1355="")),IF(OR(AND(L1355&lt;&gt;"",NOT(ISNUMBER(L1355))),IFERROR(MOD(L1355,1),1)&gt;0,AND(ISNUMBER(L1355),OR(L1355&lt;0,L1355&gt;95))),"Введите целое число от 0 до 95",IF(OR(AND(J1355&lt;&gt;"",NOT(ISNUMBER(J1355))),IFERROR(MOD(J1355,1),1)&gt;0,AND(ISNUMBER(J1355),OR(J1355&lt;50,J1355&gt;20000000))),"Введите целое число от 50 до 20000000",IF(NOT(ABS(IFERROR(VALUE(LEFT(M1355,FIND("-",M1355)-1)),M1355)*100-(2500+2000000000)/2)&lt;=ABS(2500-2000000000)/2),"Цена со скидкой должна быть от 25 до 20000000",IF(AND(IFERROR(VALUE(LEFT(M1355,FIND("-",M1355)-1)),M1355)*150&lt;=235871,IFERROR(VALUE(LEFT(M1355,FIND("-",M1355)-1)),M1355)*200&gt;235871),"Вы уменьшили цену в несколько раз, товар попадет в карантин цен",IF(IFERROR(VALUE(LEFT(M1355,FIND("-",M1355)-1)),M1355)*200&lt;=235871,"Не сохранили изменения, чтобы защитить от ошибки — новые цены меньше текущих более чем в 2 раза. Снижайте их постепенно",IF(AND(IFERROR(VALUE(I1355),0)=0,ISNUMBER(J1355),OR(J1355&lt;421,ABS(IFERROR(VALUE(LEFT(M1355,FIND("-",M1355)-1)),M1355))*100&lt;42100)),"Проверьте цену товара. Большинство товаров в выбранной категории стоят дороже 421","")))))),"")</f>
      </c>
    </row>
    <row r="1356">
      <c r="A1356" s="2" t="inlineStr">
        <is>
          <t/>
        </is>
      </c>
      <c r="B1356" s="2" t="inlineStr">
        <is>
          <t>Корзины для белья</t>
        </is>
      </c>
      <c r="C1356" s="2">
        <v>932787813</v>
      </c>
      <c r="D1356" s="2" t="inlineStr">
        <is>
          <t>514227</t>
        </is>
      </c>
      <c r="E1356" s="2" t="inlineStr">
        <is>
          <t>4670294457246</t>
        </is>
      </c>
      <c r="F1356" s="2">
        <v>0</v>
      </c>
      <c r="G1356" s="2">
        <v>40</v>
      </c>
      <c r="H1356" s="2" t="inlineStr">
        <is>
          <t/>
        </is>
      </c>
      <c r="I1356" s="2" t="inlineStr">
        <is>
          <t>5156</t>
        </is>
      </c>
      <c r="J1356" s="4"/>
      <c r="K1356" s="2">
        <v>76</v>
      </c>
      <c r="L1356" s="6"/>
      <c r="M1356" s="2" t="str">
        <f>IF(J1356="",ROUND(I1356*(1-IF(ISBLANK(L1356),K1356,L1356)/100),2),ROUND(J1356*(1-IF(ISBLANK(L1356),K1356,L1356)/100),2))</f>
      </c>
      <c r="N1356" s="7" t="str">
        <f>IF(NOT(AND(J1356="",L1356="")),IF(OR(AND(L1356&lt;&gt;"",NOT(ISNUMBER(L1356))),IFERROR(MOD(L1356,1),1)&gt;0,AND(ISNUMBER(L1356),OR(L1356&lt;0,L1356&gt;95))),"Введите целое число от 0 до 95",IF(OR(AND(J1356&lt;&gt;"",NOT(ISNUMBER(J1356))),IFERROR(MOD(J1356,1),1)&gt;0,AND(ISNUMBER(J1356),OR(J1356&lt;50,J1356&gt;20000000))),"Введите целое число от 50 до 20000000",IF(NOT(ABS(IFERROR(VALUE(LEFT(M1356,FIND("-",M1356)-1)),M1356)*100-(2500+2000000000)/2)&lt;=ABS(2500-2000000000)/2),"Цена со скидкой должна быть от 25 до 20000000",IF(AND(IFERROR(VALUE(LEFT(M1356,FIND("-",M1356)-1)),M1356)*150&lt;=123744,IFERROR(VALUE(LEFT(M1356,FIND("-",M1356)-1)),M1356)*200&gt;123744),"Вы уменьшили цену в несколько раз, товар попадет в карантин цен",IF(IFERROR(VALUE(LEFT(M1356,FIND("-",M1356)-1)),M1356)*200&lt;=123744,"Не сохранили изменения, чтобы защитить от ошибки — новые цены меньше текущих более чем в 2 раза. Снижайте их постепенно",IF(AND(IFERROR(VALUE(I1356),0)=0,ISNUMBER(J1356),OR(J1356&lt;490,ABS(IFERROR(VALUE(LEFT(M1356,FIND("-",M1356)-1)),M1356))*100&lt;49000)),"Проверьте цену товара. Большинство товаров в выбранной категории стоят дороже 490","")))))),"")</f>
      </c>
    </row>
    <row r="1357">
      <c r="A1357" s="2" t="inlineStr">
        <is>
          <t/>
        </is>
      </c>
      <c r="B1357" s="2" t="inlineStr">
        <is>
          <t>Шприцы колбасные</t>
        </is>
      </c>
      <c r="C1357" s="2">
        <v>931246314</v>
      </c>
      <c r="D1357" s="2" t="inlineStr">
        <is>
          <t>192674</t>
        </is>
      </c>
      <c r="E1357" s="2" t="inlineStr">
        <is>
          <t>4670294457277</t>
        </is>
      </c>
      <c r="F1357" s="2">
        <v>0</v>
      </c>
      <c r="G1357" s="2">
        <v>34</v>
      </c>
      <c r="H1357" s="2" t="inlineStr">
        <is>
          <t/>
        </is>
      </c>
      <c r="I1357" s="2" t="inlineStr">
        <is>
          <t>6880</t>
        </is>
      </c>
      <c r="J1357" s="4"/>
      <c r="K1357" s="2">
        <v>76</v>
      </c>
      <c r="L1357" s="6"/>
      <c r="M1357" s="2" t="str">
        <f>IF(J1357="",ROUND(I1357*(1-IF(ISBLANK(L1357),K1357,L1357)/100),2),ROUND(J1357*(1-IF(ISBLANK(L1357),K1357,L1357)/100),2))</f>
      </c>
      <c r="N1357" s="7" t="str">
        <f>IF(NOT(AND(J1357="",L1357="")),IF(OR(AND(L1357&lt;&gt;"",NOT(ISNUMBER(L1357))),IFERROR(MOD(L1357,1),1)&gt;0,AND(ISNUMBER(L1357),OR(L1357&lt;0,L1357&gt;95))),"Введите целое число от 0 до 95",IF(OR(AND(J1357&lt;&gt;"",NOT(ISNUMBER(J1357))),IFERROR(MOD(J1357,1),1)&gt;0,AND(ISNUMBER(J1357),OR(J1357&lt;50,J1357&gt;20000000))),"Введите целое число от 50 до 20000000",IF(NOT(ABS(IFERROR(VALUE(LEFT(M1357,FIND("-",M1357)-1)),M1357)*100-(2500+2000000000)/2)&lt;=ABS(2500-2000000000)/2),"Цена со скидкой должна быть от 25 до 20000000",IF(AND(IFERROR(VALUE(LEFT(M1357,FIND("-",M1357)-1)),M1357)*150&lt;=165120,IFERROR(VALUE(LEFT(M1357,FIND("-",M1357)-1)),M1357)*200&gt;165120),"Вы уменьшили цену в несколько раз, товар попадет в карантин цен",IF(IFERROR(VALUE(LEFT(M1357,FIND("-",M1357)-1)),M1357)*200&lt;=165120,"Не сохранили изменения, чтобы защитить от ошибки — новые цены меньше текущих более чем в 2 раза. Снижайте их постепенно",IF(AND(IFERROR(VALUE(I1357),0)=0,ISNUMBER(J1357),OR(J1357&lt;315,ABS(IFERROR(VALUE(LEFT(M1357,FIND("-",M1357)-1)),M1357))*100&lt;31500)),"Проверьте цену товара. Большинство товаров в выбранной категории стоят дороже 315","")))))),"")</f>
      </c>
    </row>
    <row r="1358">
      <c r="A1358" s="2" t="inlineStr">
        <is>
          <t/>
        </is>
      </c>
      <c r="B1358" s="2" t="inlineStr">
        <is>
          <t>Массажеры электрические</t>
        </is>
      </c>
      <c r="C1358" s="2">
        <v>932760688</v>
      </c>
      <c r="D1358" s="2" t="inlineStr">
        <is>
          <t>192672</t>
        </is>
      </c>
      <c r="E1358" s="2" t="inlineStr">
        <is>
          <t>4670294457192</t>
        </is>
      </c>
      <c r="F1358" s="2">
        <v>0</v>
      </c>
      <c r="G1358" s="2">
        <v>12</v>
      </c>
      <c r="H1358" s="2" t="inlineStr">
        <is>
          <t/>
        </is>
      </c>
      <c r="I1358" s="2" t="inlineStr">
        <is>
          <t>9980</t>
        </is>
      </c>
      <c r="J1358" s="4"/>
      <c r="K1358" s="2">
        <v>78</v>
      </c>
      <c r="L1358" s="6"/>
      <c r="M1358" s="2" t="str">
        <f>IF(J1358="",ROUND(I1358*(1-IF(ISBLANK(L1358),K1358,L1358)/100),2),ROUND(J1358*(1-IF(ISBLANK(L1358),K1358,L1358)/100),2))</f>
      </c>
      <c r="N1358" s="7" t="str">
        <f>IF(NOT(AND(J1358="",L1358="")),IF(OR(AND(L1358&lt;&gt;"",NOT(ISNUMBER(L1358))),IFERROR(MOD(L1358,1),1)&gt;0,AND(ISNUMBER(L1358),OR(L1358&lt;0,L1358&gt;95))),"Введите целое число от 0 до 95",IF(OR(AND(J1358&lt;&gt;"",NOT(ISNUMBER(J1358))),IFERROR(MOD(J1358,1),1)&gt;0,AND(ISNUMBER(J1358),OR(J1358&lt;50,J1358&gt;20000000))),"Введите целое число от 50 до 20000000",IF(NOT(ABS(IFERROR(VALUE(LEFT(M1358,FIND("-",M1358)-1)),M1358)*100-(2500+2000000000)/2)&lt;=ABS(2500-2000000000)/2),"Цена со скидкой должна быть от 25 до 20000000",IF(AND(IFERROR(VALUE(LEFT(M1358,FIND("-",M1358)-1)),M1358)*150&lt;=219560,IFERROR(VALUE(LEFT(M1358,FIND("-",M1358)-1)),M1358)*200&gt;219560),"Вы уменьшили цену в несколько раз, товар попадет в карантин цен",IF(IFERROR(VALUE(LEFT(M1358,FIND("-",M1358)-1)),M1358)*200&lt;=219560,"Не сохранили изменения, чтобы защитить от ошибки — новые цены меньше текущих более чем в 2 раза. Снижайте их постепенно",IF(AND(IFERROR(VALUE(I1358),0)=0,ISNUMBER(J1358),OR(J1358&lt;378,ABS(IFERROR(VALUE(LEFT(M1358,FIND("-",M1358)-1)),M1358))*100&lt;37800)),"Проверьте цену товара. Большинство товаров в выбранной категории стоят дороже 378","")))))),"")</f>
      </c>
    </row>
    <row r="1359">
      <c r="A1359" s="2" t="inlineStr">
        <is>
          <t/>
        </is>
      </c>
      <c r="B1359" s="2" t="inlineStr">
        <is>
          <t>Массажеры электрические</t>
        </is>
      </c>
      <c r="C1359" s="2">
        <v>932760690</v>
      </c>
      <c r="D1359" s="2" t="inlineStr">
        <is>
          <t>192671</t>
        </is>
      </c>
      <c r="E1359" s="2" t="inlineStr">
        <is>
          <t>4670294457185</t>
        </is>
      </c>
      <c r="F1359" s="2">
        <v>0</v>
      </c>
      <c r="G1359" s="2">
        <v>15</v>
      </c>
      <c r="H1359" s="2" t="inlineStr">
        <is>
          <t/>
        </is>
      </c>
      <c r="I1359" s="2" t="inlineStr">
        <is>
          <t>10088</t>
        </is>
      </c>
      <c r="J1359" s="4"/>
      <c r="K1359" s="2">
        <v>78</v>
      </c>
      <c r="L1359" s="6"/>
      <c r="M1359" s="2" t="str">
        <f>IF(J1359="",ROUND(I1359*(1-IF(ISBLANK(L1359),K1359,L1359)/100),2),ROUND(J1359*(1-IF(ISBLANK(L1359),K1359,L1359)/100),2))</f>
      </c>
      <c r="N1359" s="7" t="str">
        <f>IF(NOT(AND(J1359="",L1359="")),IF(OR(AND(L1359&lt;&gt;"",NOT(ISNUMBER(L1359))),IFERROR(MOD(L1359,1),1)&gt;0,AND(ISNUMBER(L1359),OR(L1359&lt;0,L1359&gt;95))),"Введите целое число от 0 до 95",IF(OR(AND(J1359&lt;&gt;"",NOT(ISNUMBER(J1359))),IFERROR(MOD(J1359,1),1)&gt;0,AND(ISNUMBER(J1359),OR(J1359&lt;50,J1359&gt;20000000))),"Введите целое число от 50 до 20000000",IF(NOT(ABS(IFERROR(VALUE(LEFT(M1359,FIND("-",M1359)-1)),M1359)*100-(2500+2000000000)/2)&lt;=ABS(2500-2000000000)/2),"Цена со скидкой должна быть от 25 до 20000000",IF(AND(IFERROR(VALUE(LEFT(M1359,FIND("-",M1359)-1)),M1359)*150&lt;=221935,IFERROR(VALUE(LEFT(M1359,FIND("-",M1359)-1)),M1359)*200&gt;221935),"Вы уменьшили цену в несколько раз, товар попадет в карантин цен",IF(IFERROR(VALUE(LEFT(M1359,FIND("-",M1359)-1)),M1359)*200&lt;=221935,"Не сохранили изменения, чтобы защитить от ошибки — новые цены меньше текущих более чем в 2 раза. Снижайте их постепенно",IF(AND(IFERROR(VALUE(I1359),0)=0,ISNUMBER(J1359),OR(J1359&lt;378,ABS(IFERROR(VALUE(LEFT(M1359,FIND("-",M1359)-1)),M1359))*100&lt;37800)),"Проверьте цену товара. Большинство товаров в выбранной категории стоят дороже 378","")))))),"")</f>
      </c>
    </row>
    <row r="1360">
      <c r="A1360" s="2" t="inlineStr">
        <is>
          <t/>
        </is>
      </c>
      <c r="B1360" s="2" t="inlineStr">
        <is>
          <t>Аппараты для маникюра и педикюра</t>
        </is>
      </c>
      <c r="C1360" s="2">
        <v>912738009</v>
      </c>
      <c r="D1360" s="2" t="inlineStr">
        <is>
          <t>192678</t>
        </is>
      </c>
      <c r="E1360" s="2" t="inlineStr">
        <is>
          <t>4670294457314</t>
        </is>
      </c>
      <c r="F1360" s="2">
        <v>0</v>
      </c>
      <c r="G1360" s="2">
        <v>92</v>
      </c>
      <c r="H1360" s="2" t="inlineStr">
        <is>
          <t/>
        </is>
      </c>
      <c r="I1360" s="2" t="inlineStr">
        <is>
          <t>5508</t>
        </is>
      </c>
      <c r="J1360" s="4"/>
      <c r="K1360" s="2">
        <v>76</v>
      </c>
      <c r="L1360" s="6"/>
      <c r="M1360" s="2" t="str">
        <f>IF(J1360="",ROUND(I1360*(1-IF(ISBLANK(L1360),K1360,L1360)/100),2),ROUND(J1360*(1-IF(ISBLANK(L1360),K1360,L1360)/100),2))</f>
      </c>
      <c r="N1360" s="7" t="str">
        <f>IF(NOT(AND(J1360="",L1360="")),IF(OR(AND(L1360&lt;&gt;"",NOT(ISNUMBER(L1360))),IFERROR(MOD(L1360,1),1)&gt;0,AND(ISNUMBER(L1360),OR(L1360&lt;0,L1360&gt;95))),"Введите целое число от 0 до 95",IF(OR(AND(J1360&lt;&gt;"",NOT(ISNUMBER(J1360))),IFERROR(MOD(J1360,1),1)&gt;0,AND(ISNUMBER(J1360),OR(J1360&lt;50,J1360&gt;20000000))),"Введите целое число от 50 до 20000000",IF(NOT(ABS(IFERROR(VALUE(LEFT(M1360,FIND("-",M1360)-1)),M1360)*100-(2500+2000000000)/2)&lt;=ABS(2500-2000000000)/2),"Цена со скидкой должна быть от 25 до 20000000",IF(AND(IFERROR(VALUE(LEFT(M1360,FIND("-",M1360)-1)),M1360)*150&lt;=132191,IFERROR(VALUE(LEFT(M1360,FIND("-",M1360)-1)),M1360)*200&gt;132191),"Вы уменьшили цену в несколько раз, товар попадет в карантин цен",IF(IFERROR(VALUE(LEFT(M1360,FIND("-",M1360)-1)),M1360)*200&lt;=132191,"Не сохранили изменения, чтобы защитить от ошибки — новые цены меньше текущих более чем в 2 раза. Снижайте их постепенно",IF(AND(IFERROR(VALUE(I1360),0)=0,ISNUMBER(J1360),OR(J1360&lt;421,ABS(IFERROR(VALUE(LEFT(M1360,FIND("-",M1360)-1)),M1360))*100&lt;42100)),"Проверьте цену товара. Большинство товаров в выбранной категории стоят дороже 421","")))))),"")</f>
      </c>
    </row>
    <row r="1361">
      <c r="A1361" s="2" t="inlineStr">
        <is>
          <t/>
        </is>
      </c>
      <c r="B1361" s="2" t="inlineStr">
        <is>
          <t>Корзины для белья</t>
        </is>
      </c>
      <c r="C1361" s="2">
        <v>932787812</v>
      </c>
      <c r="D1361" s="2" t="inlineStr">
        <is>
          <t>514224</t>
        </is>
      </c>
      <c r="E1361" s="2" t="inlineStr">
        <is>
          <t>4670294457215</t>
        </is>
      </c>
      <c r="F1361" s="2">
        <v>0</v>
      </c>
      <c r="G1361" s="2">
        <v>55</v>
      </c>
      <c r="H1361" s="2" t="inlineStr">
        <is>
          <t/>
        </is>
      </c>
      <c r="I1361" s="2" t="inlineStr">
        <is>
          <t>3180</t>
        </is>
      </c>
      <c r="J1361" s="4"/>
      <c r="K1361" s="2">
        <v>76</v>
      </c>
      <c r="L1361" s="6"/>
      <c r="M1361" s="2" t="str">
        <f>IF(J1361="",ROUND(I1361*(1-IF(ISBLANK(L1361),K1361,L1361)/100),2),ROUND(J1361*(1-IF(ISBLANK(L1361),K1361,L1361)/100),2))</f>
      </c>
      <c r="N1361" s="7" t="str">
        <f>IF(NOT(AND(J1361="",L1361="")),IF(OR(AND(L1361&lt;&gt;"",NOT(ISNUMBER(L1361))),IFERROR(MOD(L1361,1),1)&gt;0,AND(ISNUMBER(L1361),OR(L1361&lt;0,L1361&gt;95))),"Введите целое число от 0 до 95",IF(OR(AND(J1361&lt;&gt;"",NOT(ISNUMBER(J1361))),IFERROR(MOD(J1361,1),1)&gt;0,AND(ISNUMBER(J1361),OR(J1361&lt;50,J1361&gt;20000000))),"Введите целое число от 50 до 20000000",IF(NOT(ABS(IFERROR(VALUE(LEFT(M1361,FIND("-",M1361)-1)),M1361)*100-(2500+2000000000)/2)&lt;=ABS(2500-2000000000)/2),"Цена со скидкой должна быть от 25 до 20000000",IF(AND(IFERROR(VALUE(LEFT(M1361,FIND("-",M1361)-1)),M1361)*150&lt;=76320,IFERROR(VALUE(LEFT(M1361,FIND("-",M1361)-1)),M1361)*200&gt;76320),"Вы уменьшили цену в несколько раз, товар попадет в карантин цен",IF(IFERROR(VALUE(LEFT(M1361,FIND("-",M1361)-1)),M1361)*200&lt;=76320,"Не сохранили изменения, чтобы защитить от ошибки — новые цены меньше текущих более чем в 2 раза. Снижайте их постепенно",IF(AND(IFERROR(VALUE(I1361),0)=0,ISNUMBER(J1361),OR(J1361&lt;490,ABS(IFERROR(VALUE(LEFT(M1361,FIND("-",M1361)-1)),M1361))*100&lt;49000)),"Проверьте цену товара. Большинство товаров в выбранной категории стоят дороже 490","")))))),"")</f>
      </c>
    </row>
    <row r="1362">
      <c r="A1362" s="2" t="inlineStr">
        <is>
          <t/>
        </is>
      </c>
      <c r="B1362" s="2" t="inlineStr">
        <is>
          <t>Массажеры электрические</t>
        </is>
      </c>
      <c r="C1362" s="2">
        <v>932760691</v>
      </c>
      <c r="D1362" s="2" t="inlineStr">
        <is>
          <t>192668</t>
        </is>
      </c>
      <c r="E1362" s="2" t="inlineStr">
        <is>
          <t>4670294457154</t>
        </is>
      </c>
      <c r="F1362" s="2">
        <v>0</v>
      </c>
      <c r="G1362" s="2">
        <v>15</v>
      </c>
      <c r="H1362" s="2" t="inlineStr">
        <is>
          <t/>
        </is>
      </c>
      <c r="I1362" s="2" t="inlineStr">
        <is>
          <t>8380</t>
        </is>
      </c>
      <c r="J1362" s="4"/>
      <c r="K1362" s="2">
        <v>78</v>
      </c>
      <c r="L1362" s="6"/>
      <c r="M1362" s="2" t="str">
        <f>IF(J1362="",ROUND(I1362*(1-IF(ISBLANK(L1362),K1362,L1362)/100),2),ROUND(J1362*(1-IF(ISBLANK(L1362),K1362,L1362)/100),2))</f>
      </c>
      <c r="N1362" s="7" t="str">
        <f>IF(NOT(AND(J1362="",L1362="")),IF(OR(AND(L1362&lt;&gt;"",NOT(ISNUMBER(L1362))),IFERROR(MOD(L1362,1),1)&gt;0,AND(ISNUMBER(L1362),OR(L1362&lt;0,L1362&gt;95))),"Введите целое число от 0 до 95",IF(OR(AND(J1362&lt;&gt;"",NOT(ISNUMBER(J1362))),IFERROR(MOD(J1362,1),1)&gt;0,AND(ISNUMBER(J1362),OR(J1362&lt;50,J1362&gt;20000000))),"Введите целое число от 50 до 20000000",IF(NOT(ABS(IFERROR(VALUE(LEFT(M1362,FIND("-",M1362)-1)),M1362)*100-(2500+2000000000)/2)&lt;=ABS(2500-2000000000)/2),"Цена со скидкой должна быть от 25 до 20000000",IF(AND(IFERROR(VALUE(LEFT(M1362,FIND("-",M1362)-1)),M1362)*150&lt;=184359,IFERROR(VALUE(LEFT(M1362,FIND("-",M1362)-1)),M1362)*200&gt;184359),"Вы уменьшили цену в несколько раз, товар попадет в карантин цен",IF(IFERROR(VALUE(LEFT(M1362,FIND("-",M1362)-1)),M1362)*200&lt;=184359,"Не сохранили изменения, чтобы защитить от ошибки — новые цены меньше текущих более чем в 2 раза. Снижайте их постепенно",IF(AND(IFERROR(VALUE(I1362),0)=0,ISNUMBER(J1362),OR(J1362&lt;378,ABS(IFERROR(VALUE(LEFT(M1362,FIND("-",M1362)-1)),M1362))*100&lt;37800)),"Проверьте цену товара. Большинство товаров в выбранной категории стоят дороже 378","")))))),"")</f>
      </c>
    </row>
    <row r="1363">
      <c r="A1363" s="2" t="inlineStr">
        <is>
          <t/>
        </is>
      </c>
      <c r="B1363" s="2" t="inlineStr">
        <is>
          <t>Фруктовницы</t>
        </is>
      </c>
      <c r="C1363" s="2">
        <v>729467929</v>
      </c>
      <c r="D1363" s="2" t="inlineStr">
        <is>
          <t>080101</t>
        </is>
      </c>
      <c r="E1363" s="2" t="inlineStr">
        <is>
          <t>2048082442637</t>
        </is>
      </c>
      <c r="F1363" s="2">
        <v>0</v>
      </c>
      <c r="G1363" s="2">
        <v>0</v>
      </c>
      <c r="H1363" s="2" t="inlineStr">
        <is>
          <t/>
        </is>
      </c>
      <c r="I1363" s="2" t="inlineStr">
        <is>
          <t>0</t>
        </is>
      </c>
      <c r="J1363" s="4"/>
      <c r="K1363" s="2">
        <v>0</v>
      </c>
      <c r="L1363" s="6"/>
      <c r="M1363" s="2" t="str">
        <f>IF(J1363="",ROUND(I1363*(1-IF(ISBLANK(L1363),K1363,L1363)/100),2),ROUND(J1363*(1-IF(ISBLANK(L1363),K1363,L1363)/100),2))</f>
      </c>
      <c r="N1363" s="7" t="str">
        <f>IF(NOT(AND(J1363="",L1363="")),IF(OR(AND(L1363&lt;&gt;"",NOT(ISNUMBER(L1363))),IFERROR(MOD(L1363,1),1)&gt;0,AND(ISNUMBER(L1363),OR(L1363&lt;0,L1363&gt;95))),"Введите целое число от 0 до 95",IF(OR(AND(J1363&lt;&gt;"",NOT(ISNUMBER(J1363))),IFERROR(MOD(J1363,1),1)&gt;0,AND(ISNUMBER(J1363),OR(J1363&lt;50,J1363&gt;20000000))),"Введите целое число от 50 до 20000000",IF(NOT(ABS(IFERROR(VALUE(LEFT(M1363,FIND("-",M1363)-1)),M1363)*100-(2500+2000000000)/2)&lt;=ABS(2500-2000000000)/2),"Цена со скидкой должна быть от 25 до 20000000",IF(AND(IFERROR(VALUE(LEFT(M1363,FIND("-",M1363)-1)),M1363)*150&lt;=0,IFERROR(VALUE(LEFT(M1363,FIND("-",M1363)-1)),M1363)*200&gt;0),"Вы уменьшили цену в несколько раз, товар попадет в карантин цен",IF(IFERROR(VALUE(LEFT(M1363,FIND("-",M1363)-1)),M1363)*200&lt;=0,"Не сохранили изменения, чтобы защитить от ошибки — новые цены меньше текущих более чем в 2 раза. Снижайте их постепенно",IF(AND(IFERROR(VALUE(I1363),0)=0,ISNUMBER(J1363),OR(J1363&lt;286,ABS(IFERROR(VALUE(LEFT(M1363,FIND("-",M1363)-1)),M1363))*100&lt;28600)),"Проверьте цену товара. Большинство товаров в выбранной категории стоят дороже 286","")))))),"")</f>
      </c>
    </row>
    <row r="1364">
      <c r="A1364" s="2" t="inlineStr">
        <is>
          <t/>
        </is>
      </c>
      <c r="B1364" s="2" t="inlineStr">
        <is>
          <t>Тарелки</t>
        </is>
      </c>
      <c r="C1364" s="2">
        <v>971539821</v>
      </c>
      <c r="D1364" s="2" t="inlineStr">
        <is>
          <t>14019</t>
        </is>
      </c>
      <c r="E1364" s="2" t="inlineStr">
        <is>
          <t>2050552436084</t>
        </is>
      </c>
      <c r="F1364" s="2">
        <v>0</v>
      </c>
      <c r="G1364" s="2">
        <v>3</v>
      </c>
      <c r="H1364" s="2" t="inlineStr">
        <is>
          <t/>
        </is>
      </c>
      <c r="I1364" s="2" t="inlineStr">
        <is>
          <t>7500</t>
        </is>
      </c>
      <c r="J1364" s="4"/>
      <c r="K1364" s="2">
        <v>70</v>
      </c>
      <c r="L1364" s="6"/>
      <c r="M1364" s="2" t="str">
        <f>IF(J1364="",ROUND(I1364*(1-IF(ISBLANK(L1364),K1364,L1364)/100),2),ROUND(J1364*(1-IF(ISBLANK(L1364),K1364,L1364)/100),2))</f>
      </c>
      <c r="N1364" s="7" t="str">
        <f>IF(NOT(AND(J1364="",L1364="")),IF(OR(AND(L1364&lt;&gt;"",NOT(ISNUMBER(L1364))),IFERROR(MOD(L1364,1),1)&gt;0,AND(ISNUMBER(L1364),OR(L1364&lt;0,L1364&gt;95))),"Введите целое число от 0 до 95",IF(OR(AND(J1364&lt;&gt;"",NOT(ISNUMBER(J1364))),IFERROR(MOD(J1364,1),1)&gt;0,AND(ISNUMBER(J1364),OR(J1364&lt;50,J1364&gt;20000000))),"Введите целое число от 50 до 20000000",IF(NOT(ABS(IFERROR(VALUE(LEFT(M1364,FIND("-",M1364)-1)),M1364)*100-(2500+2000000000)/2)&lt;=ABS(2500-2000000000)/2),"Цена со скидкой должна быть от 25 до 20000000",IF(AND(IFERROR(VALUE(LEFT(M1364,FIND("-",M1364)-1)),M1364)*150&lt;=225000,IFERROR(VALUE(LEFT(M1364,FIND("-",M1364)-1)),M1364)*200&gt;225000),"Вы уменьшили цену в несколько раз, товар попадет в карантин цен",IF(IFERROR(VALUE(LEFT(M1364,FIND("-",M1364)-1)),M1364)*200&lt;=225000,"Не сохранили изменения, чтобы защитить от ошибки — новые цены меньше текущих более чем в 2 раза. Снижайте их постепенно",IF(AND(IFERROR(VALUE(I1364),0)=0,ISNUMBER(J1364),OR(J1364&lt;413,ABS(IFERROR(VALUE(LEFT(M1364,FIND("-",M1364)-1)),M1364))*100&lt;41300)),"Проверьте цену товара. Большинство товаров в выбранной категории стоят дороже 413","")))))),"")</f>
      </c>
    </row>
    <row r="1365">
      <c r="A1365" s="2" t="inlineStr">
        <is>
          <t/>
        </is>
      </c>
      <c r="B1365" s="2" t="inlineStr">
        <is>
          <t>Массажеры электрические</t>
        </is>
      </c>
      <c r="C1365" s="2">
        <v>932760689</v>
      </c>
      <c r="D1365" s="2" t="inlineStr">
        <is>
          <t>192670</t>
        </is>
      </c>
      <c r="E1365" s="2" t="inlineStr">
        <is>
          <t>4670294457178</t>
        </is>
      </c>
      <c r="F1365" s="2">
        <v>0</v>
      </c>
      <c r="G1365" s="2">
        <v>33</v>
      </c>
      <c r="H1365" s="2" t="inlineStr">
        <is>
          <t/>
        </is>
      </c>
      <c r="I1365" s="2" t="inlineStr">
        <is>
          <t>9580</t>
        </is>
      </c>
      <c r="J1365" s="4"/>
      <c r="K1365" s="2">
        <v>78</v>
      </c>
      <c r="L1365" s="6"/>
      <c r="M1365" s="2" t="str">
        <f>IF(J1365="",ROUND(I1365*(1-IF(ISBLANK(L1365),K1365,L1365)/100),2),ROUND(J1365*(1-IF(ISBLANK(L1365),K1365,L1365)/100),2))</f>
      </c>
      <c r="N1365" s="7" t="str">
        <f>IF(NOT(AND(J1365="",L1365="")),IF(OR(AND(L1365&lt;&gt;"",NOT(ISNUMBER(L1365))),IFERROR(MOD(L1365,1),1)&gt;0,AND(ISNUMBER(L1365),OR(L1365&lt;0,L1365&gt;95))),"Введите целое число от 0 до 95",IF(OR(AND(J1365&lt;&gt;"",NOT(ISNUMBER(J1365))),IFERROR(MOD(J1365,1),1)&gt;0,AND(ISNUMBER(J1365),OR(J1365&lt;50,J1365&gt;20000000))),"Введите целое число от 50 до 20000000",IF(NOT(ABS(IFERROR(VALUE(LEFT(M1365,FIND("-",M1365)-1)),M1365)*100-(2500+2000000000)/2)&lt;=ABS(2500-2000000000)/2),"Цена со скидкой должна быть от 25 до 20000000",IF(AND(IFERROR(VALUE(LEFT(M1365,FIND("-",M1365)-1)),M1365)*150&lt;=210760,IFERROR(VALUE(LEFT(M1365,FIND("-",M1365)-1)),M1365)*200&gt;210760),"Вы уменьшили цену в несколько раз, товар попадет в карантин цен",IF(IFERROR(VALUE(LEFT(M1365,FIND("-",M1365)-1)),M1365)*200&lt;=210760,"Не сохранили изменения, чтобы защитить от ошибки — новые цены меньше текущих более чем в 2 раза. Снижайте их постепенно",IF(AND(IFERROR(VALUE(I1365),0)=0,ISNUMBER(J1365),OR(J1365&lt;378,ABS(IFERROR(VALUE(LEFT(M1365,FIND("-",M1365)-1)),M1365))*100&lt;37800)),"Проверьте цену товара. Большинство товаров в выбранной категории стоят дороже 378","")))))),"")</f>
      </c>
    </row>
    <row r="1366">
      <c r="A1366" s="2" t="inlineStr">
        <is>
          <t/>
        </is>
      </c>
      <c r="B1366" s="2" t="inlineStr">
        <is>
          <t>Тарелки</t>
        </is>
      </c>
      <c r="C1366" s="2">
        <v>972502203</v>
      </c>
      <c r="D1366" s="2" t="inlineStr">
        <is>
          <t>14017</t>
        </is>
      </c>
      <c r="E1366" s="2" t="inlineStr">
        <is>
          <t>2050565489435</t>
        </is>
      </c>
      <c r="F1366" s="2">
        <v>0</v>
      </c>
      <c r="G1366" s="2">
        <v>7</v>
      </c>
      <c r="H1366" s="2" t="inlineStr">
        <is>
          <t/>
        </is>
      </c>
      <c r="I1366" s="2" t="inlineStr">
        <is>
          <t>7500</t>
        </is>
      </c>
      <c r="J1366" s="4"/>
      <c r="K1366" s="2">
        <v>70</v>
      </c>
      <c r="L1366" s="6"/>
      <c r="M1366" s="2" t="str">
        <f>IF(J1366="",ROUND(I1366*(1-IF(ISBLANK(L1366),K1366,L1366)/100),2),ROUND(J1366*(1-IF(ISBLANK(L1366),K1366,L1366)/100),2))</f>
      </c>
      <c r="N1366" s="7" t="str">
        <f>IF(NOT(AND(J1366="",L1366="")),IF(OR(AND(L1366&lt;&gt;"",NOT(ISNUMBER(L1366))),IFERROR(MOD(L1366,1),1)&gt;0,AND(ISNUMBER(L1366),OR(L1366&lt;0,L1366&gt;95))),"Введите целое число от 0 до 95",IF(OR(AND(J1366&lt;&gt;"",NOT(ISNUMBER(J1366))),IFERROR(MOD(J1366,1),1)&gt;0,AND(ISNUMBER(J1366),OR(J1366&lt;50,J1366&gt;20000000))),"Введите целое число от 50 до 20000000",IF(NOT(ABS(IFERROR(VALUE(LEFT(M1366,FIND("-",M1366)-1)),M1366)*100-(2500+2000000000)/2)&lt;=ABS(2500-2000000000)/2),"Цена со скидкой должна быть от 25 до 20000000",IF(AND(IFERROR(VALUE(LEFT(M1366,FIND("-",M1366)-1)),M1366)*150&lt;=225000,IFERROR(VALUE(LEFT(M1366,FIND("-",M1366)-1)),M1366)*200&gt;225000),"Вы уменьшили цену в несколько раз, товар попадет в карантин цен",IF(IFERROR(VALUE(LEFT(M1366,FIND("-",M1366)-1)),M1366)*200&lt;=225000,"Не сохранили изменения, чтобы защитить от ошибки — новые цены меньше текущих более чем в 2 раза. Снижайте их постепенно",IF(AND(IFERROR(VALUE(I1366),0)=0,ISNUMBER(J1366),OR(J1366&lt;413,ABS(IFERROR(VALUE(LEFT(M1366,FIND("-",M1366)-1)),M1366))*100&lt;41300)),"Проверьте цену товара. Большинство товаров в выбранной категории стоят дороже 413","")))))),"")</f>
      </c>
    </row>
    <row r="1367">
      <c r="A1367" s="2" t="inlineStr">
        <is>
          <t/>
        </is>
      </c>
      <c r="B1367" s="2" t="inlineStr">
        <is>
          <t>Тарелки</t>
        </is>
      </c>
      <c r="C1367" s="2">
        <v>971539822</v>
      </c>
      <c r="D1367" s="2" t="inlineStr">
        <is>
          <t>14018</t>
        </is>
      </c>
      <c r="E1367" s="2" t="inlineStr">
        <is>
          <t>2050552436107</t>
        </is>
      </c>
      <c r="F1367" s="2">
        <v>0</v>
      </c>
      <c r="G1367" s="2">
        <v>10</v>
      </c>
      <c r="H1367" s="2" t="inlineStr">
        <is>
          <t/>
        </is>
      </c>
      <c r="I1367" s="2" t="inlineStr">
        <is>
          <t>7500</t>
        </is>
      </c>
      <c r="J1367" s="4"/>
      <c r="K1367" s="2">
        <v>70</v>
      </c>
      <c r="L1367" s="6"/>
      <c r="M1367" s="2" t="str">
        <f>IF(J1367="",ROUND(I1367*(1-IF(ISBLANK(L1367),K1367,L1367)/100),2),ROUND(J1367*(1-IF(ISBLANK(L1367),K1367,L1367)/100),2))</f>
      </c>
      <c r="N1367" s="7" t="str">
        <f>IF(NOT(AND(J1367="",L1367="")),IF(OR(AND(L1367&lt;&gt;"",NOT(ISNUMBER(L1367))),IFERROR(MOD(L1367,1),1)&gt;0,AND(ISNUMBER(L1367),OR(L1367&lt;0,L1367&gt;95))),"Введите целое число от 0 до 95",IF(OR(AND(J1367&lt;&gt;"",NOT(ISNUMBER(J1367))),IFERROR(MOD(J1367,1),1)&gt;0,AND(ISNUMBER(J1367),OR(J1367&lt;50,J1367&gt;20000000))),"Введите целое число от 50 до 20000000",IF(NOT(ABS(IFERROR(VALUE(LEFT(M1367,FIND("-",M1367)-1)),M1367)*100-(2500+2000000000)/2)&lt;=ABS(2500-2000000000)/2),"Цена со скидкой должна быть от 25 до 20000000",IF(AND(IFERROR(VALUE(LEFT(M1367,FIND("-",M1367)-1)),M1367)*150&lt;=225000,IFERROR(VALUE(LEFT(M1367,FIND("-",M1367)-1)),M1367)*200&gt;225000),"Вы уменьшили цену в несколько раз, товар попадет в карантин цен",IF(IFERROR(VALUE(LEFT(M1367,FIND("-",M1367)-1)),M1367)*200&lt;=225000,"Не сохранили изменения, чтобы защитить от ошибки — новые цены меньше текущих более чем в 2 раза. Снижайте их постепенно",IF(AND(IFERROR(VALUE(I1367),0)=0,ISNUMBER(J1367),OR(J1367&lt;413,ABS(IFERROR(VALUE(LEFT(M1367,FIND("-",M1367)-1)),M1367))*100&lt;41300)),"Проверьте цену товара. Большинство товаров в выбранной категории стоят дороже 413","")))))),"")</f>
      </c>
    </row>
    <row r="1368">
      <c r="A1368" s="2" t="inlineStr">
        <is>
          <t/>
        </is>
      </c>
      <c r="B1368" s="2" t="inlineStr">
        <is>
          <t>Тарелки</t>
        </is>
      </c>
      <c r="C1368" s="2">
        <v>971539820</v>
      </c>
      <c r="D1368" s="2" t="inlineStr">
        <is>
          <t>14020</t>
        </is>
      </c>
      <c r="E1368" s="2" t="inlineStr">
        <is>
          <t>2050552436077</t>
        </is>
      </c>
      <c r="F1368" s="2">
        <v>0</v>
      </c>
      <c r="G1368" s="2">
        <v>2</v>
      </c>
      <c r="H1368" s="2" t="inlineStr">
        <is>
          <t/>
        </is>
      </c>
      <c r="I1368" s="2" t="inlineStr">
        <is>
          <t>7500</t>
        </is>
      </c>
      <c r="J1368" s="4"/>
      <c r="K1368" s="2">
        <v>70</v>
      </c>
      <c r="L1368" s="6"/>
      <c r="M1368" s="2" t="str">
        <f>IF(J1368="",ROUND(I1368*(1-IF(ISBLANK(L1368),K1368,L1368)/100),2),ROUND(J1368*(1-IF(ISBLANK(L1368),K1368,L1368)/100),2))</f>
      </c>
      <c r="N1368" s="7" t="str">
        <f>IF(NOT(AND(J1368="",L1368="")),IF(OR(AND(L1368&lt;&gt;"",NOT(ISNUMBER(L1368))),IFERROR(MOD(L1368,1),1)&gt;0,AND(ISNUMBER(L1368),OR(L1368&lt;0,L1368&gt;95))),"Введите целое число от 0 до 95",IF(OR(AND(J1368&lt;&gt;"",NOT(ISNUMBER(J1368))),IFERROR(MOD(J1368,1),1)&gt;0,AND(ISNUMBER(J1368),OR(J1368&lt;50,J1368&gt;20000000))),"Введите целое число от 50 до 20000000",IF(NOT(ABS(IFERROR(VALUE(LEFT(M1368,FIND("-",M1368)-1)),M1368)*100-(2500+2000000000)/2)&lt;=ABS(2500-2000000000)/2),"Цена со скидкой должна быть от 25 до 20000000",IF(AND(IFERROR(VALUE(LEFT(M1368,FIND("-",M1368)-1)),M1368)*150&lt;=225000,IFERROR(VALUE(LEFT(M1368,FIND("-",M1368)-1)),M1368)*200&gt;225000),"Вы уменьшили цену в несколько раз, товар попадет в карантин цен",IF(IFERROR(VALUE(LEFT(M1368,FIND("-",M1368)-1)),M1368)*200&lt;=225000,"Не сохранили изменения, чтобы защитить от ошибки — новые цены меньше текущих более чем в 2 раза. Снижайте их постепенно",IF(AND(IFERROR(VALUE(I1368),0)=0,ISNUMBER(J1368),OR(J1368&lt;413,ABS(IFERROR(VALUE(LEFT(M1368,FIND("-",M1368)-1)),M1368))*100&lt;41300)),"Проверьте цену товара. Большинство товаров в выбранной категории стоят дороже 413","")))))),"")</f>
      </c>
    </row>
    <row r="1369">
      <c r="A1369" s="2" t="inlineStr">
        <is>
          <t/>
        </is>
      </c>
      <c r="B1369" s="2" t="inlineStr">
        <is>
          <t>Тарелки</t>
        </is>
      </c>
      <c r="C1369" s="2">
        <v>971539819</v>
      </c>
      <c r="D1369" s="2" t="inlineStr">
        <is>
          <t>14021</t>
        </is>
      </c>
      <c r="E1369" s="2" t="inlineStr">
        <is>
          <t>2050552436060</t>
        </is>
      </c>
      <c r="F1369" s="2">
        <v>0</v>
      </c>
      <c r="G1369" s="2">
        <v>14</v>
      </c>
      <c r="H1369" s="2" t="inlineStr">
        <is>
          <t/>
        </is>
      </c>
      <c r="I1369" s="2" t="inlineStr">
        <is>
          <t>7500</t>
        </is>
      </c>
      <c r="J1369" s="4"/>
      <c r="K1369" s="2">
        <v>70</v>
      </c>
      <c r="L1369" s="6"/>
      <c r="M1369" s="2" t="str">
        <f>IF(J1369="",ROUND(I1369*(1-IF(ISBLANK(L1369),K1369,L1369)/100),2),ROUND(J1369*(1-IF(ISBLANK(L1369),K1369,L1369)/100),2))</f>
      </c>
      <c r="N1369" s="7" t="str">
        <f>IF(NOT(AND(J1369="",L1369="")),IF(OR(AND(L1369&lt;&gt;"",NOT(ISNUMBER(L1369))),IFERROR(MOD(L1369,1),1)&gt;0,AND(ISNUMBER(L1369),OR(L1369&lt;0,L1369&gt;95))),"Введите целое число от 0 до 95",IF(OR(AND(J1369&lt;&gt;"",NOT(ISNUMBER(J1369))),IFERROR(MOD(J1369,1),1)&gt;0,AND(ISNUMBER(J1369),OR(J1369&lt;50,J1369&gt;20000000))),"Введите целое число от 50 до 20000000",IF(NOT(ABS(IFERROR(VALUE(LEFT(M1369,FIND("-",M1369)-1)),M1369)*100-(2500+2000000000)/2)&lt;=ABS(2500-2000000000)/2),"Цена со скидкой должна быть от 25 до 20000000",IF(AND(IFERROR(VALUE(LEFT(M1369,FIND("-",M1369)-1)),M1369)*150&lt;=225000,IFERROR(VALUE(LEFT(M1369,FIND("-",M1369)-1)),M1369)*200&gt;225000),"Вы уменьшили цену в несколько раз, товар попадет в карантин цен",IF(IFERROR(VALUE(LEFT(M1369,FIND("-",M1369)-1)),M1369)*200&lt;=225000,"Не сохранили изменения, чтобы защитить от ошибки — новые цены меньше текущих более чем в 2 раза. Снижайте их постепенно",IF(AND(IFERROR(VALUE(I1369),0)=0,ISNUMBER(J1369),OR(J1369&lt;413,ABS(IFERROR(VALUE(LEFT(M1369,FIND("-",M1369)-1)),M1369))*100&lt;41300)),"Проверьте цену товара. Большинство товаров в выбранной категории стоят дороже 413","")))))),"")</f>
      </c>
    </row>
    <row r="1370">
      <c r="A1370" s="2" t="inlineStr">
        <is>
          <t>Luxaro</t>
        </is>
      </c>
      <c r="B1370" s="2" t="inlineStr">
        <is>
          <t>Тарелки</t>
        </is>
      </c>
      <c r="C1370" s="2">
        <v>608869951</v>
      </c>
      <c r="D1370" s="2" t="inlineStr">
        <is>
          <t>073930</t>
        </is>
      </c>
      <c r="E1370" s="2" t="inlineStr">
        <is>
          <t>2047215214103</t>
        </is>
      </c>
      <c r="F1370" s="2">
        <v>0</v>
      </c>
      <c r="G1370" s="2">
        <v>0</v>
      </c>
      <c r="H1370" s="2">
        <v>9</v>
      </c>
      <c r="I1370" s="2" t="inlineStr">
        <is>
          <t>3544</t>
        </is>
      </c>
      <c r="J1370" s="4"/>
      <c r="K1370" s="2">
        <v>77</v>
      </c>
      <c r="L1370" s="6"/>
      <c r="M1370" s="2" t="str">
        <f>IF(J1370="",ROUND(I1370*(1-IF(ISBLANK(L1370),K1370,L1370)/100),2),ROUND(J1370*(1-IF(ISBLANK(L1370),K1370,L1370)/100),2))</f>
      </c>
      <c r="N1370" s="7" t="str">
        <f>IF(NOT(AND(J1370="",L1370="")),IF(OR(AND(L1370&lt;&gt;"",NOT(ISNUMBER(L1370))),IFERROR(MOD(L1370,1),1)&gt;0,AND(ISNUMBER(L1370),OR(L1370&lt;0,L1370&gt;95))),"Введите целое число от 0 до 95",IF(OR(AND(J1370&lt;&gt;"",NOT(ISNUMBER(J1370))),IFERROR(MOD(J1370,1),1)&gt;0,AND(ISNUMBER(J1370),OR(J1370&lt;50,J1370&gt;20000000))),"Введите целое число от 50 до 20000000",IF(NOT(ABS(IFERROR(VALUE(LEFT(M1370,FIND("-",M1370)-1)),M1370)*100-(2500+2000000000)/2)&lt;=ABS(2500-2000000000)/2),"Цена со скидкой должна быть от 25 до 20000000",IF(AND(IFERROR(VALUE(LEFT(M1370,FIND("-",M1370)-1)),M1370)*150&lt;=81511,IFERROR(VALUE(LEFT(M1370,FIND("-",M1370)-1)),M1370)*200&gt;81511),"Вы уменьшили цену в несколько раз, товар попадет в карантин цен",IF(IFERROR(VALUE(LEFT(M1370,FIND("-",M1370)-1)),M1370)*200&lt;=81511,"Не сохранили изменения, чтобы защитить от ошибки — новые цены меньше текущих более чем в 2 раза. Снижайте их постепенно",IF(AND(IFERROR(VALUE(I1370),0)=0,ISNUMBER(J1370),OR(J1370&lt;413,ABS(IFERROR(VALUE(LEFT(M1370,FIND("-",M1370)-1)),M1370))*100&lt;41300)),"Проверьте цену товара. Большинство товаров в выбранной категории стоят дороже 413","")))))),"")</f>
      </c>
    </row>
    <row r="1371">
      <c r="A1371" s="2" t="inlineStr">
        <is>
          <t/>
        </is>
      </c>
      <c r="B1371" s="2" t="inlineStr">
        <is>
          <t>Тарелки</t>
        </is>
      </c>
      <c r="C1371" s="2">
        <v>968965940</v>
      </c>
      <c r="D1371" s="2" t="inlineStr">
        <is>
          <t>14014</t>
        </is>
      </c>
      <c r="E1371" s="2" t="inlineStr">
        <is>
          <t>2050520822369</t>
        </is>
      </c>
      <c r="F1371" s="2">
        <v>0</v>
      </c>
      <c r="G1371" s="2">
        <v>8</v>
      </c>
      <c r="H1371" s="2" t="inlineStr">
        <is>
          <t/>
        </is>
      </c>
      <c r="I1371" s="2" t="inlineStr">
        <is>
          <t>7500</t>
        </is>
      </c>
      <c r="J1371" s="4"/>
      <c r="K1371" s="2">
        <v>70</v>
      </c>
      <c r="L1371" s="6"/>
      <c r="M1371" s="2" t="str">
        <f>IF(J1371="",ROUND(I1371*(1-IF(ISBLANK(L1371),K1371,L1371)/100),2),ROUND(J1371*(1-IF(ISBLANK(L1371),K1371,L1371)/100),2))</f>
      </c>
      <c r="N1371" s="7" t="str">
        <f>IF(NOT(AND(J1371="",L1371="")),IF(OR(AND(L1371&lt;&gt;"",NOT(ISNUMBER(L1371))),IFERROR(MOD(L1371,1),1)&gt;0,AND(ISNUMBER(L1371),OR(L1371&lt;0,L1371&gt;95))),"Введите целое число от 0 до 95",IF(OR(AND(J1371&lt;&gt;"",NOT(ISNUMBER(J1371))),IFERROR(MOD(J1371,1),1)&gt;0,AND(ISNUMBER(J1371),OR(J1371&lt;50,J1371&gt;20000000))),"Введите целое число от 50 до 20000000",IF(NOT(ABS(IFERROR(VALUE(LEFT(M1371,FIND("-",M1371)-1)),M1371)*100-(2500+2000000000)/2)&lt;=ABS(2500-2000000000)/2),"Цена со скидкой должна быть от 25 до 20000000",IF(AND(IFERROR(VALUE(LEFT(M1371,FIND("-",M1371)-1)),M1371)*150&lt;=225000,IFERROR(VALUE(LEFT(M1371,FIND("-",M1371)-1)),M1371)*200&gt;225000),"Вы уменьшили цену в несколько раз, товар попадет в карантин цен",IF(IFERROR(VALUE(LEFT(M1371,FIND("-",M1371)-1)),M1371)*200&lt;=225000,"Не сохранили изменения, чтобы защитить от ошибки — новые цены меньше текущих более чем в 2 раза. Снижайте их постепенно",IF(AND(IFERROR(VALUE(I1371),0)=0,ISNUMBER(J1371),OR(J1371&lt;413,ABS(IFERROR(VALUE(LEFT(M1371,FIND("-",M1371)-1)),M1371))*100&lt;41300)),"Проверьте цену товара. Большинство товаров в выбранной категории стоят дороже 413","")))))),"")</f>
      </c>
    </row>
    <row r="1372">
      <c r="A1372" s="2" t="inlineStr">
        <is>
          <t/>
        </is>
      </c>
      <c r="B1372" s="2" t="inlineStr">
        <is>
          <t>Кружки</t>
        </is>
      </c>
      <c r="C1372" s="2">
        <v>968711404</v>
      </c>
      <c r="D1372" s="2" t="inlineStr">
        <is>
          <t>14016</t>
        </is>
      </c>
      <c r="E1372" s="2" t="inlineStr">
        <is>
          <t>2050517253480</t>
        </is>
      </c>
      <c r="F1372" s="2">
        <v>0</v>
      </c>
      <c r="G1372" s="2">
        <v>4</v>
      </c>
      <c r="H1372" s="2" t="inlineStr">
        <is>
          <t/>
        </is>
      </c>
      <c r="I1372" s="2" t="inlineStr">
        <is>
          <t>7500</t>
        </is>
      </c>
      <c r="J1372" s="4"/>
      <c r="K1372" s="2">
        <v>67</v>
      </c>
      <c r="L1372" s="6"/>
      <c r="M1372" s="2" t="str">
        <f>IF(J1372="",ROUND(I1372*(1-IF(ISBLANK(L1372),K1372,L1372)/100),2),ROUND(J1372*(1-IF(ISBLANK(L1372),K1372,L1372)/100),2))</f>
      </c>
      <c r="N1372" s="7" t="str">
        <f>IF(NOT(AND(J1372="",L1372="")),IF(OR(AND(L1372&lt;&gt;"",NOT(ISNUMBER(L1372))),IFERROR(MOD(L1372,1),1)&gt;0,AND(ISNUMBER(L1372),OR(L1372&lt;0,L1372&gt;95))),"Введите целое число от 0 до 95",IF(OR(AND(J1372&lt;&gt;"",NOT(ISNUMBER(J1372))),IFERROR(MOD(J1372,1),1)&gt;0,AND(ISNUMBER(J1372),OR(J1372&lt;50,J1372&gt;20000000))),"Введите целое число от 50 до 20000000",IF(NOT(ABS(IFERROR(VALUE(LEFT(M1372,FIND("-",M1372)-1)),M1372)*100-(2500+2000000000)/2)&lt;=ABS(2500-2000000000)/2),"Цена со скидкой должна быть от 25 до 20000000",IF(AND(IFERROR(VALUE(LEFT(M1372,FIND("-",M1372)-1)),M1372)*150&lt;=247499,IFERROR(VALUE(LEFT(M1372,FIND("-",M1372)-1)),M1372)*200&gt;247499),"Вы уменьшили цену в несколько раз, товар попадет в карантин цен",IF(IFERROR(VALUE(LEFT(M1372,FIND("-",M1372)-1)),M1372)*200&lt;=247499,"Не сохранили изменения, чтобы защитить от ошибки — новые цены меньше текущих более чем в 2 раза. Снижайте их постепенно",IF(AND(IFERROR(VALUE(I1372),0)=0,ISNUMBER(J1372),OR(J1372&lt;444,ABS(IFERROR(VALUE(LEFT(M1372,FIND("-",M1372)-1)),M1372))*100&lt;44400)),"Проверьте цену товара. Большинство товаров в выбранной категории стоят дороже 444","")))))),"")</f>
      </c>
    </row>
    <row r="1373">
      <c r="A1373" s="2" t="inlineStr">
        <is>
          <t>Luxaro</t>
        </is>
      </c>
      <c r="B1373" s="2" t="inlineStr">
        <is>
          <t>Тарелки</t>
        </is>
      </c>
      <c r="C1373" s="2">
        <v>608869954</v>
      </c>
      <c r="D1373" s="2" t="inlineStr">
        <is>
          <t>073672</t>
        </is>
      </c>
      <c r="E1373" s="2" t="inlineStr">
        <is>
          <t>2047214991883</t>
        </is>
      </c>
      <c r="F1373" s="2">
        <v>67</v>
      </c>
      <c r="G1373" s="2">
        <v>0</v>
      </c>
      <c r="H1373" s="2">
        <v>507</v>
      </c>
      <c r="I1373" s="2" t="inlineStr">
        <is>
          <t>2862</t>
        </is>
      </c>
      <c r="J1373" s="4"/>
      <c r="K1373" s="2">
        <v>78</v>
      </c>
      <c r="L1373" s="6"/>
      <c r="M1373" s="2" t="str">
        <f>IF(J1373="",ROUND(I1373*(1-IF(ISBLANK(L1373),K1373,L1373)/100),2),ROUND(J1373*(1-IF(ISBLANK(L1373),K1373,L1373)/100),2))</f>
      </c>
      <c r="N1373" s="7" t="str">
        <f>IF(NOT(AND(J1373="",L1373="")),IF(OR(AND(L1373&lt;&gt;"",NOT(ISNUMBER(L1373))),IFERROR(MOD(L1373,1),1)&gt;0,AND(ISNUMBER(L1373),OR(L1373&lt;0,L1373&gt;95))),"Введите целое число от 0 до 95",IF(OR(AND(J1373&lt;&gt;"",NOT(ISNUMBER(J1373))),IFERROR(MOD(J1373,1),1)&gt;0,AND(ISNUMBER(J1373),OR(J1373&lt;50,J1373&gt;20000000))),"Введите целое число от 50 до 20000000",IF(NOT(ABS(IFERROR(VALUE(LEFT(M1373,FIND("-",M1373)-1)),M1373)*100-(2500+2000000000)/2)&lt;=ABS(2500-2000000000)/2),"Цена со скидкой должна быть от 25 до 20000000",IF(AND(IFERROR(VALUE(LEFT(M1373,FIND("-",M1373)-1)),M1373)*150&lt;=62963,IFERROR(VALUE(LEFT(M1373,FIND("-",M1373)-1)),M1373)*200&gt;62963),"Вы уменьшили цену в несколько раз, товар попадет в карантин цен",IF(IFERROR(VALUE(LEFT(M1373,FIND("-",M1373)-1)),M1373)*200&lt;=62963,"Не сохранили изменения, чтобы защитить от ошибки — новые цены меньше текущих более чем в 2 раза. Снижайте их постепенно",IF(AND(IFERROR(VALUE(I1373),0)=0,ISNUMBER(J1373),OR(J1373&lt;413,ABS(IFERROR(VALUE(LEFT(M1373,FIND("-",M1373)-1)),M1373))*100&lt;41300)),"Проверьте цену товара. Большинство товаров в выбранной категории стоят дороже 413","")))))),"")</f>
      </c>
    </row>
    <row r="1374">
      <c r="A1374" s="2" t="inlineStr">
        <is>
          <t/>
        </is>
      </c>
      <c r="B1374" s="2" t="inlineStr">
        <is>
          <t>Разделочные доски</t>
        </is>
      </c>
      <c r="C1374" s="2">
        <v>310927590</v>
      </c>
      <c r="D1374" s="2" t="inlineStr">
        <is>
          <t>455984</t>
        </is>
      </c>
      <c r="E1374" s="2" t="inlineStr">
        <is>
          <t>4680093963725</t>
        </is>
      </c>
      <c r="F1374" s="2">
        <v>29</v>
      </c>
      <c r="G1374" s="2">
        <v>317</v>
      </c>
      <c r="H1374" s="2">
        <v>727</v>
      </c>
      <c r="I1374" s="2" t="inlineStr">
        <is>
          <t>3496</t>
        </is>
      </c>
      <c r="J1374" s="4"/>
      <c r="K1374" s="2">
        <v>77</v>
      </c>
      <c r="L1374" s="6"/>
      <c r="M1374" s="2" t="str">
        <f>IF(J1374="",ROUND(I1374*(1-IF(ISBLANK(L1374),K1374,L1374)/100),2),ROUND(J1374*(1-IF(ISBLANK(L1374),K1374,L1374)/100),2))</f>
      </c>
      <c r="N1374" s="7" t="str">
        <f>IF(NOT(AND(J1374="",L1374="")),IF(OR(AND(L1374&lt;&gt;"",NOT(ISNUMBER(L1374))),IFERROR(MOD(L1374,1),1)&gt;0,AND(ISNUMBER(L1374),OR(L1374&lt;0,L1374&gt;95))),"Введите целое число от 0 до 95",IF(OR(AND(J1374&lt;&gt;"",NOT(ISNUMBER(J1374))),IFERROR(MOD(J1374,1),1)&gt;0,AND(ISNUMBER(J1374),OR(J1374&lt;50,J1374&gt;20000000))),"Введите целое число от 50 до 20000000",IF(NOT(ABS(IFERROR(VALUE(LEFT(M1374,FIND("-",M1374)-1)),M1374)*100-(2500+2000000000)/2)&lt;=ABS(2500-2000000000)/2),"Цена со скидкой должна быть от 25 до 20000000",IF(AND(IFERROR(VALUE(LEFT(M1374,FIND("-",M1374)-1)),M1374)*150&lt;=80408,IFERROR(VALUE(LEFT(M1374,FIND("-",M1374)-1)),M1374)*200&gt;80408),"Вы уменьшили цену в несколько раз, товар попадет в карантин цен",IF(IFERROR(VALUE(LEFT(M1374,FIND("-",M1374)-1)),M1374)*200&lt;=80408,"Не сохранили изменения, чтобы защитить от ошибки — новые цены меньше текущих более чем в 2 раза. Снижайте их постепенно",IF(AND(IFERROR(VALUE(I1374),0)=0,ISNUMBER(J1374),OR(J1374&lt;341,ABS(IFERROR(VALUE(LEFT(M1374,FIND("-",M1374)-1)),M1374))*100&lt;34100)),"Проверьте цену товара. Большинство товаров в выбранной категории стоят дороже 341","")))))),"")</f>
      </c>
    </row>
    <row r="1375">
      <c r="A1375" s="2" t="inlineStr">
        <is>
          <t/>
        </is>
      </c>
      <c r="B1375" s="2" t="inlineStr">
        <is>
          <t>Разделочные доски</t>
        </is>
      </c>
      <c r="C1375" s="2">
        <v>310927591</v>
      </c>
      <c r="D1375" s="2" t="inlineStr">
        <is>
          <t>455985</t>
        </is>
      </c>
      <c r="E1375" s="2" t="inlineStr">
        <is>
          <t>4680093963732</t>
        </is>
      </c>
      <c r="F1375" s="2">
        <v>29</v>
      </c>
      <c r="G1375" s="2">
        <v>185</v>
      </c>
      <c r="H1375" s="2">
        <v>737</v>
      </c>
      <c r="I1375" s="2" t="inlineStr">
        <is>
          <t>4367</t>
        </is>
      </c>
      <c r="J1375" s="4"/>
      <c r="K1375" s="2">
        <v>77</v>
      </c>
      <c r="L1375" s="6"/>
      <c r="M1375" s="2" t="str">
        <f>IF(J1375="",ROUND(I1375*(1-IF(ISBLANK(L1375),K1375,L1375)/100),2),ROUND(J1375*(1-IF(ISBLANK(L1375),K1375,L1375)/100),2))</f>
      </c>
      <c r="N1375" s="7" t="str">
        <f>IF(NOT(AND(J1375="",L1375="")),IF(OR(AND(L1375&lt;&gt;"",NOT(ISNUMBER(L1375))),IFERROR(MOD(L1375,1),1)&gt;0,AND(ISNUMBER(L1375),OR(L1375&lt;0,L1375&gt;95))),"Введите целое число от 0 до 95",IF(OR(AND(J1375&lt;&gt;"",NOT(ISNUMBER(J1375))),IFERROR(MOD(J1375,1),1)&gt;0,AND(ISNUMBER(J1375),OR(J1375&lt;50,J1375&gt;20000000))),"Введите целое число от 50 до 20000000",IF(NOT(ABS(IFERROR(VALUE(LEFT(M1375,FIND("-",M1375)-1)),M1375)*100-(2500+2000000000)/2)&lt;=ABS(2500-2000000000)/2),"Цена со скидкой должна быть от 25 до 20000000",IF(AND(IFERROR(VALUE(LEFT(M1375,FIND("-",M1375)-1)),M1375)*150&lt;=100441,IFERROR(VALUE(LEFT(M1375,FIND("-",M1375)-1)),M1375)*200&gt;100441),"Вы уменьшили цену в несколько раз, товар попадет в карантин цен",IF(IFERROR(VALUE(LEFT(M1375,FIND("-",M1375)-1)),M1375)*200&lt;=100441,"Не сохранили изменения, чтобы защитить от ошибки — новые цены меньше текущих более чем в 2 раза. Снижайте их постепенно",IF(AND(IFERROR(VALUE(I1375),0)=0,ISNUMBER(J1375),OR(J1375&lt;341,ABS(IFERROR(VALUE(LEFT(M1375,FIND("-",M1375)-1)),M1375))*100&lt;34100)),"Проверьте цену товара. Большинство товаров в выбранной категории стоят дороже 341","")))))),"")</f>
      </c>
    </row>
    <row r="1376">
      <c r="A1376" s="2" t="inlineStr">
        <is>
          <t/>
        </is>
      </c>
      <c r="B1376" s="2" t="inlineStr">
        <is>
          <t>Кружки</t>
        </is>
      </c>
      <c r="C1376" s="2">
        <v>968711405</v>
      </c>
      <c r="D1376" s="2" t="inlineStr">
        <is>
          <t>14013</t>
        </is>
      </c>
      <c r="E1376" s="2" t="inlineStr">
        <is>
          <t>2050517584928</t>
        </is>
      </c>
      <c r="F1376" s="2">
        <v>0</v>
      </c>
      <c r="G1376" s="2">
        <v>4</v>
      </c>
      <c r="H1376" s="2" t="inlineStr">
        <is>
          <t/>
        </is>
      </c>
      <c r="I1376" s="2" t="inlineStr">
        <is>
          <t>7500</t>
        </is>
      </c>
      <c r="J1376" s="4"/>
      <c r="K1376" s="2">
        <v>67</v>
      </c>
      <c r="L1376" s="6"/>
      <c r="M1376" s="2" t="str">
        <f>IF(J1376="",ROUND(I1376*(1-IF(ISBLANK(L1376),K1376,L1376)/100),2),ROUND(J1376*(1-IF(ISBLANK(L1376),K1376,L1376)/100),2))</f>
      </c>
      <c r="N1376" s="7" t="str">
        <f>IF(NOT(AND(J1376="",L1376="")),IF(OR(AND(L1376&lt;&gt;"",NOT(ISNUMBER(L1376))),IFERROR(MOD(L1376,1),1)&gt;0,AND(ISNUMBER(L1376),OR(L1376&lt;0,L1376&gt;95))),"Введите целое число от 0 до 95",IF(OR(AND(J1376&lt;&gt;"",NOT(ISNUMBER(J1376))),IFERROR(MOD(J1376,1),1)&gt;0,AND(ISNUMBER(J1376),OR(J1376&lt;50,J1376&gt;20000000))),"Введите целое число от 50 до 20000000",IF(NOT(ABS(IFERROR(VALUE(LEFT(M1376,FIND("-",M1376)-1)),M1376)*100-(2500+2000000000)/2)&lt;=ABS(2500-2000000000)/2),"Цена со скидкой должна быть от 25 до 20000000",IF(AND(IFERROR(VALUE(LEFT(M1376,FIND("-",M1376)-1)),M1376)*150&lt;=247499,IFERROR(VALUE(LEFT(M1376,FIND("-",M1376)-1)),M1376)*200&gt;247499),"Вы уменьшили цену в несколько раз, товар попадет в карантин цен",IF(IFERROR(VALUE(LEFT(M1376,FIND("-",M1376)-1)),M1376)*200&lt;=247499,"Не сохранили изменения, чтобы защитить от ошибки — новые цены меньше текущих более чем в 2 раза. Снижайте их постепенно",IF(AND(IFERROR(VALUE(I1376),0)=0,ISNUMBER(J1376),OR(J1376&lt;444,ABS(IFERROR(VALUE(LEFT(M1376,FIND("-",M1376)-1)),M1376))*100&lt;44400)),"Проверьте цену товара. Большинство товаров в выбранной категории стоят дороже 444","")))))),"")</f>
      </c>
    </row>
    <row r="1377">
      <c r="A1377" s="2" t="inlineStr">
        <is>
          <t>Luxaro</t>
        </is>
      </c>
      <c r="B1377" s="2" t="inlineStr">
        <is>
          <t>Тарелки</t>
        </is>
      </c>
      <c r="C1377" s="2">
        <v>866577338</v>
      </c>
      <c r="D1377" s="2" t="inlineStr">
        <is>
          <t>14007</t>
        </is>
      </c>
      <c r="E1377" s="2" t="inlineStr">
        <is>
          <t>2049459720389</t>
        </is>
      </c>
      <c r="F1377" s="2">
        <v>131</v>
      </c>
      <c r="G1377" s="2">
        <v>4</v>
      </c>
      <c r="H1377" s="2">
        <v>55</v>
      </c>
      <c r="I1377" s="2" t="inlineStr">
        <is>
          <t>6180</t>
        </is>
      </c>
      <c r="J1377" s="4"/>
      <c r="K1377" s="2">
        <v>77</v>
      </c>
      <c r="L1377" s="6"/>
      <c r="M1377" s="2" t="str">
        <f>IF(J1377="",ROUND(I1377*(1-IF(ISBLANK(L1377),K1377,L1377)/100),2),ROUND(J1377*(1-IF(ISBLANK(L1377),K1377,L1377)/100),2))</f>
      </c>
      <c r="N1377" s="7" t="str">
        <f>IF(NOT(AND(J1377="",L1377="")),IF(OR(AND(L1377&lt;&gt;"",NOT(ISNUMBER(L1377))),IFERROR(MOD(L1377,1),1)&gt;0,AND(ISNUMBER(L1377),OR(L1377&lt;0,L1377&gt;95))),"Введите целое число от 0 до 95",IF(OR(AND(J1377&lt;&gt;"",NOT(ISNUMBER(J1377))),IFERROR(MOD(J1377,1),1)&gt;0,AND(ISNUMBER(J1377),OR(J1377&lt;50,J1377&gt;20000000))),"Введите целое число от 50 до 20000000",IF(NOT(ABS(IFERROR(VALUE(LEFT(M1377,FIND("-",M1377)-1)),M1377)*100-(2500+2000000000)/2)&lt;=ABS(2500-2000000000)/2),"Цена со скидкой должна быть от 25 до 20000000",IF(AND(IFERROR(VALUE(LEFT(M1377,FIND("-",M1377)-1)),M1377)*150&lt;=142140,IFERROR(VALUE(LEFT(M1377,FIND("-",M1377)-1)),M1377)*200&gt;142140),"Вы уменьшили цену в несколько раз, товар попадет в карантин цен",IF(IFERROR(VALUE(LEFT(M1377,FIND("-",M1377)-1)),M1377)*200&lt;=142140,"Не сохранили изменения, чтобы защитить от ошибки — новые цены меньше текущих более чем в 2 раза. Снижайте их постепенно",IF(AND(IFERROR(VALUE(I1377),0)=0,ISNUMBER(J1377),OR(J1377&lt;413,ABS(IFERROR(VALUE(LEFT(M1377,FIND("-",M1377)-1)),M1377))*100&lt;41300)),"Проверьте цену товара. Большинство товаров в выбранной категории стоят дороже 413","")))))),"")</f>
      </c>
    </row>
    <row r="1378">
      <c r="A1378" s="2" t="inlineStr">
        <is>
          <t/>
        </is>
      </c>
      <c r="B1378" s="2" t="inlineStr">
        <is>
          <t>Тарелки</t>
        </is>
      </c>
      <c r="C1378" s="2">
        <v>968965939</v>
      </c>
      <c r="D1378" s="2" t="inlineStr">
        <is>
          <t>14015</t>
        </is>
      </c>
      <c r="E1378" s="2" t="inlineStr">
        <is>
          <t>2050520907677</t>
        </is>
      </c>
      <c r="F1378" s="2">
        <v>0</v>
      </c>
      <c r="G1378" s="2">
        <v>7</v>
      </c>
      <c r="H1378" s="2" t="inlineStr">
        <is>
          <t/>
        </is>
      </c>
      <c r="I1378" s="2" t="inlineStr">
        <is>
          <t>7500</t>
        </is>
      </c>
      <c r="J1378" s="4"/>
      <c r="K1378" s="2">
        <v>70</v>
      </c>
      <c r="L1378" s="6"/>
      <c r="M1378" s="2" t="str">
        <f>IF(J1378="",ROUND(I1378*(1-IF(ISBLANK(L1378),K1378,L1378)/100),2),ROUND(J1378*(1-IF(ISBLANK(L1378),K1378,L1378)/100),2))</f>
      </c>
      <c r="N1378" s="7" t="str">
        <f>IF(NOT(AND(J1378="",L1378="")),IF(OR(AND(L1378&lt;&gt;"",NOT(ISNUMBER(L1378))),IFERROR(MOD(L1378,1),1)&gt;0,AND(ISNUMBER(L1378),OR(L1378&lt;0,L1378&gt;95))),"Введите целое число от 0 до 95",IF(OR(AND(J1378&lt;&gt;"",NOT(ISNUMBER(J1378))),IFERROR(MOD(J1378,1),1)&gt;0,AND(ISNUMBER(J1378),OR(J1378&lt;50,J1378&gt;20000000))),"Введите целое число от 50 до 20000000",IF(NOT(ABS(IFERROR(VALUE(LEFT(M1378,FIND("-",M1378)-1)),M1378)*100-(2500+2000000000)/2)&lt;=ABS(2500-2000000000)/2),"Цена со скидкой должна быть от 25 до 20000000",IF(AND(IFERROR(VALUE(LEFT(M1378,FIND("-",M1378)-1)),M1378)*150&lt;=225000,IFERROR(VALUE(LEFT(M1378,FIND("-",M1378)-1)),M1378)*200&gt;225000),"Вы уменьшили цену в несколько раз, товар попадет в карантин цен",IF(IFERROR(VALUE(LEFT(M1378,FIND("-",M1378)-1)),M1378)*200&lt;=225000,"Не сохранили изменения, чтобы защитить от ошибки — новые цены меньше текущих более чем в 2 раза. Снижайте их постепенно",IF(AND(IFERROR(VALUE(I1378),0)=0,ISNUMBER(J1378),OR(J1378&lt;413,ABS(IFERROR(VALUE(LEFT(M1378,FIND("-",M1378)-1)),M1378))*100&lt;41300)),"Проверьте цену товара. Большинство товаров в выбранной категории стоят дороже 413","")))))),"")</f>
      </c>
    </row>
    <row r="1379">
      <c r="A1379" s="2" t="inlineStr">
        <is>
          <t>Laly Бижутерия</t>
        </is>
      </c>
      <c r="B1379" s="2" t="inlineStr">
        <is>
          <t>Серьги</t>
        </is>
      </c>
      <c r="C1379" s="2">
        <v>277127015</v>
      </c>
      <c r="D1379" s="2" t="inlineStr">
        <is>
          <t>55779</t>
        </is>
      </c>
      <c r="E1379" s="2" t="inlineStr">
        <is>
          <t>4670294453538</t>
        </is>
      </c>
      <c r="F1379" s="2">
        <v>6</v>
      </c>
      <c r="G1379" s="2">
        <v>0</v>
      </c>
      <c r="H1379" s="2">
        <v>999</v>
      </c>
      <c r="I1379" s="2" t="inlineStr">
        <is>
          <t>1948</t>
        </is>
      </c>
      <c r="J1379" s="4"/>
      <c r="K1379" s="2">
        <v>80</v>
      </c>
      <c r="L1379" s="6"/>
      <c r="M1379" s="2" t="str">
        <f>IF(J1379="",ROUND(I1379*(1-IF(ISBLANK(L1379),K1379,L1379)/100),2),ROUND(J1379*(1-IF(ISBLANK(L1379),K1379,L1379)/100),2))</f>
      </c>
      <c r="N1379" s="7" t="str">
        <f>IF(NOT(AND(J1379="",L1379="")),IF(OR(AND(L1379&lt;&gt;"",NOT(ISNUMBER(L1379))),IFERROR(MOD(L1379,1),1)&gt;0,AND(ISNUMBER(L1379),OR(L1379&lt;0,L1379&gt;95))),"Введите целое число от 0 до 95",IF(OR(AND(J1379&lt;&gt;"",NOT(ISNUMBER(J1379))),IFERROR(MOD(J1379,1),1)&gt;0,AND(ISNUMBER(J1379),OR(J1379&lt;50,J1379&gt;20000000))),"Введите целое число от 50 до 20000000",IF(NOT(ABS(IFERROR(VALUE(LEFT(M1379,FIND("-",M1379)-1)),M1379)*100-(2500+2000000000)/2)&lt;=ABS(2500-2000000000)/2),"Цена со скидкой должна быть от 25 до 20000000",IF(AND(IFERROR(VALUE(LEFT(M1379,FIND("-",M1379)-1)),M1379)*150&lt;=38959,IFERROR(VALUE(LEFT(M1379,FIND("-",M1379)-1)),M1379)*200&gt;38959),"Вы уменьшили цену в несколько раз, товар попадет в карантин цен",IF(IFERROR(VALUE(LEFT(M1379,FIND("-",M1379)-1)),M1379)*200&lt;=38959,"Не сохранили изменения, чтобы защитить от ошибки — новые цены меньше текущих более чем в 2 раза. Снижайте их постепенно",IF(AND(IFERROR(VALUE(I1379),0)=0,ISNUMBER(J1379),OR(J1379&lt;207,ABS(IFERROR(VALUE(LEFT(M1379,FIND("-",M1379)-1)),M1379))*100&lt;20700)),"Проверьте цену товара. Большинство товаров в выбранной категории стоят дороже 207","")))))),"")</f>
      </c>
    </row>
    <row r="1380">
      <c r="A1380" s="2" t="inlineStr">
        <is>
          <t>Laly Бижутерия</t>
        </is>
      </c>
      <c r="B1380" s="2" t="inlineStr">
        <is>
          <t>Серьги</t>
        </is>
      </c>
      <c r="C1380" s="2">
        <v>264650325</v>
      </c>
      <c r="D1380" s="2" t="inlineStr">
        <is>
          <t>55778</t>
        </is>
      </c>
      <c r="E1380" s="2" t="inlineStr">
        <is>
          <t>4670294453521</t>
        </is>
      </c>
      <c r="F1380" s="2">
        <v>0</v>
      </c>
      <c r="G1380" s="2">
        <v>0</v>
      </c>
      <c r="H1380" s="2">
        <v>38</v>
      </c>
      <c r="I1380" s="2" t="inlineStr">
        <is>
          <t>1310</t>
        </is>
      </c>
      <c r="J1380" s="4"/>
      <c r="K1380" s="2">
        <v>80</v>
      </c>
      <c r="L1380" s="6"/>
      <c r="M1380" s="2" t="str">
        <f>IF(J1380="",ROUND(I1380*(1-IF(ISBLANK(L1380),K1380,L1380)/100),2),ROUND(J1380*(1-IF(ISBLANK(L1380),K1380,L1380)/100),2))</f>
      </c>
      <c r="N1380" s="7" t="str">
        <f>IF(NOT(AND(J1380="",L1380="")),IF(OR(AND(L1380&lt;&gt;"",NOT(ISNUMBER(L1380))),IFERROR(MOD(L1380,1),1)&gt;0,AND(ISNUMBER(L1380),OR(L1380&lt;0,L1380&gt;95))),"Введите целое число от 0 до 95",IF(OR(AND(J1380&lt;&gt;"",NOT(ISNUMBER(J1380))),IFERROR(MOD(J1380,1),1)&gt;0,AND(ISNUMBER(J1380),OR(J1380&lt;50,J1380&gt;20000000))),"Введите целое число от 50 до 20000000",IF(NOT(ABS(IFERROR(VALUE(LEFT(M1380,FIND("-",M1380)-1)),M1380)*100-(2500+2000000000)/2)&lt;=ABS(2500-2000000000)/2),"Цена со скидкой должна быть от 25 до 20000000",IF(AND(IFERROR(VALUE(LEFT(M1380,FIND("-",M1380)-1)),M1380)*150&lt;=26199,IFERROR(VALUE(LEFT(M1380,FIND("-",M1380)-1)),M1380)*200&gt;26199),"Вы уменьшили цену в несколько раз, товар попадет в карантин цен",IF(IFERROR(VALUE(LEFT(M1380,FIND("-",M1380)-1)),M1380)*200&lt;=26199,"Не сохранили изменения, чтобы защитить от ошибки — новые цены меньше текущих более чем в 2 раза. Снижайте их постепенно",IF(AND(IFERROR(VALUE(I1380),0)=0,ISNUMBER(J1380),OR(J1380&lt;207,ABS(IFERROR(VALUE(LEFT(M1380,FIND("-",M1380)-1)),M1380))*100&lt;20700)),"Проверьте цену товара. Большинство товаров в выбранной категории стоят дороже 207","")))))),"")</f>
      </c>
    </row>
    <row r="1381">
      <c r="A1381" s="2" t="inlineStr">
        <is>
          <t>Laly Бижутерия</t>
        </is>
      </c>
      <c r="B1381" s="2" t="inlineStr">
        <is>
          <t>Серьги</t>
        </is>
      </c>
      <c r="C1381" s="2">
        <v>264650324</v>
      </c>
      <c r="D1381" s="2" t="inlineStr">
        <is>
          <t>55467</t>
        </is>
      </c>
      <c r="E1381" s="2" t="inlineStr">
        <is>
          <t>4670294453286</t>
        </is>
      </c>
      <c r="F1381" s="2">
        <v>2</v>
      </c>
      <c r="G1381" s="2">
        <v>77</v>
      </c>
      <c r="H1381" s="2">
        <v>21</v>
      </c>
      <c r="I1381" s="2" t="inlineStr">
        <is>
          <t>2070</t>
        </is>
      </c>
      <c r="J1381" s="4"/>
      <c r="K1381" s="2">
        <v>85</v>
      </c>
      <c r="L1381" s="6"/>
      <c r="M1381" s="2" t="str">
        <f>IF(J1381="",ROUND(I1381*(1-IF(ISBLANK(L1381),K1381,L1381)/100),2),ROUND(J1381*(1-IF(ISBLANK(L1381),K1381,L1381)/100),2))</f>
      </c>
      <c r="N1381" s="7" t="str">
        <f>IF(NOT(AND(J1381="",L1381="")),IF(OR(AND(L1381&lt;&gt;"",NOT(ISNUMBER(L1381))),IFERROR(MOD(L1381,1),1)&gt;0,AND(ISNUMBER(L1381),OR(L1381&lt;0,L1381&gt;95))),"Введите целое число от 0 до 95",IF(OR(AND(J1381&lt;&gt;"",NOT(ISNUMBER(J1381))),IFERROR(MOD(J1381,1),1)&gt;0,AND(ISNUMBER(J1381),OR(J1381&lt;50,J1381&gt;20000000))),"Введите целое число от 50 до 20000000",IF(NOT(ABS(IFERROR(VALUE(LEFT(M1381,FIND("-",M1381)-1)),M1381)*100-(2500+2000000000)/2)&lt;=ABS(2500-2000000000)/2),"Цена со скидкой должна быть от 25 до 20000000",IF(AND(IFERROR(VALUE(LEFT(M1381,FIND("-",M1381)-1)),M1381)*150&lt;=31050,IFERROR(VALUE(LEFT(M1381,FIND("-",M1381)-1)),M1381)*200&gt;31050),"Вы уменьшили цену в несколько раз, товар попадет в карантин цен",IF(IFERROR(VALUE(LEFT(M1381,FIND("-",M1381)-1)),M1381)*200&lt;=31050,"Не сохранили изменения, чтобы защитить от ошибки — новые цены меньше текущих более чем в 2 раза. Снижайте их постепенно",IF(AND(IFERROR(VALUE(I1381),0)=0,ISNUMBER(J1381),OR(J1381&lt;207,ABS(IFERROR(VALUE(LEFT(M1381,FIND("-",M1381)-1)),M1381))*100&lt;20700)),"Проверьте цену товара. Большинство товаров в выбранной категории стоят дороже 207","")))))),"")</f>
      </c>
    </row>
    <row r="1382">
      <c r="A1382" s="2" t="inlineStr">
        <is>
          <t>Laly Бижутерия</t>
        </is>
      </c>
      <c r="B1382" s="2" t="inlineStr">
        <is>
          <t>Серьги</t>
        </is>
      </c>
      <c r="C1382" s="2">
        <v>273916706</v>
      </c>
      <c r="D1382" s="2" t="inlineStr">
        <is>
          <t>55764</t>
        </is>
      </c>
      <c r="E1382" s="2" t="inlineStr">
        <is>
          <t>4670294453385</t>
        </is>
      </c>
      <c r="F1382" s="2">
        <v>315</v>
      </c>
      <c r="G1382" s="2">
        <v>63</v>
      </c>
      <c r="H1382" s="2">
        <v>240</v>
      </c>
      <c r="I1382" s="2" t="inlineStr">
        <is>
          <t>2722</t>
        </is>
      </c>
      <c r="J1382" s="4"/>
      <c r="K1382" s="2">
        <v>82</v>
      </c>
      <c r="L1382" s="6"/>
      <c r="M1382" s="2" t="str">
        <f>IF(J1382="",ROUND(I1382*(1-IF(ISBLANK(L1382),K1382,L1382)/100),2),ROUND(J1382*(1-IF(ISBLANK(L1382),K1382,L1382)/100),2))</f>
      </c>
      <c r="N1382" s="7" t="str">
        <f>IF(NOT(AND(J1382="",L1382="")),IF(OR(AND(L1382&lt;&gt;"",NOT(ISNUMBER(L1382))),IFERROR(MOD(L1382,1),1)&gt;0,AND(ISNUMBER(L1382),OR(L1382&lt;0,L1382&gt;95))),"Введите целое число от 0 до 95",IF(OR(AND(J1382&lt;&gt;"",NOT(ISNUMBER(J1382))),IFERROR(MOD(J1382,1),1)&gt;0,AND(ISNUMBER(J1382),OR(J1382&lt;50,J1382&gt;20000000))),"Введите целое число от 50 до 20000000",IF(NOT(ABS(IFERROR(VALUE(LEFT(M1382,FIND("-",M1382)-1)),M1382)*100-(2500+2000000000)/2)&lt;=ABS(2500-2000000000)/2),"Цена со скидкой должна быть от 25 до 20000000",IF(AND(IFERROR(VALUE(LEFT(M1382,FIND("-",M1382)-1)),M1382)*150&lt;=48996,IFERROR(VALUE(LEFT(M1382,FIND("-",M1382)-1)),M1382)*200&gt;48996),"Вы уменьшили цену в несколько раз, товар попадет в карантин цен",IF(IFERROR(VALUE(LEFT(M1382,FIND("-",M1382)-1)),M1382)*200&lt;=48996,"Не сохранили изменения, чтобы защитить от ошибки — новые цены меньше текущих более чем в 2 раза. Снижайте их постепенно",IF(AND(IFERROR(VALUE(I1382),0)=0,ISNUMBER(J1382),OR(J1382&lt;207,ABS(IFERROR(VALUE(LEFT(M1382,FIND("-",M1382)-1)),M1382))*100&lt;20700)),"Проверьте цену товара. Большинство товаров в выбранной категории стоят дороже 207","")))))),"")</f>
      </c>
    </row>
    <row r="1383">
      <c r="A1383" s="2" t="inlineStr">
        <is>
          <t>Luxaro</t>
        </is>
      </c>
      <c r="B1383" s="2" t="inlineStr">
        <is>
          <t>Выпрямители волос</t>
        </is>
      </c>
      <c r="C1383" s="2">
        <v>430065417</v>
      </c>
      <c r="D1383" s="2" t="inlineStr">
        <is>
          <t>192529</t>
        </is>
      </c>
      <c r="E1383" s="2" t="inlineStr">
        <is>
          <t>4670294455570</t>
        </is>
      </c>
      <c r="F1383" s="2">
        <v>555</v>
      </c>
      <c r="G1383" s="2">
        <v>237</v>
      </c>
      <c r="H1383" s="2">
        <v>372</v>
      </c>
      <c r="I1383" s="2" t="inlineStr">
        <is>
          <t>4103</t>
        </is>
      </c>
      <c r="J1383" s="4"/>
      <c r="K1383" s="2">
        <v>75</v>
      </c>
      <c r="L1383" s="6"/>
      <c r="M1383" s="2" t="str">
        <f>IF(J1383="",ROUND(I1383*(1-IF(ISBLANK(L1383),K1383,L1383)/100),2),ROUND(J1383*(1-IF(ISBLANK(L1383),K1383,L1383)/100),2))</f>
      </c>
      <c r="N1383" s="7" t="str">
        <f>IF(NOT(AND(J1383="",L1383="")),IF(OR(AND(L1383&lt;&gt;"",NOT(ISNUMBER(L1383))),IFERROR(MOD(L1383,1),1)&gt;0,AND(ISNUMBER(L1383),OR(L1383&lt;0,L1383&gt;95))),"Введите целое число от 0 до 95",IF(OR(AND(J1383&lt;&gt;"",NOT(ISNUMBER(J1383))),IFERROR(MOD(J1383,1),1)&gt;0,AND(ISNUMBER(J1383),OR(J1383&lt;50,J1383&gt;20000000))),"Введите целое число от 50 до 20000000",IF(NOT(ABS(IFERROR(VALUE(LEFT(M1383,FIND("-",M1383)-1)),M1383)*100-(2500+2000000000)/2)&lt;=ABS(2500-2000000000)/2),"Цена со скидкой должна быть от 25 до 20000000",IF(AND(IFERROR(VALUE(LEFT(M1383,FIND("-",M1383)-1)),M1383)*150&lt;=102575,IFERROR(VALUE(LEFT(M1383,FIND("-",M1383)-1)),M1383)*200&gt;102575),"Вы уменьшили цену в несколько раз, товар попадет в карантин цен",IF(IFERROR(VALUE(LEFT(M1383,FIND("-",M1383)-1)),M1383)*200&lt;=102575,"Не сохранили изменения, чтобы защитить от ошибки — новые цены меньше текущих более чем в 2 раза. Снижайте их постепенно",IF(AND(IFERROR(VALUE(I1383),0)=0,ISNUMBER(J1383),OR(J1383&lt;467,ABS(IFERROR(VALUE(LEFT(M1383,FIND("-",M1383)-1)),M1383))*100&lt;46700)),"Проверьте цену товара. Большинство товаров в выбранной категории стоят дороже 467","")))))),"")</f>
      </c>
    </row>
    <row r="1384">
      <c r="A1384" s="2" t="inlineStr">
        <is>
          <t>Laly Бижутерия</t>
        </is>
      </c>
      <c r="B1384" s="2" t="inlineStr">
        <is>
          <t>Цепочки</t>
        </is>
      </c>
      <c r="C1384" s="2">
        <v>277127753</v>
      </c>
      <c r="D1384" s="2" t="inlineStr">
        <is>
          <t>55788</t>
        </is>
      </c>
      <c r="E1384" s="2" t="inlineStr">
        <is>
          <t>4670294453569</t>
        </is>
      </c>
      <c r="F1384" s="2">
        <v>327</v>
      </c>
      <c r="G1384" s="2">
        <v>73</v>
      </c>
      <c r="H1384" s="2">
        <v>215</v>
      </c>
      <c r="I1384" s="2" t="inlineStr">
        <is>
          <t>1236</t>
        </is>
      </c>
      <c r="J1384" s="4"/>
      <c r="K1384" s="2">
        <v>75</v>
      </c>
      <c r="L1384" s="6"/>
      <c r="M1384" s="2" t="str">
        <f>IF(J1384="",ROUND(I1384*(1-IF(ISBLANK(L1384),K1384,L1384)/100),2),ROUND(J1384*(1-IF(ISBLANK(L1384),K1384,L1384)/100),2))</f>
      </c>
      <c r="N1384" s="7" t="str">
        <f>IF(NOT(AND(J1384="",L1384="")),IF(OR(AND(L1384&lt;&gt;"",NOT(ISNUMBER(L1384))),IFERROR(MOD(L1384,1),1)&gt;0,AND(ISNUMBER(L1384),OR(L1384&lt;0,L1384&gt;95))),"Введите целое число от 0 до 95",IF(OR(AND(J1384&lt;&gt;"",NOT(ISNUMBER(J1384))),IFERROR(MOD(J1384,1),1)&gt;0,AND(ISNUMBER(J1384),OR(J1384&lt;50,J1384&gt;20000000))),"Введите целое число от 50 до 20000000",IF(NOT(ABS(IFERROR(VALUE(LEFT(M1384,FIND("-",M1384)-1)),M1384)*100-(2500+2000000000)/2)&lt;=ABS(2500-2000000000)/2),"Цена со скидкой должна быть от 25 до 20000000",IF(AND(IFERROR(VALUE(LEFT(M1384,FIND("-",M1384)-1)),M1384)*150&lt;=30900,IFERROR(VALUE(LEFT(M1384,FIND("-",M1384)-1)),M1384)*200&gt;30900),"Вы уменьшили цену в несколько раз, товар попадет в карантин цен",IF(IFERROR(VALUE(LEFT(M1384,FIND("-",M1384)-1)),M1384)*200&lt;=30900,"Не сохранили изменения, чтобы защитить от ошибки — новые цены меньше текущих более чем в 2 раза. Снижайте их постепенно",IF(AND(IFERROR(VALUE(I1384),0)=0,ISNUMBER(J1384),OR(J1384&lt;204,ABS(IFERROR(VALUE(LEFT(M1384,FIND("-",M1384)-1)),M1384))*100&lt;20400)),"Проверьте цену товара. Большинство товаров в выбранной категории стоят дороже 204","")))))),"")</f>
      </c>
    </row>
    <row r="1385">
      <c r="A1385" s="2" t="inlineStr">
        <is>
          <t/>
        </is>
      </c>
      <c r="B1385" s="2" t="inlineStr">
        <is>
          <t>Выпрямители волос</t>
        </is>
      </c>
      <c r="C1385" s="2">
        <v>725161854</v>
      </c>
      <c r="D1385" s="2" t="inlineStr">
        <is>
          <t>192610</t>
        </is>
      </c>
      <c r="E1385" s="2" t="inlineStr">
        <is>
          <t>2048045685057</t>
        </is>
      </c>
      <c r="F1385" s="2">
        <v>5</v>
      </c>
      <c r="G1385" s="2">
        <v>0</v>
      </c>
      <c r="H1385" s="2">
        <v>95</v>
      </c>
      <c r="I1385" s="2" t="inlineStr">
        <is>
          <t>5987</t>
        </is>
      </c>
      <c r="J1385" s="4"/>
      <c r="K1385" s="2">
        <v>80</v>
      </c>
      <c r="L1385" s="6"/>
      <c r="M1385" s="2" t="str">
        <f>IF(J1385="",ROUND(I1385*(1-IF(ISBLANK(L1385),K1385,L1385)/100),2),ROUND(J1385*(1-IF(ISBLANK(L1385),K1385,L1385)/100),2))</f>
      </c>
      <c r="N1385" s="7" t="str">
        <f>IF(NOT(AND(J1385="",L1385="")),IF(OR(AND(L1385&lt;&gt;"",NOT(ISNUMBER(L1385))),IFERROR(MOD(L1385,1),1)&gt;0,AND(ISNUMBER(L1385),OR(L1385&lt;0,L1385&gt;95))),"Введите целое число от 0 до 95",IF(OR(AND(J1385&lt;&gt;"",NOT(ISNUMBER(J1385))),IFERROR(MOD(J1385,1),1)&gt;0,AND(ISNUMBER(J1385),OR(J1385&lt;50,J1385&gt;20000000))),"Введите целое число от 50 до 20000000",IF(NOT(ABS(IFERROR(VALUE(LEFT(M1385,FIND("-",M1385)-1)),M1385)*100-(2500+2000000000)/2)&lt;=ABS(2500-2000000000)/2),"Цена со скидкой должна быть от 25 до 20000000",IF(AND(IFERROR(VALUE(LEFT(M1385,FIND("-",M1385)-1)),M1385)*150&lt;=119739,IFERROR(VALUE(LEFT(M1385,FIND("-",M1385)-1)),M1385)*200&gt;119739),"Вы уменьшили цену в несколько раз, товар попадет в карантин цен",IF(IFERROR(VALUE(LEFT(M1385,FIND("-",M1385)-1)),M1385)*200&lt;=119739,"Не сохранили изменения, чтобы защитить от ошибки — новые цены меньше текущих более чем в 2 раза. Снижайте их постепенно",IF(AND(IFERROR(VALUE(I1385),0)=0,ISNUMBER(J1385),OR(J1385&lt;467,ABS(IFERROR(VALUE(LEFT(M1385,FIND("-",M1385)-1)),M1385))*100&lt;46700)),"Проверьте цену товара. Большинство товаров в выбранной категории стоят дороже 467","")))))),"")</f>
      </c>
    </row>
    <row r="1386">
      <c r="A1386" s="2" t="inlineStr">
        <is>
          <t/>
        </is>
      </c>
      <c r="B1386" s="2" t="inlineStr">
        <is>
          <t>Кружки</t>
        </is>
      </c>
      <c r="C1386" s="2">
        <v>766395610</v>
      </c>
      <c r="D1386" s="2" t="inlineStr">
        <is>
          <t>073201</t>
        </is>
      </c>
      <c r="E1386" s="2" t="inlineStr">
        <is>
          <t>2048433342395</t>
        </is>
      </c>
      <c r="F1386" s="2" t="inlineStr">
        <is>
          <t/>
        </is>
      </c>
      <c r="G1386" s="2" t="inlineStr">
        <is>
          <t/>
        </is>
      </c>
      <c r="H1386" s="2" t="inlineStr">
        <is>
          <t/>
        </is>
      </c>
      <c r="I1386" s="2" t="inlineStr">
        <is>
          <t>0</t>
        </is>
      </c>
      <c r="J1386" s="4"/>
      <c r="K1386" s="2">
        <v>0</v>
      </c>
      <c r="L1386" s="6"/>
      <c r="M1386" s="2" t="str">
        <f>IF(J1386="",ROUND(I1386*(1-IF(ISBLANK(L1386),K1386,L1386)/100),2),ROUND(J1386*(1-IF(ISBLANK(L1386),K1386,L1386)/100),2))</f>
      </c>
      <c r="N1386" s="7" t="str">
        <f>IF(NOT(AND(J1386="",L1386="")),IF(OR(AND(L1386&lt;&gt;"",NOT(ISNUMBER(L1386))),IFERROR(MOD(L1386,1),1)&gt;0,AND(ISNUMBER(L1386),OR(L1386&lt;0,L1386&gt;95))),"Введите целое число от 0 до 95",IF(OR(AND(J1386&lt;&gt;"",NOT(ISNUMBER(J1386))),IFERROR(MOD(J1386,1),1)&gt;0,AND(ISNUMBER(J1386),OR(J1386&lt;50,J1386&gt;20000000))),"Введите целое число от 50 до 20000000",IF(NOT(ABS(IFERROR(VALUE(LEFT(M1386,FIND("-",M1386)-1)),M1386)*100-(2500+2000000000)/2)&lt;=ABS(2500-2000000000)/2),"Цена со скидкой должна быть от 25 до 20000000",IF(AND(IFERROR(VALUE(LEFT(M1386,FIND("-",M1386)-1)),M1386)*150&lt;=0,IFERROR(VALUE(LEFT(M1386,FIND("-",M1386)-1)),M1386)*200&gt;0),"Вы уменьшили цену в несколько раз, товар попадет в карантин цен",IF(IFERROR(VALUE(LEFT(M1386,FIND("-",M1386)-1)),M1386)*200&lt;=0,"Не сохранили изменения, чтобы защитить от ошибки — новые цены меньше текущих более чем в 2 раза. Снижайте их постепенно",IF(AND(IFERROR(VALUE(I1386),0)=0,ISNUMBER(J1386),OR(J1386&lt;444,ABS(IFERROR(VALUE(LEFT(M1386,FIND("-",M1386)-1)),M1386))*100&lt;44400)),"Проверьте цену товара. Большинство товаров в выбранной категории стоят дороже 444","")))))),"")</f>
      </c>
    </row>
    <row r="1387">
      <c r="A1387" s="2" t="inlineStr">
        <is>
          <t/>
        </is>
      </c>
      <c r="B1387" s="2" t="inlineStr">
        <is>
          <t>Кружки</t>
        </is>
      </c>
      <c r="C1387" s="2">
        <v>766408972</v>
      </c>
      <c r="D1387" s="2" t="inlineStr">
        <is>
          <t>075276</t>
        </is>
      </c>
      <c r="E1387" s="2" t="inlineStr">
        <is>
          <t>2048433548179</t>
        </is>
      </c>
      <c r="F1387" s="2" t="inlineStr">
        <is>
          <t/>
        </is>
      </c>
      <c r="G1387" s="2" t="inlineStr">
        <is>
          <t/>
        </is>
      </c>
      <c r="H1387" s="2" t="inlineStr">
        <is>
          <t/>
        </is>
      </c>
      <c r="I1387" s="2" t="inlineStr">
        <is>
          <t>0</t>
        </is>
      </c>
      <c r="J1387" s="4"/>
      <c r="K1387" s="2">
        <v>0</v>
      </c>
      <c r="L1387" s="6"/>
      <c r="M1387" s="2" t="str">
        <f>IF(J1387="",ROUND(I1387*(1-IF(ISBLANK(L1387),K1387,L1387)/100),2),ROUND(J1387*(1-IF(ISBLANK(L1387),K1387,L1387)/100),2))</f>
      </c>
      <c r="N1387" s="7" t="str">
        <f>IF(NOT(AND(J1387="",L1387="")),IF(OR(AND(L1387&lt;&gt;"",NOT(ISNUMBER(L1387))),IFERROR(MOD(L1387,1),1)&gt;0,AND(ISNUMBER(L1387),OR(L1387&lt;0,L1387&gt;95))),"Введите целое число от 0 до 95",IF(OR(AND(J1387&lt;&gt;"",NOT(ISNUMBER(J1387))),IFERROR(MOD(J1387,1),1)&gt;0,AND(ISNUMBER(J1387),OR(J1387&lt;50,J1387&gt;20000000))),"Введите целое число от 50 до 20000000",IF(NOT(ABS(IFERROR(VALUE(LEFT(M1387,FIND("-",M1387)-1)),M1387)*100-(2500+2000000000)/2)&lt;=ABS(2500-2000000000)/2),"Цена со скидкой должна быть от 25 до 20000000",IF(AND(IFERROR(VALUE(LEFT(M1387,FIND("-",M1387)-1)),M1387)*150&lt;=0,IFERROR(VALUE(LEFT(M1387,FIND("-",M1387)-1)),M1387)*200&gt;0),"Вы уменьшили цену в несколько раз, товар попадет в карантин цен",IF(IFERROR(VALUE(LEFT(M1387,FIND("-",M1387)-1)),M1387)*200&lt;=0,"Не сохранили изменения, чтобы защитить от ошибки — новые цены меньше текущих более чем в 2 раза. Снижайте их постепенно",IF(AND(IFERROR(VALUE(I1387),0)=0,ISNUMBER(J1387),OR(J1387&lt;444,ABS(IFERROR(VALUE(LEFT(M1387,FIND("-",M1387)-1)),M1387))*100&lt;44400)),"Проверьте цену товара. Большинство товаров в выбранной категории стоят дороже 444","")))))),"")</f>
      </c>
    </row>
    <row r="1388">
      <c r="A1388" s="2" t="inlineStr">
        <is>
          <t>Luxaro</t>
        </is>
      </c>
      <c r="B1388" s="2" t="inlineStr">
        <is>
          <t>Выпрямители волос</t>
        </is>
      </c>
      <c r="C1388" s="2">
        <v>326603636</v>
      </c>
      <c r="D1388" s="2" t="inlineStr">
        <is>
          <t>19551</t>
        </is>
      </c>
      <c r="E1388" s="2" t="inlineStr">
        <is>
          <t>2042761973184</t>
        </is>
      </c>
      <c r="F1388" s="2">
        <v>47</v>
      </c>
      <c r="G1388" s="2">
        <v>0</v>
      </c>
      <c r="H1388" s="2">
        <v>999</v>
      </c>
      <c r="I1388" s="2" t="inlineStr">
        <is>
          <t>6384</t>
        </is>
      </c>
      <c r="J1388" s="4"/>
      <c r="K1388" s="2">
        <v>81</v>
      </c>
      <c r="L1388" s="6"/>
      <c r="M1388" s="2" t="str">
        <f>IF(J1388="",ROUND(I1388*(1-IF(ISBLANK(L1388),K1388,L1388)/100),2),ROUND(J1388*(1-IF(ISBLANK(L1388),K1388,L1388)/100),2))</f>
      </c>
      <c r="N1388" s="7" t="str">
        <f>IF(NOT(AND(J1388="",L1388="")),IF(OR(AND(L1388&lt;&gt;"",NOT(ISNUMBER(L1388))),IFERROR(MOD(L1388,1),1)&gt;0,AND(ISNUMBER(L1388),OR(L1388&lt;0,L1388&gt;95))),"Введите целое число от 0 до 95",IF(OR(AND(J1388&lt;&gt;"",NOT(ISNUMBER(J1388))),IFERROR(MOD(J1388,1),1)&gt;0,AND(ISNUMBER(J1388),OR(J1388&lt;50,J1388&gt;20000000))),"Введите целое число от 50 до 20000000",IF(NOT(ABS(IFERROR(VALUE(LEFT(M1388,FIND("-",M1388)-1)),M1388)*100-(2500+2000000000)/2)&lt;=ABS(2500-2000000000)/2),"Цена со скидкой должна быть от 25 до 20000000",IF(AND(IFERROR(VALUE(LEFT(M1388,FIND("-",M1388)-1)),M1388)*150&lt;=121295,IFERROR(VALUE(LEFT(M1388,FIND("-",M1388)-1)),M1388)*200&gt;121295),"Вы уменьшили цену в несколько раз, товар попадет в карантин цен",IF(IFERROR(VALUE(LEFT(M1388,FIND("-",M1388)-1)),M1388)*200&lt;=121295,"Не сохранили изменения, чтобы защитить от ошибки — новые цены меньше текущих более чем в 2 раза. Снижайте их постепенно",IF(AND(IFERROR(VALUE(I1388),0)=0,ISNUMBER(J1388),OR(J1388&lt;467,ABS(IFERROR(VALUE(LEFT(M1388,FIND("-",M1388)-1)),M1388))*100&lt;46700)),"Проверьте цену товара. Большинство товаров в выбранной категории стоят дороже 467","")))))),"")</f>
      </c>
    </row>
    <row r="1389">
      <c r="A1389" s="2" t="inlineStr">
        <is>
          <t>Luxaro</t>
        </is>
      </c>
      <c r="B1389" s="2" t="inlineStr">
        <is>
          <t>Выпрямители волос</t>
        </is>
      </c>
      <c r="C1389" s="2">
        <v>600650241</v>
      </c>
      <c r="D1389" s="2" t="inlineStr">
        <is>
          <t>191204</t>
        </is>
      </c>
      <c r="E1389" s="2" t="inlineStr">
        <is>
          <t>2047106057864</t>
        </is>
      </c>
      <c r="F1389" s="2">
        <v>6</v>
      </c>
      <c r="G1389" s="2">
        <v>3</v>
      </c>
      <c r="H1389" s="2">
        <v>999</v>
      </c>
      <c r="I1389" s="2" t="inlineStr">
        <is>
          <t>8060</t>
        </is>
      </c>
      <c r="J1389" s="4"/>
      <c r="K1389" s="2">
        <v>80</v>
      </c>
      <c r="L1389" s="6"/>
      <c r="M1389" s="2" t="str">
        <f>IF(J1389="",ROUND(I1389*(1-IF(ISBLANK(L1389),K1389,L1389)/100),2),ROUND(J1389*(1-IF(ISBLANK(L1389),K1389,L1389)/100),2))</f>
      </c>
      <c r="N1389" s="7" t="str">
        <f>IF(NOT(AND(J1389="",L1389="")),IF(OR(AND(L1389&lt;&gt;"",NOT(ISNUMBER(L1389))),IFERROR(MOD(L1389,1),1)&gt;0,AND(ISNUMBER(L1389),OR(L1389&lt;0,L1389&gt;95))),"Введите целое число от 0 до 95",IF(OR(AND(J1389&lt;&gt;"",NOT(ISNUMBER(J1389))),IFERROR(MOD(J1389,1),1)&gt;0,AND(ISNUMBER(J1389),OR(J1389&lt;50,J1389&gt;20000000))),"Введите целое число от 50 до 20000000",IF(NOT(ABS(IFERROR(VALUE(LEFT(M1389,FIND("-",M1389)-1)),M1389)*100-(2500+2000000000)/2)&lt;=ABS(2500-2000000000)/2),"Цена со скидкой должна быть от 25 до 20000000",IF(AND(IFERROR(VALUE(LEFT(M1389,FIND("-",M1389)-1)),M1389)*150&lt;=161199,IFERROR(VALUE(LEFT(M1389,FIND("-",M1389)-1)),M1389)*200&gt;161199),"Вы уменьшили цену в несколько раз, товар попадет в карантин цен",IF(IFERROR(VALUE(LEFT(M1389,FIND("-",M1389)-1)),M1389)*200&lt;=161199,"Не сохранили изменения, чтобы защитить от ошибки — новые цены меньше текущих более чем в 2 раза. Снижайте их постепенно",IF(AND(IFERROR(VALUE(I1389),0)=0,ISNUMBER(J1389),OR(J1389&lt;467,ABS(IFERROR(VALUE(LEFT(M1389,FIND("-",M1389)-1)),M1389))*100&lt;46700)),"Проверьте цену товара. Большинство товаров в выбранной категории стоят дороже 467","")))))),"")</f>
      </c>
    </row>
    <row r="1390">
      <c r="A1390" s="2" t="inlineStr">
        <is>
          <t>Luxaro</t>
        </is>
      </c>
      <c r="B1390" s="2" t="inlineStr">
        <is>
          <t>Тарелки</t>
        </is>
      </c>
      <c r="C1390" s="2">
        <v>866577335</v>
      </c>
      <c r="D1390" s="2" t="inlineStr">
        <is>
          <t>14010</t>
        </is>
      </c>
      <c r="E1390" s="2" t="inlineStr">
        <is>
          <t>2049459720280</t>
        </is>
      </c>
      <c r="F1390" s="2">
        <v>132</v>
      </c>
      <c r="G1390" s="2">
        <v>9</v>
      </c>
      <c r="H1390" s="2">
        <v>132</v>
      </c>
      <c r="I1390" s="2" t="inlineStr">
        <is>
          <t>6632</t>
        </is>
      </c>
      <c r="J1390" s="4"/>
      <c r="K1390" s="2">
        <v>75</v>
      </c>
      <c r="L1390" s="6"/>
      <c r="M1390" s="2" t="str">
        <f>IF(J1390="",ROUND(I1390*(1-IF(ISBLANK(L1390),K1390,L1390)/100),2),ROUND(J1390*(1-IF(ISBLANK(L1390),K1390,L1390)/100),2))</f>
      </c>
      <c r="N1390" s="7" t="str">
        <f>IF(NOT(AND(J1390="",L1390="")),IF(OR(AND(L1390&lt;&gt;"",NOT(ISNUMBER(L1390))),IFERROR(MOD(L1390,1),1)&gt;0,AND(ISNUMBER(L1390),OR(L1390&lt;0,L1390&gt;95))),"Введите целое число от 0 до 95",IF(OR(AND(J1390&lt;&gt;"",NOT(ISNUMBER(J1390))),IFERROR(MOD(J1390,1),1)&gt;0,AND(ISNUMBER(J1390),OR(J1390&lt;50,J1390&gt;20000000))),"Введите целое число от 50 до 20000000",IF(NOT(ABS(IFERROR(VALUE(LEFT(M1390,FIND("-",M1390)-1)),M1390)*100-(2500+2000000000)/2)&lt;=ABS(2500-2000000000)/2),"Цена со скидкой должна быть от 25 до 20000000",IF(AND(IFERROR(VALUE(LEFT(M1390,FIND("-",M1390)-1)),M1390)*150&lt;=165800,IFERROR(VALUE(LEFT(M1390,FIND("-",M1390)-1)),M1390)*200&gt;165800),"Вы уменьшили цену в несколько раз, товар попадет в карантин цен",IF(IFERROR(VALUE(LEFT(M1390,FIND("-",M1390)-1)),M1390)*200&lt;=165800,"Не сохранили изменения, чтобы защитить от ошибки — новые цены меньше текущих более чем в 2 раза. Снижайте их постепенно",IF(AND(IFERROR(VALUE(I1390),0)=0,ISNUMBER(J1390),OR(J1390&lt;413,ABS(IFERROR(VALUE(LEFT(M1390,FIND("-",M1390)-1)),M1390))*100&lt;41300)),"Проверьте цену товара. Большинство товаров в выбранной категории стоят дороже 413","")))))),"")</f>
      </c>
    </row>
    <row r="1391">
      <c r="A1391" s="2" t="inlineStr">
        <is>
          <t/>
        </is>
      </c>
      <c r="B1391" s="2" t="inlineStr">
        <is>
          <t>Чайники заварочные</t>
        </is>
      </c>
      <c r="C1391" s="2">
        <v>729548457</v>
      </c>
      <c r="D1391" s="2" t="inlineStr">
        <is>
          <t>100730</t>
        </is>
      </c>
      <c r="E1391" s="2" t="inlineStr">
        <is>
          <t>2048083256233</t>
        </is>
      </c>
      <c r="F1391" s="2">
        <v>0</v>
      </c>
      <c r="G1391" s="2">
        <v>0</v>
      </c>
      <c r="H1391" s="2" t="inlineStr">
        <is>
          <t/>
        </is>
      </c>
      <c r="I1391" s="2" t="inlineStr">
        <is>
          <t>8365</t>
        </is>
      </c>
      <c r="J1391" s="4"/>
      <c r="K1391" s="2">
        <v>65</v>
      </c>
      <c r="L1391" s="6"/>
      <c r="M1391" s="2" t="str">
        <f>IF(J1391="",ROUND(I1391*(1-IF(ISBLANK(L1391),K1391,L1391)/100),2),ROUND(J1391*(1-IF(ISBLANK(L1391),K1391,L1391)/100),2))</f>
      </c>
      <c r="N1391" s="7" t="str">
        <f>IF(NOT(AND(J1391="",L1391="")),IF(OR(AND(L1391&lt;&gt;"",NOT(ISNUMBER(L1391))),IFERROR(MOD(L1391,1),1)&gt;0,AND(ISNUMBER(L1391),OR(L1391&lt;0,L1391&gt;95))),"Введите целое число от 0 до 95",IF(OR(AND(J1391&lt;&gt;"",NOT(ISNUMBER(J1391))),IFERROR(MOD(J1391,1),1)&gt;0,AND(ISNUMBER(J1391),OR(J1391&lt;50,J1391&gt;20000000))),"Введите целое число от 50 до 20000000",IF(NOT(ABS(IFERROR(VALUE(LEFT(M1391,FIND("-",M1391)-1)),M1391)*100-(2500+2000000000)/2)&lt;=ABS(2500-2000000000)/2),"Цена со скидкой должна быть от 25 до 20000000",IF(AND(IFERROR(VALUE(LEFT(M1391,FIND("-",M1391)-1)),M1391)*150&lt;=292775,IFERROR(VALUE(LEFT(M1391,FIND("-",M1391)-1)),M1391)*200&gt;292775),"Вы уменьшили цену в несколько раз, товар попадет в карантин цен",IF(IFERROR(VALUE(LEFT(M1391,FIND("-",M1391)-1)),M1391)*200&lt;=292775,"Не сохранили изменения, чтобы защитить от ошибки — новые цены меньше текущих более чем в 2 раза. Снижайте их постепенно",IF(AND(IFERROR(VALUE(I1391),0)=0,ISNUMBER(J1391),OR(J1391&lt;681,ABS(IFERROR(VALUE(LEFT(M1391,FIND("-",M1391)-1)),M1391))*100&lt;68100)),"Проверьте цену товара. Большинство товаров в выбранной категории стоят дороже 681","")))))),"")</f>
      </c>
    </row>
    <row r="1392">
      <c r="A1392" s="2" t="inlineStr">
        <is>
          <t>Luxaro</t>
        </is>
      </c>
      <c r="B1392" s="2" t="inlineStr">
        <is>
          <t>Выпрямители волос</t>
        </is>
      </c>
      <c r="C1392" s="2">
        <v>326603637</v>
      </c>
      <c r="D1392" s="2" t="inlineStr">
        <is>
          <t>192502</t>
        </is>
      </c>
      <c r="E1392" s="2" t="inlineStr">
        <is>
          <t>2042761974105</t>
        </is>
      </c>
      <c r="F1392" s="2">
        <v>50</v>
      </c>
      <c r="G1392" s="2">
        <v>0</v>
      </c>
      <c r="H1392" s="2">
        <v>999</v>
      </c>
      <c r="I1392" s="2" t="inlineStr">
        <is>
          <t>7250</t>
        </is>
      </c>
      <c r="J1392" s="4"/>
      <c r="K1392" s="2">
        <v>81</v>
      </c>
      <c r="L1392" s="6"/>
      <c r="M1392" s="2" t="str">
        <f>IF(J1392="",ROUND(I1392*(1-IF(ISBLANK(L1392),K1392,L1392)/100),2),ROUND(J1392*(1-IF(ISBLANK(L1392),K1392,L1392)/100),2))</f>
      </c>
      <c r="N1392" s="7" t="str">
        <f>IF(NOT(AND(J1392="",L1392="")),IF(OR(AND(L1392&lt;&gt;"",NOT(ISNUMBER(L1392))),IFERROR(MOD(L1392,1),1)&gt;0,AND(ISNUMBER(L1392),OR(L1392&lt;0,L1392&gt;95))),"Введите целое число от 0 до 95",IF(OR(AND(J1392&lt;&gt;"",NOT(ISNUMBER(J1392))),IFERROR(MOD(J1392,1),1)&gt;0,AND(ISNUMBER(J1392),OR(J1392&lt;50,J1392&gt;20000000))),"Введите целое число от 50 до 20000000",IF(NOT(ABS(IFERROR(VALUE(LEFT(M1392,FIND("-",M1392)-1)),M1392)*100-(2500+2000000000)/2)&lt;=ABS(2500-2000000000)/2),"Цена со скидкой должна быть от 25 до 20000000",IF(AND(IFERROR(VALUE(LEFT(M1392,FIND("-",M1392)-1)),M1392)*150&lt;=137749,IFERROR(VALUE(LEFT(M1392,FIND("-",M1392)-1)),M1392)*200&gt;137749),"Вы уменьшили цену в несколько раз, товар попадет в карантин цен",IF(IFERROR(VALUE(LEFT(M1392,FIND("-",M1392)-1)),M1392)*200&lt;=137749,"Не сохранили изменения, чтобы защитить от ошибки — новые цены меньше текущих более чем в 2 раза. Снижайте их постепенно",IF(AND(IFERROR(VALUE(I1392),0)=0,ISNUMBER(J1392),OR(J1392&lt;467,ABS(IFERROR(VALUE(LEFT(M1392,FIND("-",M1392)-1)),M1392))*100&lt;46700)),"Проверьте цену товара. Большинство товаров в выбранной категории стоят дороже 467","")))))),"")</f>
      </c>
    </row>
    <row r="1393">
      <c r="A1393" s="2" t="inlineStr">
        <is>
          <t/>
        </is>
      </c>
      <c r="B1393" s="2" t="inlineStr">
        <is>
          <t>Чайники заварочные</t>
        </is>
      </c>
      <c r="C1393" s="2">
        <v>729548462</v>
      </c>
      <c r="D1393" s="2" t="inlineStr">
        <is>
          <t>820976</t>
        </is>
      </c>
      <c r="E1393" s="2" t="inlineStr">
        <is>
          <t>2048083256318</t>
        </is>
      </c>
      <c r="F1393" s="2">
        <v>18</v>
      </c>
      <c r="G1393" s="2">
        <v>0</v>
      </c>
      <c r="H1393" s="2">
        <v>999</v>
      </c>
      <c r="I1393" s="2" t="inlineStr">
        <is>
          <t>7127</t>
        </is>
      </c>
      <c r="J1393" s="4"/>
      <c r="K1393" s="2">
        <v>81</v>
      </c>
      <c r="L1393" s="6"/>
      <c r="M1393" s="2" t="str">
        <f>IF(J1393="",ROUND(I1393*(1-IF(ISBLANK(L1393),K1393,L1393)/100),2),ROUND(J1393*(1-IF(ISBLANK(L1393),K1393,L1393)/100),2))</f>
      </c>
      <c r="N1393" s="7" t="str">
        <f>IF(NOT(AND(J1393="",L1393="")),IF(OR(AND(L1393&lt;&gt;"",NOT(ISNUMBER(L1393))),IFERROR(MOD(L1393,1),1)&gt;0,AND(ISNUMBER(L1393),OR(L1393&lt;0,L1393&gt;95))),"Введите целое число от 0 до 95",IF(OR(AND(J1393&lt;&gt;"",NOT(ISNUMBER(J1393))),IFERROR(MOD(J1393,1),1)&gt;0,AND(ISNUMBER(J1393),OR(J1393&lt;50,J1393&gt;20000000))),"Введите целое число от 50 до 20000000",IF(NOT(ABS(IFERROR(VALUE(LEFT(M1393,FIND("-",M1393)-1)),M1393)*100-(2500+2000000000)/2)&lt;=ABS(2500-2000000000)/2),"Цена со скидкой должна быть от 25 до 20000000",IF(AND(IFERROR(VALUE(LEFT(M1393,FIND("-",M1393)-1)),M1393)*150&lt;=135412,IFERROR(VALUE(LEFT(M1393,FIND("-",M1393)-1)),M1393)*200&gt;135412),"Вы уменьшили цену в несколько раз, товар попадет в карантин цен",IF(IFERROR(VALUE(LEFT(M1393,FIND("-",M1393)-1)),M1393)*200&lt;=135412,"Не сохранили изменения, чтобы защитить от ошибки — новые цены меньше текущих более чем в 2 раза. Снижайте их постепенно",IF(AND(IFERROR(VALUE(I1393),0)=0,ISNUMBER(J1393),OR(J1393&lt;681,ABS(IFERROR(VALUE(LEFT(M1393,FIND("-",M1393)-1)),M1393))*100&lt;68100)),"Проверьте цену товара. Большинство товаров в выбранной категории стоят дороже 681","")))))),"")</f>
      </c>
    </row>
    <row r="1394">
      <c r="A1394" s="2" t="inlineStr">
        <is>
          <t/>
        </is>
      </c>
      <c r="B1394" s="2" t="inlineStr">
        <is>
          <t>Чайники заварочные</t>
        </is>
      </c>
      <c r="C1394" s="2">
        <v>729548464</v>
      </c>
      <c r="D1394" s="2" t="inlineStr">
        <is>
          <t>821515</t>
        </is>
      </c>
      <c r="E1394" s="2" t="inlineStr">
        <is>
          <t>2048083256332</t>
        </is>
      </c>
      <c r="F1394" s="2">
        <v>0</v>
      </c>
      <c r="G1394" s="2">
        <v>14</v>
      </c>
      <c r="H1394" s="2" t="inlineStr">
        <is>
          <t/>
        </is>
      </c>
      <c r="I1394" s="2" t="inlineStr">
        <is>
          <t>7252</t>
        </is>
      </c>
      <c r="J1394" s="4"/>
      <c r="K1394" s="2">
        <v>78</v>
      </c>
      <c r="L1394" s="6"/>
      <c r="M1394" s="2" t="str">
        <f>IF(J1394="",ROUND(I1394*(1-IF(ISBLANK(L1394),K1394,L1394)/100),2),ROUND(J1394*(1-IF(ISBLANK(L1394),K1394,L1394)/100),2))</f>
      </c>
      <c r="N1394" s="7" t="str">
        <f>IF(NOT(AND(J1394="",L1394="")),IF(OR(AND(L1394&lt;&gt;"",NOT(ISNUMBER(L1394))),IFERROR(MOD(L1394,1),1)&gt;0,AND(ISNUMBER(L1394),OR(L1394&lt;0,L1394&gt;95))),"Введите целое число от 0 до 95",IF(OR(AND(J1394&lt;&gt;"",NOT(ISNUMBER(J1394))),IFERROR(MOD(J1394,1),1)&gt;0,AND(ISNUMBER(J1394),OR(J1394&lt;50,J1394&gt;20000000))),"Введите целое число от 50 до 20000000",IF(NOT(ABS(IFERROR(VALUE(LEFT(M1394,FIND("-",M1394)-1)),M1394)*100-(2500+2000000000)/2)&lt;=ABS(2500-2000000000)/2),"Цена со скидкой должна быть от 25 до 20000000",IF(AND(IFERROR(VALUE(LEFT(M1394,FIND("-",M1394)-1)),M1394)*150&lt;=159543,IFERROR(VALUE(LEFT(M1394,FIND("-",M1394)-1)),M1394)*200&gt;159543),"Вы уменьшили цену в несколько раз, товар попадет в карантин цен",IF(IFERROR(VALUE(LEFT(M1394,FIND("-",M1394)-1)),M1394)*200&lt;=159543,"Не сохранили изменения, чтобы защитить от ошибки — новые цены меньше текущих более чем в 2 раза. Снижайте их постепенно",IF(AND(IFERROR(VALUE(I1394),0)=0,ISNUMBER(J1394),OR(J1394&lt;681,ABS(IFERROR(VALUE(LEFT(M1394,FIND("-",M1394)-1)),M1394))*100&lt;68100)),"Проверьте цену товара. Большинство товаров в выбранной категории стоят дороже 681","")))))),"")</f>
      </c>
    </row>
    <row r="1395">
      <c r="A1395" s="2" t="inlineStr">
        <is>
          <t/>
        </is>
      </c>
      <c r="B1395" s="2" t="inlineStr">
        <is>
          <t>Чайники заварочные</t>
        </is>
      </c>
      <c r="C1395" s="2">
        <v>729548474</v>
      </c>
      <c r="D1395" s="2" t="inlineStr">
        <is>
          <t>192719</t>
        </is>
      </c>
      <c r="E1395" s="2" t="inlineStr">
        <is>
          <t>2048083256448</t>
        </is>
      </c>
      <c r="F1395" s="2">
        <v>0</v>
      </c>
      <c r="G1395" s="2">
        <v>1</v>
      </c>
      <c r="H1395" s="2" t="inlineStr">
        <is>
          <t/>
        </is>
      </c>
      <c r="I1395" s="2" t="inlineStr">
        <is>
          <t>11069</t>
        </is>
      </c>
      <c r="J1395" s="4"/>
      <c r="K1395" s="2">
        <v>76</v>
      </c>
      <c r="L1395" s="6"/>
      <c r="M1395" s="2" t="str">
        <f>IF(J1395="",ROUND(I1395*(1-IF(ISBLANK(L1395),K1395,L1395)/100),2),ROUND(J1395*(1-IF(ISBLANK(L1395),K1395,L1395)/100),2))</f>
      </c>
      <c r="N1395" s="7" t="str">
        <f>IF(NOT(AND(J1395="",L1395="")),IF(OR(AND(L1395&lt;&gt;"",NOT(ISNUMBER(L1395))),IFERROR(MOD(L1395,1),1)&gt;0,AND(ISNUMBER(L1395),OR(L1395&lt;0,L1395&gt;95))),"Введите целое число от 0 до 95",IF(OR(AND(J1395&lt;&gt;"",NOT(ISNUMBER(J1395))),IFERROR(MOD(J1395,1),1)&gt;0,AND(ISNUMBER(J1395),OR(J1395&lt;50,J1395&gt;20000000))),"Введите целое число от 50 до 20000000",IF(NOT(ABS(IFERROR(VALUE(LEFT(M1395,FIND("-",M1395)-1)),M1395)*100-(2500+2000000000)/2)&lt;=ABS(2500-2000000000)/2),"Цена со скидкой должна быть от 25 до 20000000",IF(AND(IFERROR(VALUE(LEFT(M1395,FIND("-",M1395)-1)),M1395)*150&lt;=265656,IFERROR(VALUE(LEFT(M1395,FIND("-",M1395)-1)),M1395)*200&gt;265656),"Вы уменьшили цену в несколько раз, товар попадет в карантин цен",IF(IFERROR(VALUE(LEFT(M1395,FIND("-",M1395)-1)),M1395)*200&lt;=265656,"Не сохранили изменения, чтобы защитить от ошибки — новые цены меньше текущих более чем в 2 раза. Снижайте их постепенно",IF(AND(IFERROR(VALUE(I1395),0)=0,ISNUMBER(J1395),OR(J1395&lt;681,ABS(IFERROR(VALUE(LEFT(M1395,FIND("-",M1395)-1)),M1395))*100&lt;68100)),"Проверьте цену товара. Большинство товаров в выбранной категории стоят дороже 681","")))))),"")</f>
      </c>
    </row>
    <row r="1396">
      <c r="A1396" s="2" t="inlineStr">
        <is>
          <t/>
        </is>
      </c>
      <c r="B1396" s="2" t="inlineStr">
        <is>
          <t>Чайники заварочные</t>
        </is>
      </c>
      <c r="C1396" s="2">
        <v>729548701</v>
      </c>
      <c r="D1396" s="2" t="inlineStr">
        <is>
          <t>28958</t>
        </is>
      </c>
      <c r="E1396" s="2" t="inlineStr">
        <is>
          <t>2048083257735</t>
        </is>
      </c>
      <c r="F1396" s="2">
        <v>45</v>
      </c>
      <c r="G1396" s="2">
        <v>23</v>
      </c>
      <c r="H1396" s="2">
        <v>999</v>
      </c>
      <c r="I1396" s="2" t="inlineStr">
        <is>
          <t>4800</t>
        </is>
      </c>
      <c r="J1396" s="4"/>
      <c r="K1396" s="2">
        <v>83</v>
      </c>
      <c r="L1396" s="6"/>
      <c r="M1396" s="2" t="str">
        <f>IF(J1396="",ROUND(I1396*(1-IF(ISBLANK(L1396),K1396,L1396)/100),2),ROUND(J1396*(1-IF(ISBLANK(L1396),K1396,L1396)/100),2))</f>
      </c>
      <c r="N1396" s="7" t="str">
        <f>IF(NOT(AND(J1396="",L1396="")),IF(OR(AND(L1396&lt;&gt;"",NOT(ISNUMBER(L1396))),IFERROR(MOD(L1396,1),1)&gt;0,AND(ISNUMBER(L1396),OR(L1396&lt;0,L1396&gt;95))),"Введите целое число от 0 до 95",IF(OR(AND(J1396&lt;&gt;"",NOT(ISNUMBER(J1396))),IFERROR(MOD(J1396,1),1)&gt;0,AND(ISNUMBER(J1396),OR(J1396&lt;50,J1396&gt;20000000))),"Введите целое число от 50 до 20000000",IF(NOT(ABS(IFERROR(VALUE(LEFT(M1396,FIND("-",M1396)-1)),M1396)*100-(2500+2000000000)/2)&lt;=ABS(2500-2000000000)/2),"Цена со скидкой должна быть от 25 до 20000000",IF(AND(IFERROR(VALUE(LEFT(M1396,FIND("-",M1396)-1)),M1396)*150&lt;=81600,IFERROR(VALUE(LEFT(M1396,FIND("-",M1396)-1)),M1396)*200&gt;81600),"Вы уменьшили цену в несколько раз, товар попадет в карантин цен",IF(IFERROR(VALUE(LEFT(M1396,FIND("-",M1396)-1)),M1396)*200&lt;=81600,"Не сохранили изменения, чтобы защитить от ошибки — новые цены меньше текущих более чем в 2 раза. Снижайте их постепенно",IF(AND(IFERROR(VALUE(I1396),0)=0,ISNUMBER(J1396),OR(J1396&lt;681,ABS(IFERROR(VALUE(LEFT(M1396,FIND("-",M1396)-1)),M1396))*100&lt;68100)),"Проверьте цену товара. Большинство товаров в выбранной категории стоят дороже 681","")))))),"")</f>
      </c>
    </row>
    <row r="1397">
      <c r="A1397" s="2" t="inlineStr">
        <is>
          <t/>
        </is>
      </c>
      <c r="B1397" s="2" t="inlineStr">
        <is>
          <t>Чайники заварочные</t>
        </is>
      </c>
      <c r="C1397" s="2">
        <v>729548473</v>
      </c>
      <c r="D1397" s="2" t="inlineStr">
        <is>
          <t>283306</t>
        </is>
      </c>
      <c r="E1397" s="2" t="inlineStr">
        <is>
          <t>2048083256431</t>
        </is>
      </c>
      <c r="F1397" s="2">
        <v>7</v>
      </c>
      <c r="G1397" s="2">
        <v>0</v>
      </c>
      <c r="H1397" s="2">
        <v>999</v>
      </c>
      <c r="I1397" s="2" t="inlineStr">
        <is>
          <t>8284</t>
        </is>
      </c>
      <c r="J1397" s="4"/>
      <c r="K1397" s="2">
        <v>80</v>
      </c>
      <c r="L1397" s="6"/>
      <c r="M1397" s="2" t="str">
        <f>IF(J1397="",ROUND(I1397*(1-IF(ISBLANK(L1397),K1397,L1397)/100),2),ROUND(J1397*(1-IF(ISBLANK(L1397),K1397,L1397)/100),2))</f>
      </c>
      <c r="N1397" s="7" t="str">
        <f>IF(NOT(AND(J1397="",L1397="")),IF(OR(AND(L1397&lt;&gt;"",NOT(ISNUMBER(L1397))),IFERROR(MOD(L1397,1),1)&gt;0,AND(ISNUMBER(L1397),OR(L1397&lt;0,L1397&gt;95))),"Введите целое число от 0 до 95",IF(OR(AND(J1397&lt;&gt;"",NOT(ISNUMBER(J1397))),IFERROR(MOD(J1397,1),1)&gt;0,AND(ISNUMBER(J1397),OR(J1397&lt;50,J1397&gt;20000000))),"Введите целое число от 50 до 20000000",IF(NOT(ABS(IFERROR(VALUE(LEFT(M1397,FIND("-",M1397)-1)),M1397)*100-(2500+2000000000)/2)&lt;=ABS(2500-2000000000)/2),"Цена со скидкой должна быть от 25 до 20000000",IF(AND(IFERROR(VALUE(LEFT(M1397,FIND("-",M1397)-1)),M1397)*150&lt;=165679,IFERROR(VALUE(LEFT(M1397,FIND("-",M1397)-1)),M1397)*200&gt;165679),"Вы уменьшили цену в несколько раз, товар попадет в карантин цен",IF(IFERROR(VALUE(LEFT(M1397,FIND("-",M1397)-1)),M1397)*200&lt;=165679,"Не сохранили изменения, чтобы защитить от ошибки — новые цены меньше текущих более чем в 2 раза. Снижайте их постепенно",IF(AND(IFERROR(VALUE(I1397),0)=0,ISNUMBER(J1397),OR(J1397&lt;681,ABS(IFERROR(VALUE(LEFT(M1397,FIND("-",M1397)-1)),M1397))*100&lt;68100)),"Проверьте цену товара. Большинство товаров в выбранной категории стоят дороже 681","")))))),"")</f>
      </c>
    </row>
    <row r="1398">
      <c r="A1398" s="2" t="inlineStr">
        <is>
          <t/>
        </is>
      </c>
      <c r="B1398" s="2" t="inlineStr">
        <is>
          <t>Чайники заварочные</t>
        </is>
      </c>
      <c r="C1398" s="2">
        <v>729548698</v>
      </c>
      <c r="D1398" s="2" t="inlineStr">
        <is>
          <t>283509</t>
        </is>
      </c>
      <c r="E1398" s="2" t="inlineStr">
        <is>
          <t>2048083257698</t>
        </is>
      </c>
      <c r="F1398" s="2">
        <v>9</v>
      </c>
      <c r="G1398" s="2">
        <v>0</v>
      </c>
      <c r="H1398" s="2">
        <v>999</v>
      </c>
      <c r="I1398" s="2" t="inlineStr">
        <is>
          <t>6088</t>
        </is>
      </c>
      <c r="J1398" s="4"/>
      <c r="K1398" s="2">
        <v>80</v>
      </c>
      <c r="L1398" s="6"/>
      <c r="M1398" s="2" t="str">
        <f>IF(J1398="",ROUND(I1398*(1-IF(ISBLANK(L1398),K1398,L1398)/100),2),ROUND(J1398*(1-IF(ISBLANK(L1398),K1398,L1398)/100),2))</f>
      </c>
      <c r="N1398" s="7" t="str">
        <f>IF(NOT(AND(J1398="",L1398="")),IF(OR(AND(L1398&lt;&gt;"",NOT(ISNUMBER(L1398))),IFERROR(MOD(L1398,1),1)&gt;0,AND(ISNUMBER(L1398),OR(L1398&lt;0,L1398&gt;95))),"Введите целое число от 0 до 95",IF(OR(AND(J1398&lt;&gt;"",NOT(ISNUMBER(J1398))),IFERROR(MOD(J1398,1),1)&gt;0,AND(ISNUMBER(J1398),OR(J1398&lt;50,J1398&gt;20000000))),"Введите целое число от 50 до 20000000",IF(NOT(ABS(IFERROR(VALUE(LEFT(M1398,FIND("-",M1398)-1)),M1398)*100-(2500+2000000000)/2)&lt;=ABS(2500-2000000000)/2),"Цена со скидкой должна быть от 25 до 20000000",IF(AND(IFERROR(VALUE(LEFT(M1398,FIND("-",M1398)-1)),M1398)*150&lt;=121759,IFERROR(VALUE(LEFT(M1398,FIND("-",M1398)-1)),M1398)*200&gt;121759),"Вы уменьшили цену в несколько раз, товар попадет в карантин цен",IF(IFERROR(VALUE(LEFT(M1398,FIND("-",M1398)-1)),M1398)*200&lt;=121759,"Не сохранили изменения, чтобы защитить от ошибки — новые цены меньше текущих более чем в 2 раза. Снижайте их постепенно",IF(AND(IFERROR(VALUE(I1398),0)=0,ISNUMBER(J1398),OR(J1398&lt;681,ABS(IFERROR(VALUE(LEFT(M1398,FIND("-",M1398)-1)),M1398))*100&lt;68100)),"Проверьте цену товара. Большинство товаров в выбранной категории стоят дороже 681","")))))),"")</f>
      </c>
    </row>
    <row r="1399">
      <c r="A1399" s="2" t="inlineStr">
        <is>
          <t/>
        </is>
      </c>
      <c r="B1399" s="2" t="inlineStr">
        <is>
          <t>Чайники заварочные</t>
        </is>
      </c>
      <c r="C1399" s="2">
        <v>729548469</v>
      </c>
      <c r="D1399" s="2" t="inlineStr">
        <is>
          <t>100608</t>
        </is>
      </c>
      <c r="E1399" s="2" t="inlineStr">
        <is>
          <t>2048083256394</t>
        </is>
      </c>
      <c r="F1399" s="2">
        <v>21</v>
      </c>
      <c r="G1399" s="2">
        <v>14</v>
      </c>
      <c r="H1399" s="2">
        <v>654</v>
      </c>
      <c r="I1399" s="2" t="inlineStr">
        <is>
          <t>7673</t>
        </is>
      </c>
      <c r="J1399" s="4"/>
      <c r="K1399" s="2">
        <v>82</v>
      </c>
      <c r="L1399" s="6"/>
      <c r="M1399" s="2" t="str">
        <f>IF(J1399="",ROUND(I1399*(1-IF(ISBLANK(L1399),K1399,L1399)/100),2),ROUND(J1399*(1-IF(ISBLANK(L1399),K1399,L1399)/100),2))</f>
      </c>
      <c r="N1399" s="7" t="str">
        <f>IF(NOT(AND(J1399="",L1399="")),IF(OR(AND(L1399&lt;&gt;"",NOT(ISNUMBER(L1399))),IFERROR(MOD(L1399,1),1)&gt;0,AND(ISNUMBER(L1399),OR(L1399&lt;0,L1399&gt;95))),"Введите целое число от 0 до 95",IF(OR(AND(J1399&lt;&gt;"",NOT(ISNUMBER(J1399))),IFERROR(MOD(J1399,1),1)&gt;0,AND(ISNUMBER(J1399),OR(J1399&lt;50,J1399&gt;20000000))),"Введите целое число от 50 до 20000000",IF(NOT(ABS(IFERROR(VALUE(LEFT(M1399,FIND("-",M1399)-1)),M1399)*100-(2500+2000000000)/2)&lt;=ABS(2500-2000000000)/2),"Цена со скидкой должна быть от 25 до 20000000",IF(AND(IFERROR(VALUE(LEFT(M1399,FIND("-",M1399)-1)),M1399)*150&lt;=138114,IFERROR(VALUE(LEFT(M1399,FIND("-",M1399)-1)),M1399)*200&gt;138114),"Вы уменьшили цену в несколько раз, товар попадет в карантин цен",IF(IFERROR(VALUE(LEFT(M1399,FIND("-",M1399)-1)),M1399)*200&lt;=138114,"Не сохранили изменения, чтобы защитить от ошибки — новые цены меньше текущих более чем в 2 раза. Снижайте их постепенно",IF(AND(IFERROR(VALUE(I1399),0)=0,ISNUMBER(J1399),OR(J1399&lt;681,ABS(IFERROR(VALUE(LEFT(M1399,FIND("-",M1399)-1)),M1399))*100&lt;68100)),"Проверьте цену товара. Большинство товаров в выбранной категории стоят дороже 681","")))))),"")</f>
      </c>
    </row>
    <row r="1400">
      <c r="A1400" s="2" t="inlineStr">
        <is>
          <t/>
        </is>
      </c>
      <c r="B1400" s="2" t="inlineStr">
        <is>
          <t>Чайники заварочные</t>
        </is>
      </c>
      <c r="C1400" s="2">
        <v>729548702</v>
      </c>
      <c r="D1400" s="2" t="inlineStr">
        <is>
          <t>283381</t>
        </is>
      </c>
      <c r="E1400" s="2" t="inlineStr">
        <is>
          <t>2048083257742</t>
        </is>
      </c>
      <c r="F1400" s="2">
        <v>0</v>
      </c>
      <c r="G1400" s="2">
        <v>0</v>
      </c>
      <c r="H1400" s="2">
        <v>1</v>
      </c>
      <c r="I1400" s="2" t="inlineStr">
        <is>
          <t>5421</t>
        </is>
      </c>
      <c r="J1400" s="4"/>
      <c r="K1400" s="2">
        <v>65</v>
      </c>
      <c r="L1400" s="6"/>
      <c r="M1400" s="2" t="str">
        <f>IF(J1400="",ROUND(I1400*(1-IF(ISBLANK(L1400),K1400,L1400)/100),2),ROUND(J1400*(1-IF(ISBLANK(L1400),K1400,L1400)/100),2))</f>
      </c>
      <c r="N1400" s="7" t="str">
        <f>IF(NOT(AND(J1400="",L1400="")),IF(OR(AND(L1400&lt;&gt;"",NOT(ISNUMBER(L1400))),IFERROR(MOD(L1400,1),1)&gt;0,AND(ISNUMBER(L1400),OR(L1400&lt;0,L1400&gt;95))),"Введите целое число от 0 до 95",IF(OR(AND(J1400&lt;&gt;"",NOT(ISNUMBER(J1400))),IFERROR(MOD(J1400,1),1)&gt;0,AND(ISNUMBER(J1400),OR(J1400&lt;50,J1400&gt;20000000))),"Введите целое число от 50 до 20000000",IF(NOT(ABS(IFERROR(VALUE(LEFT(M1400,FIND("-",M1400)-1)),M1400)*100-(2500+2000000000)/2)&lt;=ABS(2500-2000000000)/2),"Цена со скидкой должна быть от 25 до 20000000",IF(AND(IFERROR(VALUE(LEFT(M1400,FIND("-",M1400)-1)),M1400)*150&lt;=189735,IFERROR(VALUE(LEFT(M1400,FIND("-",M1400)-1)),M1400)*200&gt;189735),"Вы уменьшили цену в несколько раз, товар попадет в карантин цен",IF(IFERROR(VALUE(LEFT(M1400,FIND("-",M1400)-1)),M1400)*200&lt;=189735,"Не сохранили изменения, чтобы защитить от ошибки — новые цены меньше текущих более чем в 2 раза. Снижайте их постепенно",IF(AND(IFERROR(VALUE(I1400),0)=0,ISNUMBER(J1400),OR(J1400&lt;681,ABS(IFERROR(VALUE(LEFT(M1400,FIND("-",M1400)-1)),M1400))*100&lt;68100)),"Проверьте цену товара. Большинство товаров в выбранной категории стоят дороже 681","")))))),"")</f>
      </c>
    </row>
    <row r="1401">
      <c r="A1401" s="2" t="inlineStr">
        <is>
          <t/>
        </is>
      </c>
      <c r="B1401" s="2" t="inlineStr">
        <is>
          <t>Шторы для ванной</t>
        </is>
      </c>
      <c r="C1401" s="2">
        <v>903254961</v>
      </c>
      <c r="D1401" s="2" t="inlineStr">
        <is>
          <t>420644</t>
        </is>
      </c>
      <c r="E1401" s="2" t="inlineStr">
        <is>
          <t>4670294458441</t>
        </is>
      </c>
      <c r="F1401" s="2">
        <v>9</v>
      </c>
      <c r="G1401" s="2">
        <v>40</v>
      </c>
      <c r="H1401" s="2">
        <v>999</v>
      </c>
      <c r="I1401" s="2" t="inlineStr">
        <is>
          <t>3882</t>
        </is>
      </c>
      <c r="J1401" s="4"/>
      <c r="K1401" s="2">
        <v>80</v>
      </c>
      <c r="L1401" s="6"/>
      <c r="M1401" s="2" t="str">
        <f>IF(J1401="",ROUND(I1401*(1-IF(ISBLANK(L1401),K1401,L1401)/100),2),ROUND(J1401*(1-IF(ISBLANK(L1401),K1401,L1401)/100),2))</f>
      </c>
      <c r="N1401" s="7" t="str">
        <f>IF(NOT(AND(J1401="",L1401="")),IF(OR(AND(L1401&lt;&gt;"",NOT(ISNUMBER(L1401))),IFERROR(MOD(L1401,1),1)&gt;0,AND(ISNUMBER(L1401),OR(L1401&lt;0,L1401&gt;95))),"Введите целое число от 0 до 95",IF(OR(AND(J1401&lt;&gt;"",NOT(ISNUMBER(J1401))),IFERROR(MOD(J1401,1),1)&gt;0,AND(ISNUMBER(J1401),OR(J1401&lt;50,J1401&gt;20000000))),"Введите целое число от 50 до 20000000",IF(NOT(ABS(IFERROR(VALUE(LEFT(M1401,FIND("-",M1401)-1)),M1401)*100-(2500+2000000000)/2)&lt;=ABS(2500-2000000000)/2),"Цена со скидкой должна быть от 25 до 20000000",IF(AND(IFERROR(VALUE(LEFT(M1401,FIND("-",M1401)-1)),M1401)*150&lt;=77639,IFERROR(VALUE(LEFT(M1401,FIND("-",M1401)-1)),M1401)*200&gt;77639),"Вы уменьшили цену в несколько раз, товар попадет в карантин цен",IF(IFERROR(VALUE(LEFT(M1401,FIND("-",M1401)-1)),M1401)*200&lt;=77639,"Не сохранили изменения, чтобы защитить от ошибки — новые цены меньше текущих более чем в 2 раза. Снижайте их постепенно",IF(AND(IFERROR(VALUE(I1401),0)=0,ISNUMBER(J1401),OR(J1401&lt;491,ABS(IFERROR(VALUE(LEFT(M1401,FIND("-",M1401)-1)),M1401))*100&lt;49100)),"Проверьте цену товара. Большинство товаров в выбранной категории стоят дороже 491","")))))),"")</f>
      </c>
    </row>
    <row r="1402">
      <c r="A1402" s="2" t="inlineStr">
        <is>
          <t/>
        </is>
      </c>
      <c r="B1402" s="2" t="inlineStr">
        <is>
          <t>Чайники заварочные</t>
        </is>
      </c>
      <c r="C1402" s="2">
        <v>766447552</v>
      </c>
      <c r="D1402" s="2" t="inlineStr">
        <is>
          <t>100518</t>
        </is>
      </c>
      <c r="E1402" s="2" t="inlineStr">
        <is>
          <t>2048433903671</t>
        </is>
      </c>
      <c r="F1402" s="2">
        <v>9</v>
      </c>
      <c r="G1402" s="2">
        <v>0</v>
      </c>
      <c r="H1402" s="2">
        <v>999</v>
      </c>
      <c r="I1402" s="2" t="inlineStr">
        <is>
          <t>8213</t>
        </is>
      </c>
      <c r="J1402" s="4"/>
      <c r="K1402" s="2">
        <v>80</v>
      </c>
      <c r="L1402" s="6"/>
      <c r="M1402" s="2" t="str">
        <f>IF(J1402="",ROUND(I1402*(1-IF(ISBLANK(L1402),K1402,L1402)/100),2),ROUND(J1402*(1-IF(ISBLANK(L1402),K1402,L1402)/100),2))</f>
      </c>
      <c r="N1402" s="7" t="str">
        <f>IF(NOT(AND(J1402="",L1402="")),IF(OR(AND(L1402&lt;&gt;"",NOT(ISNUMBER(L1402))),IFERROR(MOD(L1402,1),1)&gt;0,AND(ISNUMBER(L1402),OR(L1402&lt;0,L1402&gt;95))),"Введите целое число от 0 до 95",IF(OR(AND(J1402&lt;&gt;"",NOT(ISNUMBER(J1402))),IFERROR(MOD(J1402,1),1)&gt;0,AND(ISNUMBER(J1402),OR(J1402&lt;50,J1402&gt;20000000))),"Введите целое число от 50 до 20000000",IF(NOT(ABS(IFERROR(VALUE(LEFT(M1402,FIND("-",M1402)-1)),M1402)*100-(2500+2000000000)/2)&lt;=ABS(2500-2000000000)/2),"Цена со скидкой должна быть от 25 до 20000000",IF(AND(IFERROR(VALUE(LEFT(M1402,FIND("-",M1402)-1)),M1402)*150&lt;=164259,IFERROR(VALUE(LEFT(M1402,FIND("-",M1402)-1)),M1402)*200&gt;164259),"Вы уменьшили цену в несколько раз, товар попадет в карантин цен",IF(IFERROR(VALUE(LEFT(M1402,FIND("-",M1402)-1)),M1402)*200&lt;=164259,"Не сохранили изменения, чтобы защитить от ошибки — новые цены меньше текущих более чем в 2 раза. Снижайте их постепенно",IF(AND(IFERROR(VALUE(I1402),0)=0,ISNUMBER(J1402),OR(J1402&lt;681,ABS(IFERROR(VALUE(LEFT(M1402,FIND("-",M1402)-1)),M1402))*100&lt;68100)),"Проверьте цену товара. Большинство товаров в выбранной категории стоят дороже 681","")))))),"")</f>
      </c>
    </row>
    <row r="1403">
      <c r="A1403" s="2" t="inlineStr">
        <is>
          <t/>
        </is>
      </c>
      <c r="B1403" s="2" t="inlineStr">
        <is>
          <t>Чайники заварочные</t>
        </is>
      </c>
      <c r="C1403" s="2">
        <v>729548459</v>
      </c>
      <c r="D1403" s="2" t="inlineStr">
        <is>
          <t>821550</t>
        </is>
      </c>
      <c r="E1403" s="2" t="inlineStr">
        <is>
          <t>2048083256264</t>
        </is>
      </c>
      <c r="F1403" s="2">
        <v>0</v>
      </c>
      <c r="G1403" s="2">
        <v>7</v>
      </c>
      <c r="H1403" s="2" t="inlineStr">
        <is>
          <t/>
        </is>
      </c>
      <c r="I1403" s="2" t="inlineStr">
        <is>
          <t>7078</t>
        </is>
      </c>
      <c r="J1403" s="4"/>
      <c r="K1403" s="2">
        <v>78</v>
      </c>
      <c r="L1403" s="6"/>
      <c r="M1403" s="2" t="str">
        <f>IF(J1403="",ROUND(I1403*(1-IF(ISBLANK(L1403),K1403,L1403)/100),2),ROUND(J1403*(1-IF(ISBLANK(L1403),K1403,L1403)/100),2))</f>
      </c>
      <c r="N1403" s="7" t="str">
        <f>IF(NOT(AND(J1403="",L1403="")),IF(OR(AND(L1403&lt;&gt;"",NOT(ISNUMBER(L1403))),IFERROR(MOD(L1403,1),1)&gt;0,AND(ISNUMBER(L1403),OR(L1403&lt;0,L1403&gt;95))),"Введите целое число от 0 до 95",IF(OR(AND(J1403&lt;&gt;"",NOT(ISNUMBER(J1403))),IFERROR(MOD(J1403,1),1)&gt;0,AND(ISNUMBER(J1403),OR(J1403&lt;50,J1403&gt;20000000))),"Введите целое число от 50 до 20000000",IF(NOT(ABS(IFERROR(VALUE(LEFT(M1403,FIND("-",M1403)-1)),M1403)*100-(2500+2000000000)/2)&lt;=ABS(2500-2000000000)/2),"Цена со скидкой должна быть от 25 до 20000000",IF(AND(IFERROR(VALUE(LEFT(M1403,FIND("-",M1403)-1)),M1403)*150&lt;=155716,IFERROR(VALUE(LEFT(M1403,FIND("-",M1403)-1)),M1403)*200&gt;155716),"Вы уменьшили цену в несколько раз, товар попадет в карантин цен",IF(IFERROR(VALUE(LEFT(M1403,FIND("-",M1403)-1)),M1403)*200&lt;=155716,"Не сохранили изменения, чтобы защитить от ошибки — новые цены меньше текущих более чем в 2 раза. Снижайте их постепенно",IF(AND(IFERROR(VALUE(I1403),0)=0,ISNUMBER(J1403),OR(J1403&lt;681,ABS(IFERROR(VALUE(LEFT(M1403,FIND("-",M1403)-1)),M1403))*100&lt;68100)),"Проверьте цену товара. Большинство товаров в выбранной категории стоят дороже 681","")))))),"")</f>
      </c>
    </row>
    <row r="1404">
      <c r="A1404" s="2" t="inlineStr">
        <is>
          <t/>
        </is>
      </c>
      <c r="B1404" s="2" t="inlineStr">
        <is>
          <t>Чайники заварочные</t>
        </is>
      </c>
      <c r="C1404" s="2">
        <v>729548707</v>
      </c>
      <c r="D1404" s="2" t="inlineStr">
        <is>
          <t>283511</t>
        </is>
      </c>
      <c r="E1404" s="2" t="inlineStr">
        <is>
          <t>2048083257803</t>
        </is>
      </c>
      <c r="F1404" s="2">
        <v>0</v>
      </c>
      <c r="G1404" s="2">
        <v>10</v>
      </c>
      <c r="H1404" s="2" t="inlineStr">
        <is>
          <t/>
        </is>
      </c>
      <c r="I1404" s="2" t="inlineStr">
        <is>
          <t>8478</t>
        </is>
      </c>
      <c r="J1404" s="4"/>
      <c r="K1404" s="2">
        <v>78</v>
      </c>
      <c r="L1404" s="6"/>
      <c r="M1404" s="2" t="str">
        <f>IF(J1404="",ROUND(I1404*(1-IF(ISBLANK(L1404),K1404,L1404)/100),2),ROUND(J1404*(1-IF(ISBLANK(L1404),K1404,L1404)/100),2))</f>
      </c>
      <c r="N1404" s="7" t="str">
        <f>IF(NOT(AND(J1404="",L1404="")),IF(OR(AND(L1404&lt;&gt;"",NOT(ISNUMBER(L1404))),IFERROR(MOD(L1404,1),1)&gt;0,AND(ISNUMBER(L1404),OR(L1404&lt;0,L1404&gt;95))),"Введите целое число от 0 до 95",IF(OR(AND(J1404&lt;&gt;"",NOT(ISNUMBER(J1404))),IFERROR(MOD(J1404,1),1)&gt;0,AND(ISNUMBER(J1404),OR(J1404&lt;50,J1404&gt;20000000))),"Введите целое число от 50 до 20000000",IF(NOT(ABS(IFERROR(VALUE(LEFT(M1404,FIND("-",M1404)-1)),M1404)*100-(2500+2000000000)/2)&lt;=ABS(2500-2000000000)/2),"Цена со скидкой должна быть от 25 до 20000000",IF(AND(IFERROR(VALUE(LEFT(M1404,FIND("-",M1404)-1)),M1404)*150&lt;=186516,IFERROR(VALUE(LEFT(M1404,FIND("-",M1404)-1)),M1404)*200&gt;186516),"Вы уменьшили цену в несколько раз, товар попадет в карантин цен",IF(IFERROR(VALUE(LEFT(M1404,FIND("-",M1404)-1)),M1404)*200&lt;=186516,"Не сохранили изменения, чтобы защитить от ошибки — новые цены меньше текущих более чем в 2 раза. Снижайте их постепенно",IF(AND(IFERROR(VALUE(I1404),0)=0,ISNUMBER(J1404),OR(J1404&lt;681,ABS(IFERROR(VALUE(LEFT(M1404,FIND("-",M1404)-1)),M1404))*100&lt;68100)),"Проверьте цену товара. Большинство товаров в выбранной категории стоят дороже 681","")))))),"")</f>
      </c>
    </row>
    <row r="1405">
      <c r="A1405" s="2" t="inlineStr">
        <is>
          <t/>
        </is>
      </c>
      <c r="B1405" s="2" t="inlineStr">
        <is>
          <t>Шторы для ванной</t>
        </is>
      </c>
      <c r="C1405" s="2">
        <v>766623314</v>
      </c>
      <c r="D1405" s="2" t="inlineStr">
        <is>
          <t>420523</t>
        </is>
      </c>
      <c r="E1405" s="2" t="inlineStr">
        <is>
          <t>2048435361912</t>
        </is>
      </c>
      <c r="F1405" s="2">
        <v>19</v>
      </c>
      <c r="G1405" s="2">
        <v>49</v>
      </c>
      <c r="H1405" s="2">
        <v>999</v>
      </c>
      <c r="I1405" s="2" t="inlineStr">
        <is>
          <t>4629</t>
        </is>
      </c>
      <c r="J1405" s="4"/>
      <c r="K1405" s="2">
        <v>81</v>
      </c>
      <c r="L1405" s="6"/>
      <c r="M1405" s="2" t="str">
        <f>IF(J1405="",ROUND(I1405*(1-IF(ISBLANK(L1405),K1405,L1405)/100),2),ROUND(J1405*(1-IF(ISBLANK(L1405),K1405,L1405)/100),2))</f>
      </c>
      <c r="N1405" s="7" t="str">
        <f>IF(NOT(AND(J1405="",L1405="")),IF(OR(AND(L1405&lt;&gt;"",NOT(ISNUMBER(L1405))),IFERROR(MOD(L1405,1),1)&gt;0,AND(ISNUMBER(L1405),OR(L1405&lt;0,L1405&gt;95))),"Введите целое число от 0 до 95",IF(OR(AND(J1405&lt;&gt;"",NOT(ISNUMBER(J1405))),IFERROR(MOD(J1405,1),1)&gt;0,AND(ISNUMBER(J1405),OR(J1405&lt;50,J1405&gt;20000000))),"Введите целое число от 50 до 20000000",IF(NOT(ABS(IFERROR(VALUE(LEFT(M1405,FIND("-",M1405)-1)),M1405)*100-(2500+2000000000)/2)&lt;=ABS(2500-2000000000)/2),"Цена со скидкой должна быть от 25 до 20000000",IF(AND(IFERROR(VALUE(LEFT(M1405,FIND("-",M1405)-1)),M1405)*150&lt;=87950,IFERROR(VALUE(LEFT(M1405,FIND("-",M1405)-1)),M1405)*200&gt;87950),"Вы уменьшили цену в несколько раз, товар попадет в карантин цен",IF(IFERROR(VALUE(LEFT(M1405,FIND("-",M1405)-1)),M1405)*200&lt;=87950,"Не сохранили изменения, чтобы защитить от ошибки — новые цены меньше текущих более чем в 2 раза. Снижайте их постепенно",IF(AND(IFERROR(VALUE(I1405),0)=0,ISNUMBER(J1405),OR(J1405&lt;491,ABS(IFERROR(VALUE(LEFT(M1405,FIND("-",M1405)-1)),M1405))*100&lt;49100)),"Проверьте цену товара. Большинство товаров в выбранной категории стоят дороже 491","")))))),"")</f>
      </c>
    </row>
    <row r="1406">
      <c r="A1406" s="2" t="inlineStr">
        <is>
          <t/>
        </is>
      </c>
      <c r="B1406" s="2" t="inlineStr">
        <is>
          <t>Шторы для ванной</t>
        </is>
      </c>
      <c r="C1406" s="2">
        <v>903254951</v>
      </c>
      <c r="D1406" s="2" t="inlineStr">
        <is>
          <t>420645</t>
        </is>
      </c>
      <c r="E1406" s="2" t="inlineStr">
        <is>
          <t>4670294458458</t>
        </is>
      </c>
      <c r="F1406" s="2">
        <v>9</v>
      </c>
      <c r="G1406" s="2">
        <v>60</v>
      </c>
      <c r="H1406" s="2">
        <v>999</v>
      </c>
      <c r="I1406" s="2" t="inlineStr">
        <is>
          <t>3882</t>
        </is>
      </c>
      <c r="J1406" s="4"/>
      <c r="K1406" s="2">
        <v>80</v>
      </c>
      <c r="L1406" s="6"/>
      <c r="M1406" s="2" t="str">
        <f>IF(J1406="",ROUND(I1406*(1-IF(ISBLANK(L1406),K1406,L1406)/100),2),ROUND(J1406*(1-IF(ISBLANK(L1406),K1406,L1406)/100),2))</f>
      </c>
      <c r="N1406" s="7" t="str">
        <f>IF(NOT(AND(J1406="",L1406="")),IF(OR(AND(L1406&lt;&gt;"",NOT(ISNUMBER(L1406))),IFERROR(MOD(L1406,1),1)&gt;0,AND(ISNUMBER(L1406),OR(L1406&lt;0,L1406&gt;95))),"Введите целое число от 0 до 95",IF(OR(AND(J1406&lt;&gt;"",NOT(ISNUMBER(J1406))),IFERROR(MOD(J1406,1),1)&gt;0,AND(ISNUMBER(J1406),OR(J1406&lt;50,J1406&gt;20000000))),"Введите целое число от 50 до 20000000",IF(NOT(ABS(IFERROR(VALUE(LEFT(M1406,FIND("-",M1406)-1)),M1406)*100-(2500+2000000000)/2)&lt;=ABS(2500-2000000000)/2),"Цена со скидкой должна быть от 25 до 20000000",IF(AND(IFERROR(VALUE(LEFT(M1406,FIND("-",M1406)-1)),M1406)*150&lt;=77639,IFERROR(VALUE(LEFT(M1406,FIND("-",M1406)-1)),M1406)*200&gt;77639),"Вы уменьшили цену в несколько раз, товар попадет в карантин цен",IF(IFERROR(VALUE(LEFT(M1406,FIND("-",M1406)-1)),M1406)*200&lt;=77639,"Не сохранили изменения, чтобы защитить от ошибки — новые цены меньше текущих более чем в 2 раза. Снижайте их постепенно",IF(AND(IFERROR(VALUE(I1406),0)=0,ISNUMBER(J1406),OR(J1406&lt;491,ABS(IFERROR(VALUE(LEFT(M1406,FIND("-",M1406)-1)),M1406))*100&lt;49100)),"Проверьте цену товара. Большинство товаров в выбранной категории стоят дороже 491","")))))),"")</f>
      </c>
    </row>
    <row r="1407">
      <c r="A1407" s="2" t="inlineStr">
        <is>
          <t/>
        </is>
      </c>
      <c r="B1407" s="2" t="inlineStr">
        <is>
          <t>Чайники заварочные</t>
        </is>
      </c>
      <c r="C1407" s="2">
        <v>729548471</v>
      </c>
      <c r="D1407" s="2" t="inlineStr">
        <is>
          <t>821214</t>
        </is>
      </c>
      <c r="E1407" s="2" t="inlineStr">
        <is>
          <t>2048083256417</t>
        </is>
      </c>
      <c r="F1407" s="2">
        <v>2</v>
      </c>
      <c r="G1407" s="2">
        <v>0</v>
      </c>
      <c r="H1407" s="2">
        <v>999</v>
      </c>
      <c r="I1407" s="2" t="inlineStr">
        <is>
          <t>10387</t>
        </is>
      </c>
      <c r="J1407" s="4"/>
      <c r="K1407" s="2">
        <v>81</v>
      </c>
      <c r="L1407" s="6"/>
      <c r="M1407" s="2" t="str">
        <f>IF(J1407="",ROUND(I1407*(1-IF(ISBLANK(L1407),K1407,L1407)/100),2),ROUND(J1407*(1-IF(ISBLANK(L1407),K1407,L1407)/100),2))</f>
      </c>
      <c r="N1407" s="7" t="str">
        <f>IF(NOT(AND(J1407="",L1407="")),IF(OR(AND(L1407&lt;&gt;"",NOT(ISNUMBER(L1407))),IFERROR(MOD(L1407,1),1)&gt;0,AND(ISNUMBER(L1407),OR(L1407&lt;0,L1407&gt;95))),"Введите целое число от 0 до 95",IF(OR(AND(J1407&lt;&gt;"",NOT(ISNUMBER(J1407))),IFERROR(MOD(J1407,1),1)&gt;0,AND(ISNUMBER(J1407),OR(J1407&lt;50,J1407&gt;20000000))),"Введите целое число от 50 до 20000000",IF(NOT(ABS(IFERROR(VALUE(LEFT(M1407,FIND("-",M1407)-1)),M1407)*100-(2500+2000000000)/2)&lt;=ABS(2500-2000000000)/2),"Цена со скидкой должна быть от 25 до 20000000",IF(AND(IFERROR(VALUE(LEFT(M1407,FIND("-",M1407)-1)),M1407)*150&lt;=197352,IFERROR(VALUE(LEFT(M1407,FIND("-",M1407)-1)),M1407)*200&gt;197352),"Вы уменьшили цену в несколько раз, товар попадет в карантин цен",IF(IFERROR(VALUE(LEFT(M1407,FIND("-",M1407)-1)),M1407)*200&lt;=197352,"Не сохранили изменения, чтобы защитить от ошибки — новые цены меньше текущих более чем в 2 раза. Снижайте их постепенно",IF(AND(IFERROR(VALUE(I1407),0)=0,ISNUMBER(J1407),OR(J1407&lt;681,ABS(IFERROR(VALUE(LEFT(M1407,FIND("-",M1407)-1)),M1407))*100&lt;68100)),"Проверьте цену товара. Большинство товаров в выбранной категории стоят дороже 681","")))))),"")</f>
      </c>
    </row>
    <row r="1408">
      <c r="A1408" s="2" t="inlineStr">
        <is>
          <t/>
        </is>
      </c>
      <c r="B1408" s="2" t="inlineStr">
        <is>
          <t>Шторы для ванной</t>
        </is>
      </c>
      <c r="C1408" s="2">
        <v>766623310</v>
      </c>
      <c r="D1408" s="2" t="inlineStr">
        <is>
          <t>420687</t>
        </is>
      </c>
      <c r="E1408" s="2" t="inlineStr">
        <is>
          <t>2048435361868</t>
        </is>
      </c>
      <c r="F1408" s="2">
        <v>13</v>
      </c>
      <c r="G1408" s="2">
        <v>0</v>
      </c>
      <c r="H1408" s="2">
        <v>999</v>
      </c>
      <c r="I1408" s="2" t="inlineStr">
        <is>
          <t>5161</t>
        </is>
      </c>
      <c r="J1408" s="4"/>
      <c r="K1408" s="2">
        <v>84</v>
      </c>
      <c r="L1408" s="6"/>
      <c r="M1408" s="2" t="str">
        <f>IF(J1408="",ROUND(I1408*(1-IF(ISBLANK(L1408),K1408,L1408)/100),2),ROUND(J1408*(1-IF(ISBLANK(L1408),K1408,L1408)/100),2))</f>
      </c>
      <c r="N1408" s="7" t="str">
        <f>IF(NOT(AND(J1408="",L1408="")),IF(OR(AND(L1408&lt;&gt;"",NOT(ISNUMBER(L1408))),IFERROR(MOD(L1408,1),1)&gt;0,AND(ISNUMBER(L1408),OR(L1408&lt;0,L1408&gt;95))),"Введите целое число от 0 до 95",IF(OR(AND(J1408&lt;&gt;"",NOT(ISNUMBER(J1408))),IFERROR(MOD(J1408,1),1)&gt;0,AND(ISNUMBER(J1408),OR(J1408&lt;50,J1408&gt;20000000))),"Введите целое число от 50 до 20000000",IF(NOT(ABS(IFERROR(VALUE(LEFT(M1408,FIND("-",M1408)-1)),M1408)*100-(2500+2000000000)/2)&lt;=ABS(2500-2000000000)/2),"Цена со скидкой должна быть от 25 до 20000000",IF(AND(IFERROR(VALUE(LEFT(M1408,FIND("-",M1408)-1)),M1408)*150&lt;=82576,IFERROR(VALUE(LEFT(M1408,FIND("-",M1408)-1)),M1408)*200&gt;82576),"Вы уменьшили цену в несколько раз, товар попадет в карантин цен",IF(IFERROR(VALUE(LEFT(M1408,FIND("-",M1408)-1)),M1408)*200&lt;=82576,"Не сохранили изменения, чтобы защитить от ошибки — новые цены меньше текущих более чем в 2 раза. Снижайте их постепенно",IF(AND(IFERROR(VALUE(I1408),0)=0,ISNUMBER(J1408),OR(J1408&lt;491,ABS(IFERROR(VALUE(LEFT(M1408,FIND("-",M1408)-1)),M1408))*100&lt;49100)),"Проверьте цену товара. Большинство товаров в выбранной категории стоят дороже 491","")))))),"")</f>
      </c>
    </row>
    <row r="1409">
      <c r="A1409" s="2" t="inlineStr">
        <is>
          <t/>
        </is>
      </c>
      <c r="B1409" s="2" t="inlineStr">
        <is>
          <t>Шторы для ванной</t>
        </is>
      </c>
      <c r="C1409" s="2">
        <v>766623309</v>
      </c>
      <c r="D1409" s="2" t="inlineStr">
        <is>
          <t>420686</t>
        </is>
      </c>
      <c r="E1409" s="2" t="inlineStr">
        <is>
          <t>2048435361851</t>
        </is>
      </c>
      <c r="F1409" s="2" t="inlineStr">
        <is>
          <t/>
        </is>
      </c>
      <c r="G1409" s="2" t="inlineStr">
        <is>
          <t/>
        </is>
      </c>
      <c r="H1409" s="2" t="inlineStr">
        <is>
          <t/>
        </is>
      </c>
      <c r="I1409" s="2" t="inlineStr">
        <is>
          <t>4419</t>
        </is>
      </c>
      <c r="J1409" s="4"/>
      <c r="K1409" s="2">
        <v>65</v>
      </c>
      <c r="L1409" s="6"/>
      <c r="M1409" s="2" t="str">
        <f>IF(J1409="",ROUND(I1409*(1-IF(ISBLANK(L1409),K1409,L1409)/100),2),ROUND(J1409*(1-IF(ISBLANK(L1409),K1409,L1409)/100),2))</f>
      </c>
      <c r="N1409" s="7" t="str">
        <f>IF(NOT(AND(J1409="",L1409="")),IF(OR(AND(L1409&lt;&gt;"",NOT(ISNUMBER(L1409))),IFERROR(MOD(L1409,1),1)&gt;0,AND(ISNUMBER(L1409),OR(L1409&lt;0,L1409&gt;95))),"Введите целое число от 0 до 95",IF(OR(AND(J1409&lt;&gt;"",NOT(ISNUMBER(J1409))),IFERROR(MOD(J1409,1),1)&gt;0,AND(ISNUMBER(J1409),OR(J1409&lt;50,J1409&gt;20000000))),"Введите целое число от 50 до 20000000",IF(NOT(ABS(IFERROR(VALUE(LEFT(M1409,FIND("-",M1409)-1)),M1409)*100-(2500+2000000000)/2)&lt;=ABS(2500-2000000000)/2),"Цена со скидкой должна быть от 25 до 20000000",IF(AND(IFERROR(VALUE(LEFT(M1409,FIND("-",M1409)-1)),M1409)*150&lt;=154665,IFERROR(VALUE(LEFT(M1409,FIND("-",M1409)-1)),M1409)*200&gt;154665),"Вы уменьшили цену в несколько раз, товар попадет в карантин цен",IF(IFERROR(VALUE(LEFT(M1409,FIND("-",M1409)-1)),M1409)*200&lt;=154665,"Не сохранили изменения, чтобы защитить от ошибки — новые цены меньше текущих более чем в 2 раза. Снижайте их постепенно",IF(AND(IFERROR(VALUE(I1409),0)=0,ISNUMBER(J1409),OR(J1409&lt;491,ABS(IFERROR(VALUE(LEFT(M1409,FIND("-",M1409)-1)),M1409))*100&lt;49100)),"Проверьте цену товара. Большинство товаров в выбранной категории стоят дороже 491","")))))),"")</f>
      </c>
    </row>
    <row r="1410">
      <c r="A1410" s="2" t="inlineStr">
        <is>
          <t/>
        </is>
      </c>
      <c r="B1410" s="2" t="inlineStr">
        <is>
          <t>Шторы для ванной</t>
        </is>
      </c>
      <c r="C1410" s="2">
        <v>766623316</v>
      </c>
      <c r="D1410" s="2" t="inlineStr">
        <is>
          <t>420526</t>
        </is>
      </c>
      <c r="E1410" s="2" t="inlineStr">
        <is>
          <t>2048435361943</t>
        </is>
      </c>
      <c r="F1410" s="2">
        <v>3</v>
      </c>
      <c r="G1410" s="2">
        <v>68</v>
      </c>
      <c r="H1410" s="2">
        <v>999</v>
      </c>
      <c r="I1410" s="2" t="inlineStr">
        <is>
          <t>4848</t>
        </is>
      </c>
      <c r="J1410" s="4"/>
      <c r="K1410" s="2">
        <v>81</v>
      </c>
      <c r="L1410" s="6"/>
      <c r="M1410" s="2" t="str">
        <f>IF(J1410="",ROUND(I1410*(1-IF(ISBLANK(L1410),K1410,L1410)/100),2),ROUND(J1410*(1-IF(ISBLANK(L1410),K1410,L1410)/100),2))</f>
      </c>
      <c r="N1410" s="7" t="str">
        <f>IF(NOT(AND(J1410="",L1410="")),IF(OR(AND(L1410&lt;&gt;"",NOT(ISNUMBER(L1410))),IFERROR(MOD(L1410,1),1)&gt;0,AND(ISNUMBER(L1410),OR(L1410&lt;0,L1410&gt;95))),"Введите целое число от 0 до 95",IF(OR(AND(J1410&lt;&gt;"",NOT(ISNUMBER(J1410))),IFERROR(MOD(J1410,1),1)&gt;0,AND(ISNUMBER(J1410),OR(J1410&lt;50,J1410&gt;20000000))),"Введите целое число от 50 до 20000000",IF(NOT(ABS(IFERROR(VALUE(LEFT(M1410,FIND("-",M1410)-1)),M1410)*100-(2500+2000000000)/2)&lt;=ABS(2500-2000000000)/2),"Цена со скидкой должна быть от 25 до 20000000",IF(AND(IFERROR(VALUE(LEFT(M1410,FIND("-",M1410)-1)),M1410)*150&lt;=92111,IFERROR(VALUE(LEFT(M1410,FIND("-",M1410)-1)),M1410)*200&gt;92111),"Вы уменьшили цену в несколько раз, товар попадет в карантин цен",IF(IFERROR(VALUE(LEFT(M1410,FIND("-",M1410)-1)),M1410)*200&lt;=92111,"Не сохранили изменения, чтобы защитить от ошибки — новые цены меньше текущих более чем в 2 раза. Снижайте их постепенно",IF(AND(IFERROR(VALUE(I1410),0)=0,ISNUMBER(J1410),OR(J1410&lt;491,ABS(IFERROR(VALUE(LEFT(M1410,FIND("-",M1410)-1)),M1410))*100&lt;49100)),"Проверьте цену товара. Большинство товаров в выбранной категории стоят дороже 491","")))))),"")</f>
      </c>
    </row>
    <row r="1411">
      <c r="A1411" s="2" t="inlineStr">
        <is>
          <t/>
        </is>
      </c>
      <c r="B1411" s="2" t="inlineStr">
        <is>
          <t>Шторы для ванной</t>
        </is>
      </c>
      <c r="C1411" s="2">
        <v>903254955</v>
      </c>
      <c r="D1411" s="2" t="inlineStr">
        <is>
          <t>420641</t>
        </is>
      </c>
      <c r="E1411" s="2" t="inlineStr">
        <is>
          <t>4670294458410</t>
        </is>
      </c>
      <c r="F1411" s="2">
        <v>9</v>
      </c>
      <c r="G1411" s="2">
        <v>34</v>
      </c>
      <c r="H1411" s="2">
        <v>999</v>
      </c>
      <c r="I1411" s="2" t="inlineStr">
        <is>
          <t>3882</t>
        </is>
      </c>
      <c r="J1411" s="4"/>
      <c r="K1411" s="2">
        <v>80</v>
      </c>
      <c r="L1411" s="6"/>
      <c r="M1411" s="2" t="str">
        <f>IF(J1411="",ROUND(I1411*(1-IF(ISBLANK(L1411),K1411,L1411)/100),2),ROUND(J1411*(1-IF(ISBLANK(L1411),K1411,L1411)/100),2))</f>
      </c>
      <c r="N1411" s="7" t="str">
        <f>IF(NOT(AND(J1411="",L1411="")),IF(OR(AND(L1411&lt;&gt;"",NOT(ISNUMBER(L1411))),IFERROR(MOD(L1411,1),1)&gt;0,AND(ISNUMBER(L1411),OR(L1411&lt;0,L1411&gt;95))),"Введите целое число от 0 до 95",IF(OR(AND(J1411&lt;&gt;"",NOT(ISNUMBER(J1411))),IFERROR(MOD(J1411,1),1)&gt;0,AND(ISNUMBER(J1411),OR(J1411&lt;50,J1411&gt;20000000))),"Введите целое число от 50 до 20000000",IF(NOT(ABS(IFERROR(VALUE(LEFT(M1411,FIND("-",M1411)-1)),M1411)*100-(2500+2000000000)/2)&lt;=ABS(2500-2000000000)/2),"Цена со скидкой должна быть от 25 до 20000000",IF(AND(IFERROR(VALUE(LEFT(M1411,FIND("-",M1411)-1)),M1411)*150&lt;=77639,IFERROR(VALUE(LEFT(M1411,FIND("-",M1411)-1)),M1411)*200&gt;77639),"Вы уменьшили цену в несколько раз, товар попадет в карантин цен",IF(IFERROR(VALUE(LEFT(M1411,FIND("-",M1411)-1)),M1411)*200&lt;=77639,"Не сохранили изменения, чтобы защитить от ошибки — новые цены меньше текущих более чем в 2 раза. Снижайте их постепенно",IF(AND(IFERROR(VALUE(I1411),0)=0,ISNUMBER(J1411),OR(J1411&lt;491,ABS(IFERROR(VALUE(LEFT(M1411,FIND("-",M1411)-1)),M1411))*100&lt;49100)),"Проверьте цену товара. Большинство товаров в выбранной категории стоят дороже 491","")))))),"")</f>
      </c>
    </row>
    <row r="1412">
      <c r="A1412" s="2" t="inlineStr">
        <is>
          <t/>
        </is>
      </c>
      <c r="B1412" s="2" t="inlineStr">
        <is>
          <t>Шторы для ванной</t>
        </is>
      </c>
      <c r="C1412" s="2">
        <v>903254965</v>
      </c>
      <c r="D1412" s="2" t="inlineStr">
        <is>
          <t>420653</t>
        </is>
      </c>
      <c r="E1412" s="2" t="inlineStr">
        <is>
          <t>4670294458533</t>
        </is>
      </c>
      <c r="F1412" s="2">
        <v>0</v>
      </c>
      <c r="G1412" s="2">
        <v>83</v>
      </c>
      <c r="H1412" s="2" t="inlineStr">
        <is>
          <t/>
        </is>
      </c>
      <c r="I1412" s="2" t="inlineStr">
        <is>
          <t>5456</t>
        </is>
      </c>
      <c r="J1412" s="4"/>
      <c r="K1412" s="2">
        <v>78</v>
      </c>
      <c r="L1412" s="6"/>
      <c r="M1412" s="2" t="str">
        <f>IF(J1412="",ROUND(I1412*(1-IF(ISBLANK(L1412),K1412,L1412)/100),2),ROUND(J1412*(1-IF(ISBLANK(L1412),K1412,L1412)/100),2))</f>
      </c>
      <c r="N1412" s="7" t="str">
        <f>IF(NOT(AND(J1412="",L1412="")),IF(OR(AND(L1412&lt;&gt;"",NOT(ISNUMBER(L1412))),IFERROR(MOD(L1412,1),1)&gt;0,AND(ISNUMBER(L1412),OR(L1412&lt;0,L1412&gt;95))),"Введите целое число от 0 до 95",IF(OR(AND(J1412&lt;&gt;"",NOT(ISNUMBER(J1412))),IFERROR(MOD(J1412,1),1)&gt;0,AND(ISNUMBER(J1412),OR(J1412&lt;50,J1412&gt;20000000))),"Введите целое число от 50 до 20000000",IF(NOT(ABS(IFERROR(VALUE(LEFT(M1412,FIND("-",M1412)-1)),M1412)*100-(2500+2000000000)/2)&lt;=ABS(2500-2000000000)/2),"Цена со скидкой должна быть от 25 до 20000000",IF(AND(IFERROR(VALUE(LEFT(M1412,FIND("-",M1412)-1)),M1412)*150&lt;=120032,IFERROR(VALUE(LEFT(M1412,FIND("-",M1412)-1)),M1412)*200&gt;120032),"Вы уменьшили цену в несколько раз, товар попадет в карантин цен",IF(IFERROR(VALUE(LEFT(M1412,FIND("-",M1412)-1)),M1412)*200&lt;=120032,"Не сохранили изменения, чтобы защитить от ошибки — новые цены меньше текущих более чем в 2 раза. Снижайте их постепенно",IF(AND(IFERROR(VALUE(I1412),0)=0,ISNUMBER(J1412),OR(J1412&lt;491,ABS(IFERROR(VALUE(LEFT(M1412,FIND("-",M1412)-1)),M1412))*100&lt;49100)),"Проверьте цену товара. Большинство товаров в выбранной категории стоят дороже 491","")))))),"")</f>
      </c>
    </row>
    <row r="1413">
      <c r="A1413" s="2" t="inlineStr">
        <is>
          <t/>
        </is>
      </c>
      <c r="B1413" s="2" t="inlineStr">
        <is>
          <t>Шторы для ванной</t>
        </is>
      </c>
      <c r="C1413" s="2">
        <v>903254966</v>
      </c>
      <c r="D1413" s="2" t="inlineStr">
        <is>
          <t>420655</t>
        </is>
      </c>
      <c r="E1413" s="2" t="inlineStr">
        <is>
          <t>4670294458557</t>
        </is>
      </c>
      <c r="F1413" s="2">
        <v>0</v>
      </c>
      <c r="G1413" s="2">
        <v>85</v>
      </c>
      <c r="H1413" s="2" t="inlineStr">
        <is>
          <t/>
        </is>
      </c>
      <c r="I1413" s="2" t="inlineStr">
        <is>
          <t>5456</t>
        </is>
      </c>
      <c r="J1413" s="4"/>
      <c r="K1413" s="2">
        <v>78</v>
      </c>
      <c r="L1413" s="6"/>
      <c r="M1413" s="2" t="str">
        <f>IF(J1413="",ROUND(I1413*(1-IF(ISBLANK(L1413),K1413,L1413)/100),2),ROUND(J1413*(1-IF(ISBLANK(L1413),K1413,L1413)/100),2))</f>
      </c>
      <c r="N1413" s="7" t="str">
        <f>IF(NOT(AND(J1413="",L1413="")),IF(OR(AND(L1413&lt;&gt;"",NOT(ISNUMBER(L1413))),IFERROR(MOD(L1413,1),1)&gt;0,AND(ISNUMBER(L1413),OR(L1413&lt;0,L1413&gt;95))),"Введите целое число от 0 до 95",IF(OR(AND(J1413&lt;&gt;"",NOT(ISNUMBER(J1413))),IFERROR(MOD(J1413,1),1)&gt;0,AND(ISNUMBER(J1413),OR(J1413&lt;50,J1413&gt;20000000))),"Введите целое число от 50 до 20000000",IF(NOT(ABS(IFERROR(VALUE(LEFT(M1413,FIND("-",M1413)-1)),M1413)*100-(2500+2000000000)/2)&lt;=ABS(2500-2000000000)/2),"Цена со скидкой должна быть от 25 до 20000000",IF(AND(IFERROR(VALUE(LEFT(M1413,FIND("-",M1413)-1)),M1413)*150&lt;=120032,IFERROR(VALUE(LEFT(M1413,FIND("-",M1413)-1)),M1413)*200&gt;120032),"Вы уменьшили цену в несколько раз, товар попадет в карантин цен",IF(IFERROR(VALUE(LEFT(M1413,FIND("-",M1413)-1)),M1413)*200&lt;=120032,"Не сохранили изменения, чтобы защитить от ошибки — новые цены меньше текущих более чем в 2 раза. Снижайте их постепенно",IF(AND(IFERROR(VALUE(I1413),0)=0,ISNUMBER(J1413),OR(J1413&lt;491,ABS(IFERROR(VALUE(LEFT(M1413,FIND("-",M1413)-1)),M1413))*100&lt;49100)),"Проверьте цену товара. Большинство товаров в выбранной категории стоят дороже 491","")))))),"")</f>
      </c>
    </row>
    <row r="1414">
      <c r="A1414" s="2" t="inlineStr">
        <is>
          <t>Luxaro</t>
        </is>
      </c>
      <c r="B1414" s="2" t="inlineStr">
        <is>
          <t>Кружки</t>
        </is>
      </c>
      <c r="C1414" s="2">
        <v>525021266</v>
      </c>
      <c r="D1414" s="2" t="inlineStr">
        <is>
          <t>075374</t>
        </is>
      </c>
      <c r="E1414" s="2" t="inlineStr">
        <is>
          <t>4670294458984</t>
        </is>
      </c>
      <c r="F1414" s="2">
        <v>41</v>
      </c>
      <c r="G1414" s="2">
        <v>4878</v>
      </c>
      <c r="H1414" s="2">
        <v>44</v>
      </c>
      <c r="I1414" s="2" t="inlineStr">
        <is>
          <t>7476</t>
        </is>
      </c>
      <c r="J1414" s="4"/>
      <c r="K1414" s="2">
        <v>79</v>
      </c>
      <c r="L1414" s="6"/>
      <c r="M1414" s="2" t="str">
        <f>IF(J1414="",ROUND(I1414*(1-IF(ISBLANK(L1414),K1414,L1414)/100),2),ROUND(J1414*(1-IF(ISBLANK(L1414),K1414,L1414)/100),2))</f>
      </c>
      <c r="N1414" s="7" t="str">
        <f>IF(NOT(AND(J1414="",L1414="")),IF(OR(AND(L1414&lt;&gt;"",NOT(ISNUMBER(L1414))),IFERROR(MOD(L1414,1),1)&gt;0,AND(ISNUMBER(L1414),OR(L1414&lt;0,L1414&gt;95))),"Введите целое число от 0 до 95",IF(OR(AND(J1414&lt;&gt;"",NOT(ISNUMBER(J1414))),IFERROR(MOD(J1414,1),1)&gt;0,AND(ISNUMBER(J1414),OR(J1414&lt;50,J1414&gt;20000000))),"Введите целое число от 50 до 20000000",IF(NOT(ABS(IFERROR(VALUE(LEFT(M1414,FIND("-",M1414)-1)),M1414)*100-(2500+2000000000)/2)&lt;=ABS(2500-2000000000)/2),"Цена со скидкой должна быть от 25 до 20000000",IF(AND(IFERROR(VALUE(LEFT(M1414,FIND("-",M1414)-1)),M1414)*150&lt;=156995,IFERROR(VALUE(LEFT(M1414,FIND("-",M1414)-1)),M1414)*200&gt;156995),"Вы уменьшили цену в несколько раз, товар попадет в карантин цен",IF(IFERROR(VALUE(LEFT(M1414,FIND("-",M1414)-1)),M1414)*200&lt;=156995,"Не сохранили изменения, чтобы защитить от ошибки — новые цены меньше текущих более чем в 2 раза. Снижайте их постепенно",IF(AND(IFERROR(VALUE(I1414),0)=0,ISNUMBER(J1414),OR(J1414&lt;444,ABS(IFERROR(VALUE(LEFT(M1414,FIND("-",M1414)-1)),M1414))*100&lt;44400)),"Проверьте цену товара. Большинство товаров в выбранной категории стоят дороже 444","")))))),"")</f>
      </c>
    </row>
  </sheetData>
  <conditionalFormatting sqref="J2:J1414">
    <cfRule type="containsBlanks" priority="1" stopIfTrue="true">
      <formula>LEN(TRIM(J2))=0</formula>
    </cfRule>
    <cfRule type="cellIs" dxfId="1" priority="2" operator="notBetween">
      <formula>50</formula>
      <formula>20000000</formula>
    </cfRule>
  </conditionalFormatting>
  <conditionalFormatting sqref="L2:L1414">
    <cfRule type="containsBlanks" priority="3" stopIfTrue="true">
      <formula>LEN(TRIM(L2))=0</formula>
    </cfRule>
    <cfRule type="cellIs" dxfId="1" priority="4" operator="notBetween">
      <formula>0</formula>
      <formula>95</formula>
    </cfRule>
  </conditionalFormatting>
  <conditionalFormatting sqref="N2:N1414">
    <cfRule type="cellIs" dxfId="2" priority="5" operator="equal">
      <formula>"Вы уменьшили цену в несколько раз, товар попадет в карантин цен"</formula>
    </cfRule>
    <cfRule type="beginsWith" dxfId="2" priority="6" operator="beginsWith" text="Проверьте цену товара. Большинство товаров в выбранной категории стоят дороже ">
      <formula>LEFT(N2,LEN("Проверьте цену товара. Большинство товаров в выбранной категории стоят дороже "))="Проверьте цену товара. Большинство товаров в выбранной категории стоят дороже "</formula>
    </cfRule>
    <cfRule type="cellIs" dxfId="1" priority="7" operator="notEqual">
      <formula>""</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language>ru</dc:language>
  <dcterms:created xsi:type="dcterms:W3CDTF">2006-09-16T00:00:00Z</dcterms:created>
  <dcterms:modified xsi:type="dcterms:W3CDTF">2006-09-16T00:00:00Z</dcterms:modified>
</coreProperties>
</file>